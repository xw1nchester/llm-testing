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 yWindow="48" windowWidth="17016" windowHeight="9012" tabRatio="933" firstSheet="3" activeTab="5"/>
  </bookViews>
  <sheets>
    <sheet name="Титул" sheetId="1" r:id="rId1"/>
    <sheet name="Ред.коллегия" sheetId="2" r:id="rId2"/>
    <sheet name="Предисловие" sheetId="3" r:id="rId3"/>
    <sheet name="Ответственные" sheetId="6" r:id="rId4"/>
    <sheet name="Содержание" sheetId="62" r:id="rId5"/>
    <sheet name="1" sheetId="8" r:id="rId6"/>
    <sheet name="2" sheetId="9" r:id="rId7"/>
    <sheet name="3" sheetId="10" r:id="rId8"/>
    <sheet name="4" sheetId="11" r:id="rId9"/>
    <sheet name="5" sheetId="12" r:id="rId10"/>
    <sheet name="6" sheetId="116" r:id="rId11"/>
    <sheet name="7" sheetId="118" r:id="rId12"/>
    <sheet name="8" sheetId="112" r:id="rId13"/>
    <sheet name="9" sheetId="94" r:id="rId14"/>
    <sheet name="10" sheetId="113" r:id="rId15"/>
    <sheet name="11" sheetId="93" r:id="rId16"/>
    <sheet name="12" sheetId="16" r:id="rId17"/>
    <sheet name="13" sheetId="17" r:id="rId18"/>
    <sheet name="14" sheetId="18" r:id="rId19"/>
    <sheet name="15" sheetId="105" r:id="rId20"/>
    <sheet name="16" sheetId="19" r:id="rId21"/>
    <sheet name="17" sheetId="20" r:id="rId22"/>
    <sheet name="18" sheetId="21" r:id="rId23"/>
    <sheet name="19" sheetId="22" r:id="rId24"/>
    <sheet name="20" sheetId="106" r:id="rId25"/>
    <sheet name="21" sheetId="23" r:id="rId26"/>
    <sheet name="22" sheetId="24" r:id="rId27"/>
    <sheet name="23" sheetId="25" r:id="rId28"/>
    <sheet name="24" sheetId="26" r:id="rId29"/>
    <sheet name="25" sheetId="27" r:id="rId30"/>
    <sheet name="26" sheetId="61" r:id="rId31"/>
    <sheet name="27" sheetId="57" r:id="rId32"/>
    <sheet name="28" sheetId="58" r:id="rId33"/>
    <sheet name="29" sheetId="28" r:id="rId34"/>
    <sheet name="30" sheetId="29" r:id="rId35"/>
    <sheet name="31" sheetId="56" r:id="rId36"/>
    <sheet name="32" sheetId="46" r:id="rId37"/>
    <sheet name="33" sheetId="49" r:id="rId38"/>
    <sheet name="34" sheetId="47" r:id="rId39"/>
    <sheet name="35" sheetId="107" r:id="rId40"/>
    <sheet name="36" sheetId="33" r:id="rId41"/>
    <sheet name="37" sheetId="34" r:id="rId42"/>
    <sheet name="38" sheetId="35" r:id="rId43"/>
    <sheet name="39" sheetId="115" r:id="rId44"/>
    <sheet name="40" sheetId="39" r:id="rId45"/>
  </sheets>
  <definedNames>
    <definedName name="_Toc114998263" localSheetId="5">'1'!#REF!</definedName>
    <definedName name="_xlnm.Print_Area" localSheetId="14">'9'!$A$1:$E$19</definedName>
    <definedName name="_xlnm.Print_Area" localSheetId="19">'15'!$A$1:$F$9</definedName>
    <definedName name="_xlnm.Print_Area" localSheetId="20">'16'!$A$1:$G$40</definedName>
    <definedName name="_xlnm.Print_Area" localSheetId="21">'17'!$A$1:$D$41</definedName>
    <definedName name="_xlnm.Print_Area" localSheetId="26">'22'!$A$1:$D$22</definedName>
    <definedName name="_xlnm.Print_Area" localSheetId="27">'23'!$A$1:$D$23</definedName>
    <definedName name="_xlnm.Print_Area" localSheetId="28">'24'!$A$1:$E$32</definedName>
    <definedName name="_xlnm.Print_Area" localSheetId="29">'25'!$A$1:$D$27</definedName>
    <definedName name="_xlnm.Print_Area" localSheetId="30">'26'!$A$1:$E$16</definedName>
    <definedName name="_xlnm.Print_Area" localSheetId="31">'27'!$A$1:$F$38</definedName>
    <definedName name="_xlnm.Print_Area" localSheetId="32">'28'!$A$1:$C$35</definedName>
    <definedName name="_xlnm.Print_Area" localSheetId="42">'38'!$A$3:$D$15</definedName>
    <definedName name="_xlnm.Print_Area" localSheetId="9">'5'!$A$1:$F$63</definedName>
    <definedName name="_xlnm.Print_Area" localSheetId="10">'6'!$A$1:$E$11</definedName>
    <definedName name="_xlnm.Print_Area" localSheetId="11">'7'!$A$1:$G$17</definedName>
    <definedName name="_xlnm.Print_Area" localSheetId="13">'9'!$A$1:$E$18</definedName>
  </definedNames>
  <calcPr calcId="144525"/>
</workbook>
</file>

<file path=xl/calcChain.xml><?xml version="1.0" encoding="utf-8"?>
<calcChain xmlns="http://schemas.openxmlformats.org/spreadsheetml/2006/main">
  <c r="B14" i="62" l="1"/>
  <c r="B15" i="62"/>
  <c r="B47" i="62" l="1"/>
  <c r="B49" i="62"/>
  <c r="B46" i="62"/>
  <c r="B45" i="62"/>
  <c r="B44" i="62"/>
  <c r="B43" i="62"/>
  <c r="B42" i="62"/>
  <c r="B40" i="62"/>
  <c r="B39" i="62"/>
  <c r="B38" i="62"/>
  <c r="B37" i="62"/>
  <c r="B36" i="62"/>
  <c r="B35" i="62"/>
  <c r="B34" i="62"/>
  <c r="B33" i="62"/>
  <c r="B30" i="62"/>
  <c r="B29" i="62"/>
  <c r="B27" i="62"/>
  <c r="B26" i="62"/>
  <c r="B13" i="62" l="1"/>
  <c r="B58" i="62" l="1"/>
  <c r="B55" i="62"/>
  <c r="B54" i="62"/>
  <c r="B53" i="62"/>
  <c r="B50" i="62"/>
  <c r="B25" i="62" l="1"/>
  <c r="B22" i="62"/>
  <c r="B21" i="62"/>
  <c r="B19" i="62"/>
  <c r="B18" i="62"/>
</calcChain>
</file>

<file path=xl/sharedStrings.xml><?xml version="1.0" encoding="utf-8"?>
<sst xmlns="http://schemas.openxmlformats.org/spreadsheetml/2006/main" count="1603" uniqueCount="677">
  <si>
    <t>ФЕДЕРАЛЬНАЯ СЛУЖБА ГОСУДАРСТВЕННОЙ СТАТИСТИКИ</t>
  </si>
  <si>
    <t>УПРАВЛЕНИЕ ФЕДЕРАЛЬНОЙ СЛУЖБЫ ГОСУДАРСТВЕННОЙ СТАТИСТИКИ</t>
  </si>
  <si>
    <t>ПО ТЮМЕНСКОЙ ОБЛАСТИ,</t>
  </si>
  <si>
    <t>ХАНТЫ-МАНСИЙСКОМУ АВТОНОМНОМУ ОКРУГУ – ЮГРЕ</t>
  </si>
  <si>
    <t>И ЯМАЛО-НЕНЕЦКОМУ АВТОНОМНОМУ ОКРУГУ</t>
  </si>
  <si>
    <t>Cоциально-экономическое положение</t>
  </si>
  <si>
    <t xml:space="preserve">КРАТКИЙ </t>
  </si>
  <si>
    <t>СТАТИСТИЧЕСКИЙ ДОКЛАД</t>
  </si>
  <si>
    <t>Тюмень</t>
  </si>
  <si>
    <t>Редакционная коллегия:</t>
  </si>
  <si>
    <r>
      <t xml:space="preserve">Л.О. Сараева – </t>
    </r>
    <r>
      <rPr>
        <sz val="10"/>
        <color theme="1"/>
        <rFont val="Arial"/>
        <family val="2"/>
        <charset val="204"/>
      </rPr>
      <t>Председатель редакционной коллегии</t>
    </r>
  </si>
  <si>
    <t>ПРЕДИСЛОВИЕ</t>
  </si>
  <si>
    <t>ОТВЕТСТВЕННЫЕ ЗА РАЗДЕЛЫ ДОКЛАДА</t>
  </si>
  <si>
    <t>'</t>
  </si>
  <si>
    <t>Производство товаров и услуг</t>
  </si>
  <si>
    <t>Радаева Н.Ю.</t>
  </si>
  <si>
    <t>Штрек О.Я.</t>
  </si>
  <si>
    <t>Рынки товаров и услуг</t>
  </si>
  <si>
    <t xml:space="preserve">Цены </t>
  </si>
  <si>
    <t>Менг Л.Н.</t>
  </si>
  <si>
    <t>Скрипникова В.И.</t>
  </si>
  <si>
    <t>Занятость и безработица</t>
  </si>
  <si>
    <t>Методологические пояснения</t>
  </si>
  <si>
    <t>СОДЕРЖАНИЕ</t>
  </si>
  <si>
    <t>РЫНКИ ТОВАРОВ И УСЛУГ</t>
  </si>
  <si>
    <t>ЗАРАБОТНАЯ ПЛАТА</t>
  </si>
  <si>
    <t>Август</t>
  </si>
  <si>
    <r>
      <t>Индекс промышленного производства</t>
    </r>
    <r>
      <rPr>
        <vertAlign val="superscript"/>
        <sz val="10"/>
        <color theme="1"/>
        <rFont val="Arial"/>
        <family val="2"/>
        <charset val="204"/>
      </rPr>
      <t>1)</t>
    </r>
  </si>
  <si>
    <t>Объем работ, выполненных по виду экономической деятельности «строительство», млн рублей</t>
  </si>
  <si>
    <t>млн рублей</t>
  </si>
  <si>
    <t>Индекс потребительских цен и тарифов на конец периода</t>
  </si>
  <si>
    <r>
      <t>Индекс цен производителей промышленных товаров, реализованных на внутреннем рынке, на конец периода</t>
    </r>
    <r>
      <rPr>
        <vertAlign val="superscript"/>
        <sz val="10"/>
        <color theme="1"/>
        <rFont val="Arial"/>
        <family val="2"/>
        <charset val="204"/>
      </rPr>
      <t>1)</t>
    </r>
  </si>
  <si>
    <t>номинальная, рублей</t>
  </si>
  <si>
    <t>реальная</t>
  </si>
  <si>
    <r>
      <t>1)</t>
    </r>
    <r>
      <rPr>
        <i/>
        <sz val="9"/>
        <color theme="1"/>
        <rFont val="Arial"/>
        <family val="2"/>
        <charset val="204"/>
      </rPr>
      <t xml:space="preserve">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r>
  </si>
  <si>
    <r>
      <t>Среднемесячная начисленная заработная плата одного работника</t>
    </r>
    <r>
      <rPr>
        <vertAlign val="superscript"/>
        <sz val="10"/>
        <color theme="1"/>
        <rFont val="Arial"/>
        <family val="2"/>
        <charset val="204"/>
      </rPr>
      <t>2)</t>
    </r>
    <r>
      <rPr>
        <sz val="10"/>
        <color theme="1"/>
        <rFont val="Arial"/>
        <family val="2"/>
        <charset val="204"/>
      </rPr>
      <t xml:space="preserve"> </t>
    </r>
  </si>
  <si>
    <t xml:space="preserve">Численность официально зарегистрированных безработных на конец месяца, тыс. человек </t>
  </si>
  <si>
    <t>В % к</t>
  </si>
  <si>
    <t>предыдущему периоду</t>
  </si>
  <si>
    <t>соответствующему периоду предыдущего года</t>
  </si>
  <si>
    <t>Январь</t>
  </si>
  <si>
    <t>Февраль</t>
  </si>
  <si>
    <t>Март</t>
  </si>
  <si>
    <t>Январь-март</t>
  </si>
  <si>
    <t>Апрель</t>
  </si>
  <si>
    <t>Май</t>
  </si>
  <si>
    <t>Июнь</t>
  </si>
  <si>
    <t>Январь-июнь</t>
  </si>
  <si>
    <t>Июль</t>
  </si>
  <si>
    <t>Сентябрь</t>
  </si>
  <si>
    <t>Январь-сентябрь</t>
  </si>
  <si>
    <t>Октябрь</t>
  </si>
  <si>
    <t>Ноябрь</t>
  </si>
  <si>
    <t>Декабрь</t>
  </si>
  <si>
    <t>Январь-декабрь</t>
  </si>
  <si>
    <t>Индексы производства по отдельным видам экономической деятельности</t>
  </si>
  <si>
    <t>Добыча полезных ископаемых</t>
  </si>
  <si>
    <t>добыча прочих полезных ископаемых</t>
  </si>
  <si>
    <t>предоставление услуг в области добычи полезных ископаемых</t>
  </si>
  <si>
    <t>Обрабатывающие производства</t>
  </si>
  <si>
    <t>производство пищевых продуктов</t>
  </si>
  <si>
    <t>производство напитков</t>
  </si>
  <si>
    <t>обработка древесины и производство изделий из дерева и пробки, кроме мебели, производство изделий из соломки и материалов для плетения</t>
  </si>
  <si>
    <t>производство бумаги и бумажных изделий</t>
  </si>
  <si>
    <t>деятельность полиграфическая и копирование носителей информации</t>
  </si>
  <si>
    <t>производство кокса и нефтепродуктов</t>
  </si>
  <si>
    <t>производство химических веществ и химических продуктов</t>
  </si>
  <si>
    <t>производство резиновых и пластмассовых изделий</t>
  </si>
  <si>
    <t>производство прочей неметаллической минеральной продукции</t>
  </si>
  <si>
    <t>производство готовых металлических изделий, кроме машин и оборудования</t>
  </si>
  <si>
    <t>производство компьютеров, электронных и оптических изделий</t>
  </si>
  <si>
    <t>производство машин и оборудования, не включенных в другие группировки</t>
  </si>
  <si>
    <t>производство мебели</t>
  </si>
  <si>
    <t>ремонт и монтаж машин и оборудования</t>
  </si>
  <si>
    <t>Обеспечение электрической энергией, газом и паром; кондиционирование воздуха</t>
  </si>
  <si>
    <t>Водоснабжение; водоотведение, организация сбора и утилизации отходов, деятельность по ликвидации загрязнений</t>
  </si>
  <si>
    <t>производство текстильных изделий</t>
  </si>
  <si>
    <t>производство одежды</t>
  </si>
  <si>
    <t>производство кожи и изделий из кожи</t>
  </si>
  <si>
    <t xml:space="preserve">производство металлургическое </t>
  </si>
  <si>
    <t>производство электрического оборудования</t>
  </si>
  <si>
    <t>производство автотранспортных средств, прицепов и полуприцепов</t>
  </si>
  <si>
    <t>производство прочих транспортных средств и оборудования</t>
  </si>
  <si>
    <t>в действующих ценах</t>
  </si>
  <si>
    <t>Добыча прочих полезных ископаемых</t>
  </si>
  <si>
    <r>
      <t>пески природные, тыс. м</t>
    </r>
    <r>
      <rPr>
        <vertAlign val="superscript"/>
        <sz val="10"/>
        <color theme="1"/>
        <rFont val="Arial"/>
        <family val="2"/>
        <charset val="204"/>
      </rPr>
      <t>3</t>
    </r>
  </si>
  <si>
    <t>Производство пищевых продуктов</t>
  </si>
  <si>
    <t>говядина, кроме субпродуктов, тонн</t>
  </si>
  <si>
    <t>свинина, кроме субпродуктов, тонн</t>
  </si>
  <si>
    <t>изделия колбасные, включая изделия колбасные для детского питания, тонн</t>
  </si>
  <si>
    <t>рыба переработанная и консервированная, ракообразные и моллюски, тонн</t>
  </si>
  <si>
    <t>молоко жидкое обработанное, включая молоко для детского питания, тонн</t>
  </si>
  <si>
    <t>сливки, тонн</t>
  </si>
  <si>
    <t>сыры, тонн</t>
  </si>
  <si>
    <t>творог, тонн</t>
  </si>
  <si>
    <t>продукты кисломолочные (кроме творога и продуктов из творога), тонн</t>
  </si>
  <si>
    <t>хлеб и хлебобулочные изделия недлительного хранения, тонн</t>
  </si>
  <si>
    <t>кондитерские изделия, тонн</t>
  </si>
  <si>
    <t>Производство напитков</t>
  </si>
  <si>
    <t>Производство одежды</t>
  </si>
  <si>
    <t>спецодежда, тыс. штук</t>
  </si>
  <si>
    <t>Производство кожи и изделий из кожи</t>
  </si>
  <si>
    <t>обувь, тыс. пар</t>
  </si>
  <si>
    <t>Обработка древесины и производство изделий из дерева и пробки, кроме мебели, производство изделий из соломки и материалов для плетения</t>
  </si>
  <si>
    <r>
      <t>лесоматериалы, продольно распиленные или расколотые, разделенные на слои или лущеные, толщиной более 6 мм; деревянные железнодорожные или трамвайные шпалы, непропитанные, тыс. м</t>
    </r>
    <r>
      <rPr>
        <vertAlign val="superscript"/>
        <sz val="10"/>
        <color theme="1"/>
        <rFont val="Arial"/>
        <family val="2"/>
        <charset val="204"/>
      </rPr>
      <t>3</t>
    </r>
  </si>
  <si>
    <r>
      <t>фанера, м</t>
    </r>
    <r>
      <rPr>
        <vertAlign val="superscript"/>
        <sz val="10"/>
        <color theme="1"/>
        <rFont val="Arial"/>
        <family val="2"/>
        <charset val="204"/>
      </rPr>
      <t>3</t>
    </r>
  </si>
  <si>
    <t>Производство химических веществ и химических продуктов</t>
  </si>
  <si>
    <t>пластмассы в первичных формах, тонн</t>
  </si>
  <si>
    <t>препараты лекарственные, тыс. рублей</t>
  </si>
  <si>
    <t>Производство резиновых и пластмассовых изделий</t>
  </si>
  <si>
    <t>трубы, трубки и шланги и их фитинги пластмассовые, тонн</t>
  </si>
  <si>
    <t>Производство прочей неметаллической минеральной продукции</t>
  </si>
  <si>
    <t>бутылки стеклянные, млн штук</t>
  </si>
  <si>
    <t>кирпич строительный (включая камни) из цемента, бетона или искусственного камня, млн условных кирпичей</t>
  </si>
  <si>
    <r>
      <t>блоки и прочие изделия сборные строительные для зданий и сооружений из цемента, бетона или искусственного камня, тыс. м</t>
    </r>
    <r>
      <rPr>
        <vertAlign val="superscript"/>
        <sz val="10"/>
        <color theme="1"/>
        <rFont val="Arial"/>
        <family val="2"/>
        <charset val="204"/>
      </rPr>
      <t>3</t>
    </r>
  </si>
  <si>
    <t>Производство металлургическое</t>
  </si>
  <si>
    <t>прокат готовый, тонн</t>
  </si>
  <si>
    <t>Производство компьютеров, электронных и оптических изделий</t>
  </si>
  <si>
    <t>Производство электрического оборудования</t>
  </si>
  <si>
    <t>аккумуляторы свинцовые для запуска поршневых двигателей, тыс. штук</t>
  </si>
  <si>
    <t>Производство машин и оборудования, не включенных в другие группировки</t>
  </si>
  <si>
    <t>насосы центробежные подачи жидкостей прочие; насосы прочие, штук</t>
  </si>
  <si>
    <t>Производство мебели</t>
  </si>
  <si>
    <t xml:space="preserve">мебель, тыс. рублей </t>
  </si>
  <si>
    <t>Производство прочих готовых изделий</t>
  </si>
  <si>
    <t>шприцы, иглы, катетеры, канюли и аналогичные инструменты, тыс. штук</t>
  </si>
  <si>
    <t>электроэнергия, млн кВт ч</t>
  </si>
  <si>
    <t>пар и горячая вода, тыс. Гкал</t>
  </si>
  <si>
    <t>Млн рублей</t>
  </si>
  <si>
    <t>СТРОИТЕЛЬСТВО</t>
  </si>
  <si>
    <t>I квартал</t>
  </si>
  <si>
    <t>II квартал</t>
  </si>
  <si>
    <t>III квартал</t>
  </si>
  <si>
    <t>IV квартал</t>
  </si>
  <si>
    <t>Грузооборот, млн т-км</t>
  </si>
  <si>
    <t>Динамика оборота розничной торговли</t>
  </si>
  <si>
    <t>предыдущему     периоду</t>
  </si>
  <si>
    <t>РОЗНИЧНАЯ ТОРГОВЛЯ</t>
  </si>
  <si>
    <t>Всего</t>
  </si>
  <si>
    <t>в том числе:</t>
  </si>
  <si>
    <t>торгующих организаций  и индивидуальных предпринимателей вне рынка</t>
  </si>
  <si>
    <t>продажа товаров на розничных рынках и ярмарках (без учета юридических лиц)</t>
  </si>
  <si>
    <t>Пищевые продукты, включая напитки,    и табачные изделия</t>
  </si>
  <si>
    <t>Непродовольственные                         товары</t>
  </si>
  <si>
    <t>в % к</t>
  </si>
  <si>
    <t>предыду-щему периоду</t>
  </si>
  <si>
    <t>соответст-вующему периоду предыду-щего года</t>
  </si>
  <si>
    <t>РЫНОК ПЛАТНЫХ УСЛУГ НАСЕЛЕНИЮ</t>
  </si>
  <si>
    <t>Динамика объема платных услуг населению</t>
  </si>
  <si>
    <t>ИНДЕКСЫ ПОТРЕБИТЕЛЬСКИХ ЦЕН И ТАРИФОВ</t>
  </si>
  <si>
    <t>на конец периода, в процентах к предыдущему периоду</t>
  </si>
  <si>
    <t>В том числе на</t>
  </si>
  <si>
    <t>услуги</t>
  </si>
  <si>
    <t>непродоволь-ственные товары</t>
  </si>
  <si>
    <t>продоволь-ственные товары</t>
  </si>
  <si>
    <t>Индексы потребительских цен на отдельные группы и виды продовольственных товаров</t>
  </si>
  <si>
    <t>на конец месяца, в процентах</t>
  </si>
  <si>
    <t>Продовольственные товары</t>
  </si>
  <si>
    <t>Продовольственные товары без алкогольных напитков</t>
  </si>
  <si>
    <t>Мясо и птица</t>
  </si>
  <si>
    <t>Колбасные изделия и продукты из мяса и птицы</t>
  </si>
  <si>
    <t xml:space="preserve">Рыба и морепродукты </t>
  </si>
  <si>
    <t>Масло сливочное</t>
  </si>
  <si>
    <t>Масло подсолнечное</t>
  </si>
  <si>
    <t>Молоко и молочная продукция</t>
  </si>
  <si>
    <t>Сыр</t>
  </si>
  <si>
    <t>Сахар-песок</t>
  </si>
  <si>
    <t>Кондитерские изделия</t>
  </si>
  <si>
    <t>Хлеб и хлебобулочные изделия</t>
  </si>
  <si>
    <t>Крупа и бобовые</t>
  </si>
  <si>
    <t>Макаронные изделия</t>
  </si>
  <si>
    <t>Плодоовощная продукция</t>
  </si>
  <si>
    <t>Алкогольные напитки</t>
  </si>
  <si>
    <t>предыдущему месяцу</t>
  </si>
  <si>
    <t>Индексы потребительских цен на отдельные группы непродовольственных товаров</t>
  </si>
  <si>
    <t>Непродовольственные товары</t>
  </si>
  <si>
    <t>Одежда и белье</t>
  </si>
  <si>
    <t>Трикотажные изделия</t>
  </si>
  <si>
    <t>Ткани</t>
  </si>
  <si>
    <t xml:space="preserve">Обувь </t>
  </si>
  <si>
    <t>Табачные изделия</t>
  </si>
  <si>
    <t>Мебель</t>
  </si>
  <si>
    <t>Телерадиотовары</t>
  </si>
  <si>
    <t>Бензин автомобильный</t>
  </si>
  <si>
    <t>Медикаменты</t>
  </si>
  <si>
    <t>Моющие и чистящие средства</t>
  </si>
  <si>
    <t>Электротовары и другие бытовые приборы</t>
  </si>
  <si>
    <t>Строительные материалы</t>
  </si>
  <si>
    <t>Легковые автомобили</t>
  </si>
  <si>
    <t>Индексы потребительских цен и тарифов на отдельные группы услуг</t>
  </si>
  <si>
    <t>Услуги</t>
  </si>
  <si>
    <t>Бытовые услуги</t>
  </si>
  <si>
    <t>Услуги пассажирского транспорта</t>
  </si>
  <si>
    <t>Услуги образования</t>
  </si>
  <si>
    <t>Услуги организаций культуры</t>
  </si>
  <si>
    <t>Услуги зарубежного туризма</t>
  </si>
  <si>
    <t>Медицинские услуги</t>
  </si>
  <si>
    <t>Услуги правового характера</t>
  </si>
  <si>
    <t>оплата жилья в домах государственного и муниципального жилищных фондов</t>
  </si>
  <si>
    <t xml:space="preserve">услуги по организации и выполнению работ по эксплуатации домов ЖК, ЖСК, ТСЖ </t>
  </si>
  <si>
    <t>Коммунальные услуги</t>
  </si>
  <si>
    <t>водоснабжение холодное</t>
  </si>
  <si>
    <t>водоснабжение горячее</t>
  </si>
  <si>
    <t>водоотведение</t>
  </si>
  <si>
    <t>отопление</t>
  </si>
  <si>
    <t>газоснабжение</t>
  </si>
  <si>
    <t>электроснабжение</t>
  </si>
  <si>
    <t>ИНДЕКСЫ ЦЕН И ТАРИФОВ ПРОИЗВОДИТЕЛЕЙ</t>
  </si>
  <si>
    <r>
      <t>Всего</t>
    </r>
    <r>
      <rPr>
        <vertAlign val="superscript"/>
        <sz val="10"/>
        <color theme="1"/>
        <rFont val="Arial"/>
        <family val="2"/>
        <charset val="204"/>
      </rPr>
      <t>1)</t>
    </r>
  </si>
  <si>
    <t>В том числе по видам экономической деятельности</t>
  </si>
  <si>
    <t>добыча полезных ископаемых</t>
  </si>
  <si>
    <t>обрабатывающие производства</t>
  </si>
  <si>
    <t>обеспечение электрической энергией, газом и паром; кондиционирование воздуха</t>
  </si>
  <si>
    <t>водоснабжение; водоотведение, организация сбора и утилизации отходов, деятельность по ликвидации загрязнений</t>
  </si>
  <si>
    <t>обрабатыва-ющие производства</t>
  </si>
  <si>
    <t>обеспечение электричес-кой энергией, газом и паром; кондициони-рование воздуха</t>
  </si>
  <si>
    <t>на конец месяца, рублей за литр</t>
  </si>
  <si>
    <t>Справочно</t>
  </si>
  <si>
    <t xml:space="preserve">марки АИ-92 </t>
  </si>
  <si>
    <t xml:space="preserve">марки АИ-95 </t>
  </si>
  <si>
    <t>Дизельное топливо</t>
  </si>
  <si>
    <t>на конец месяца, млн рублей</t>
  </si>
  <si>
    <t>Из нее</t>
  </si>
  <si>
    <t>поставщикам</t>
  </si>
  <si>
    <t>в бюджет</t>
  </si>
  <si>
    <t>в том числе по видам экономической деятельности:</t>
  </si>
  <si>
    <t>сельское, лесное хозяйство, охота, рыболовство и рыбоводство</t>
  </si>
  <si>
    <t>строительство</t>
  </si>
  <si>
    <t>торговля оптовая и розничная; ремонт автотранспортных средств и мотоциклов</t>
  </si>
  <si>
    <t>транспортировка и хранение</t>
  </si>
  <si>
    <t>деятельность гостиниц и предприятий общественного питания</t>
  </si>
  <si>
    <t>деятельность в области информации и связи</t>
  </si>
  <si>
    <t>деятельность по операциям с недвижимым имуществом</t>
  </si>
  <si>
    <t>деятельность профессиональная, научная и техническая</t>
  </si>
  <si>
    <t>деятельность в области здравоохранения и социальных услуг</t>
  </si>
  <si>
    <t>Реальная начисленная   заработная плата в % к</t>
  </si>
  <si>
    <t>соответ-ствующему периоду предыдущего года</t>
  </si>
  <si>
    <t>деятельность административная и сопутствующие дополнительные услуги</t>
  </si>
  <si>
    <t>образование</t>
  </si>
  <si>
    <t>рублей</t>
  </si>
  <si>
    <t xml:space="preserve">в % к </t>
  </si>
  <si>
    <t>растениеводство и животноводство, охота и предоставление соответствующих услуг в этих областях</t>
  </si>
  <si>
    <t>лесоводство и лесозаготовки</t>
  </si>
  <si>
    <t>рыболовство и рыбоводство</t>
  </si>
  <si>
    <t>торговля оптовая, кроме оптовой торговли автотранспортными средствами и мотоциклами</t>
  </si>
  <si>
    <t>торговля розничная, кроме торговли автотранспортными средствами и мотоциклами</t>
  </si>
  <si>
    <t>деятельность сухопутного и трубопроводного транспорта</t>
  </si>
  <si>
    <t>деятельность водного транспорта</t>
  </si>
  <si>
    <t>деятельность воздушного и космического транспорта</t>
  </si>
  <si>
    <t>складское хозяйство и вспомогательная транспортная деятельность</t>
  </si>
  <si>
    <t>деятельность почтовой связи и курьерская деятельность</t>
  </si>
  <si>
    <t>деятельность финансовая и страховая</t>
  </si>
  <si>
    <t>научные исследования и разработки</t>
  </si>
  <si>
    <t>государственное управление и обеспечение военной безопасности; социальное обеспечение</t>
  </si>
  <si>
    <t>деятельность в области культуры, спорта, организации досуга и развлечений</t>
  </si>
  <si>
    <t>на начало месяца</t>
  </si>
  <si>
    <t>В том числе задолженность</t>
  </si>
  <si>
    <t>в % к предыдущему месяцу</t>
  </si>
  <si>
    <t xml:space="preserve">Всего замещенных рабочих мест, тысяч </t>
  </si>
  <si>
    <t>работниками списочного состава (без внешних совместителей)</t>
  </si>
  <si>
    <t xml:space="preserve">внешними совместителями </t>
  </si>
  <si>
    <t>работниками, выполнявшими работы по договорам гражданско-правового характера</t>
  </si>
  <si>
    <t>на конец месяца</t>
  </si>
  <si>
    <t>Из них безработных</t>
  </si>
  <si>
    <t>тыс.</t>
  </si>
  <si>
    <t>соответствую-щему периоду предыдущего года</t>
  </si>
  <si>
    <t>Сводный индекс цен на продукцию (затраты, услуги) инвестиционного назначения, на конец периода</t>
  </si>
  <si>
    <t>Индекс тарифов на грузовые перевозки, на конец периода</t>
  </si>
  <si>
    <t>СЕЛЬСКОЕ ХОЗЯЙСТВО</t>
  </si>
  <si>
    <t>АВТОМОБИЛЬНЫЙ ТРАНСПОРТ</t>
  </si>
  <si>
    <t>В том числе на продукцию</t>
  </si>
  <si>
    <t>растениеводства</t>
  </si>
  <si>
    <t>животноводства</t>
  </si>
  <si>
    <t>В том числе индексы цен</t>
  </si>
  <si>
    <t>производителей на строительную продукцию</t>
  </si>
  <si>
    <t>приобретения машин и оборудования инвестиционного назначения</t>
  </si>
  <si>
    <t>на прочую продукцию (затраты, услуги) инвестиционного назначения</t>
  </si>
  <si>
    <t>Динамика индексов цен на продукцию (затраты, услуги) инвестиционного назначения по элементам технологической структуры</t>
  </si>
  <si>
    <t xml:space="preserve">Динамика индексов тарифов на грузовые перевозки отдельными видами транспорта </t>
  </si>
  <si>
    <t>автомобильный</t>
  </si>
  <si>
    <t xml:space="preserve">трубопроводный </t>
  </si>
  <si>
    <t>внутренний водный</t>
  </si>
  <si>
    <t>ПРОМЫШЛЕННОЕ ПРОИЗВОДСТВО</t>
  </si>
  <si>
    <t xml:space="preserve">АВТОМОБИЛЬНЫЙ ТРАНСПОРТ </t>
  </si>
  <si>
    <t>УРОВЕНЬ ЖИЗНИ НАСЕЛЕНИЯ</t>
  </si>
  <si>
    <t xml:space="preserve">ЗАНЯТОСТЬ И БЕЗРАБОТИЦА </t>
  </si>
  <si>
    <t>Из него коровы</t>
  </si>
  <si>
    <t>Свиньи</t>
  </si>
  <si>
    <t>Овцы и козы</t>
  </si>
  <si>
    <t>на конец месяца, в процентах к соответствующей дате предыдущего года</t>
  </si>
  <si>
    <t xml:space="preserve">Крупный рогатый скот </t>
  </si>
  <si>
    <t>крупный рогатый скот</t>
  </si>
  <si>
    <t>свиньи</t>
  </si>
  <si>
    <t>другие виды скота</t>
  </si>
  <si>
    <t>Молоко</t>
  </si>
  <si>
    <r>
      <t>1)</t>
    </r>
    <r>
      <rPr>
        <i/>
        <sz val="9"/>
        <color theme="1"/>
        <rFont val="Arial"/>
        <family val="2"/>
        <charset val="204"/>
      </rPr>
      <t xml:space="preserve"> С досчетом на микропредприятия</t>
    </r>
  </si>
  <si>
    <t>Скот и птица на убой 
(в живом весе) – всего</t>
  </si>
  <si>
    <t>Индексы цен производителей отдельных видов промышленных товаров, реализованных на внутреннем рынке</t>
  </si>
  <si>
    <t>Нефть обезвоженная, обессоленная и стабилизированная</t>
  </si>
  <si>
    <t>Говядина парная, остывшая или охлажденная</t>
  </si>
  <si>
    <t>Свинина парная, остывшая или охлажденная домашних свиней</t>
  </si>
  <si>
    <t>Мясо птицы охлажденное, в том числе для детского питания</t>
  </si>
  <si>
    <t>Изделия колбасные и аналогичная пищевая продукция из мяса, субпродуктов или крови животных, из мяса и субпродуктов птицы</t>
  </si>
  <si>
    <t>Молоко питьевое пастеризованное</t>
  </si>
  <si>
    <t>Мука пшеничная</t>
  </si>
  <si>
    <t>Хлеб и хлебобулочные изделия недлительного хранения</t>
  </si>
  <si>
    <t>Водка</t>
  </si>
  <si>
    <t>Пиво, кроме отходов пивоварения</t>
  </si>
  <si>
    <t>Электроэнергия, отпущенная различным категориям потребителей</t>
  </si>
  <si>
    <t>Пар и горячая вода</t>
  </si>
  <si>
    <t>Индексы цен производителей промышленных товаров, реализованных 
на внутреннем рынке, по отдельным видам экономической деятельности</t>
  </si>
  <si>
    <t>Газовое моторное топливо</t>
  </si>
  <si>
    <t>Средние потребительские цены на бензин автомобильный и топливо моторное</t>
  </si>
  <si>
    <t>Индексы потребительских цен на бензин автомобильный и топливо моторное</t>
  </si>
  <si>
    <t>I.  ОСНОВНЫЕ ЭКОНОМИЧЕСКИЕ И СОЦИАЛЬНЫЕ ПОКАЗАТЕЛИ</t>
  </si>
  <si>
    <t>II. ПРОИЗВОДСТВО ТОВАРОВ И УСЛУГ</t>
  </si>
  <si>
    <t>III. РЫНКИ ТОВАРОВ И УСЛУГ</t>
  </si>
  <si>
    <t>IV. ЦЕНЫ</t>
  </si>
  <si>
    <t>Володкина М.А.</t>
  </si>
  <si>
    <t>Динамика индексов потребительских цен и тарифов на товары и услуги населению</t>
  </si>
  <si>
    <t>Уровень жизни населения</t>
  </si>
  <si>
    <t>39-30-51</t>
  </si>
  <si>
    <t>39-30-53</t>
  </si>
  <si>
    <t>39-30-59</t>
  </si>
  <si>
    <t>(доб. 1093)</t>
  </si>
  <si>
    <t>39-30-57</t>
  </si>
  <si>
    <t>(доб. 1078)</t>
  </si>
  <si>
    <t>39-30-54</t>
  </si>
  <si>
    <t>(доб. 1118)</t>
  </si>
  <si>
    <t>39-30-58</t>
  </si>
  <si>
    <t>(доб. 1151)</t>
  </si>
  <si>
    <t>39-30-56</t>
  </si>
  <si>
    <t>(доб. 1108)</t>
  </si>
  <si>
    <t>Тюменской области (кроме Ханты-Мансийского автономного округа – Югры и Ямало-Ненецкого автономного округа)</t>
  </si>
  <si>
    <t xml:space="preserve">     В кратком статистическом докладе помещены сведения о социально-экономическом положении Тюменской области (кроме Ханты-Мансийского автономного округа – Югры и Ямало-Ненецкого автономного округа) за отчетный период и нарастающим итогом с начала года в сравнении с соответствующим периодом предыдущего года. 
    Предназначен для органов государственного управления, научных, образовательных, предпринимательских, банковских учреждений и других заинтересованных пользователей.</t>
  </si>
  <si>
    <t xml:space="preserve">   В кратком статистическом докладе публикуется информация по основным экономическим и социальным показателям, подготовленная на основе данных государственных статистических наблюдений месячной, квартальной и годовой периодичности, а также сведений, предоставленных другими субъектами официального статистического учета в установленной сфере деятельности. </t>
  </si>
  <si>
    <t xml:space="preserve">   В ряде случаев предварительные данные в последующих выпусках доклада уточняются в соответствии с методиками сбора и обработки сведений. При расчете отдельных показателей используется экспертная оценка по официальной методологии Федеральной службы государственной статистики. </t>
  </si>
  <si>
    <t xml:space="preserve">  В отдельных случаях незначительные расхождения между итогом и суммой слагаемых объясняются округлением данных.</t>
  </si>
  <si>
    <t xml:space="preserve">    В помощь пользователям публикуются методологические пояснения, содержащие определения используемых в материале статистических терминов (показателей).</t>
  </si>
  <si>
    <t>птица</t>
  </si>
  <si>
    <t>тыс. тонн</t>
  </si>
  <si>
    <t>-</t>
  </si>
  <si>
    <t xml:space="preserve">I. ОСНОВНЫЕ ЭКОНОМИЧЕСКИЕ И СОЦИАЛЬНЫЕ ПОКАЗАТЕЛИ </t>
  </si>
  <si>
    <r>
      <t>Ввод в действие жилых домов (с учетом жилых домов, построенных на земельных участках, предназначенных для ведения гражданами садоводства), м</t>
    </r>
    <r>
      <rPr>
        <vertAlign val="superscript"/>
        <sz val="10"/>
        <rFont val="Arial"/>
        <family val="2"/>
        <charset val="204"/>
      </rPr>
      <t>2</t>
    </r>
    <r>
      <rPr>
        <sz val="10"/>
        <rFont val="Arial"/>
        <family val="2"/>
        <charset val="204"/>
      </rPr>
      <t xml:space="preserve"> общей площади жилых помещений</t>
    </r>
  </si>
  <si>
    <t>VI. УРОВЕНЬ ЖИЗНИ НАСЕЛЕНИЯ</t>
  </si>
  <si>
    <t>Динамика индекса промышленного производства</t>
  </si>
  <si>
    <t>приборы для контроля прочих физических величин, тыс. рублей</t>
  </si>
  <si>
    <t>…</t>
  </si>
  <si>
    <t>VII. ЗАНЯТОСТЬ И БЕЗРАБОТИЦА</t>
  </si>
  <si>
    <t>В % к 
соответствующему периоду предыдущего года</t>
  </si>
  <si>
    <t>Птица</t>
  </si>
  <si>
    <t>Жилищные и коммунальные услуги (включая аренду квартир)</t>
  </si>
  <si>
    <t>Динамика просроченной задолженности по заработной плате организаций
 (без субъектов малого предпринимательства)</t>
  </si>
  <si>
    <t>Оборот розничной торговли торгующих организаций и продажа товаров на розничных рынках и ярмарках</t>
  </si>
  <si>
    <t>Динамика оборота розничной торговли пищевыми продуктами, включая напитки, и табачными изделиями, непродовольственными товарами</t>
  </si>
  <si>
    <t>В % к         соответствующему месяцу    предыдущего года</t>
  </si>
  <si>
    <t>Объем платных услуг населению, млн рублей</t>
  </si>
  <si>
    <t>добыча нефти и природного газа</t>
  </si>
  <si>
    <t>Добыча нефти и природного газа</t>
  </si>
  <si>
    <t>В % к
предыдущему
месяцу</t>
  </si>
  <si>
    <t>Грузооборот автомобильного транспорта организаций (без субъектов малого предпринимательства), млн т-км</t>
  </si>
  <si>
    <t>Оборот розничной торговли, млн рублей</t>
  </si>
  <si>
    <t>Яйца, млн штук</t>
  </si>
  <si>
    <t>Сокращения</t>
  </si>
  <si>
    <t>г.</t>
  </si>
  <si>
    <t>год</t>
  </si>
  <si>
    <r>
      <t>м</t>
    </r>
    <r>
      <rPr>
        <vertAlign val="superscript"/>
        <sz val="10"/>
        <color theme="1"/>
        <rFont val="Arial"/>
        <family val="2"/>
        <charset val="204"/>
      </rPr>
      <t>3</t>
    </r>
  </si>
  <si>
    <t>кубический метр</t>
  </si>
  <si>
    <t>га</t>
  </si>
  <si>
    <t>гектар</t>
  </si>
  <si>
    <t>млн</t>
  </si>
  <si>
    <t>миллион</t>
  </si>
  <si>
    <t>Гкал</t>
  </si>
  <si>
    <t>гигакалория</t>
  </si>
  <si>
    <t>полул.</t>
  </si>
  <si>
    <t>полулитр</t>
  </si>
  <si>
    <t>км</t>
  </si>
  <si>
    <t>километр</t>
  </si>
  <si>
    <t>р</t>
  </si>
  <si>
    <t>раз</t>
  </si>
  <si>
    <t>кВт ч</t>
  </si>
  <si>
    <t>киловатт-час</t>
  </si>
  <si>
    <t>т-км</t>
  </si>
  <si>
    <t>тонно-километр</t>
  </si>
  <si>
    <t>кг</t>
  </si>
  <si>
    <t>килограмм</t>
  </si>
  <si>
    <t>тысяча</t>
  </si>
  <si>
    <r>
      <t>м</t>
    </r>
    <r>
      <rPr>
        <vertAlign val="superscript"/>
        <sz val="10"/>
        <color theme="1"/>
        <rFont val="Arial"/>
        <family val="2"/>
        <charset val="204"/>
      </rPr>
      <t>2</t>
    </r>
  </si>
  <si>
    <t>квадратный метр</t>
  </si>
  <si>
    <t>Условные обозначения</t>
  </si>
  <si>
    <t>данные не отражены (не имеются, являются конфиденциальными);</t>
  </si>
  <si>
    <t>явление отсутствует;</t>
  </si>
  <si>
    <t>величина явления меньше единицы измерения.</t>
  </si>
  <si>
    <t>Яйца куриные</t>
  </si>
  <si>
    <t>Основные экономические и социальные показатели</t>
  </si>
  <si>
    <t>Квадратных     метров общей площади жилых помещений</t>
  </si>
  <si>
    <t xml:space="preserve">Все товары           и услуги  </t>
  </si>
  <si>
    <t>содержание, ремонт жилья для граждан-собственников жилья</t>
  </si>
  <si>
    <t xml:space="preserve">Стоимость набора, рублей </t>
  </si>
  <si>
    <t>Сводный индекс цен на продукцию (затраты, услуги) инвестиционного назначения</t>
  </si>
  <si>
    <t>Численность работников,   перед которыми имеется задолженность по заработной плате, тыс. человек</t>
  </si>
  <si>
    <t xml:space="preserve">из-за несвоевременного получения  денежных средств из бюджетов   всех уровней </t>
  </si>
  <si>
    <t>из-за отсутствия               собственных                           средств</t>
  </si>
  <si>
    <t>Численность незанятых трудовой деятельностью граждан,            тыс. человек</t>
  </si>
  <si>
    <t xml:space="preserve">Динамика стоимости фиксированного набора потребительских товаров и услуг </t>
  </si>
  <si>
    <t>Просроченная задолженность по заработной плате</t>
  </si>
  <si>
    <t>тыс. человек</t>
  </si>
  <si>
    <t>Топливо дизельное</t>
  </si>
  <si>
    <t>Услуги телекоммуникационные</t>
  </si>
  <si>
    <t>Динамика поголовья основных видов скота в сельскохозяйственных организациях</t>
  </si>
  <si>
    <t xml:space="preserve">СЕЛЬСКОЕ ХОЗЯЙСТВО </t>
  </si>
  <si>
    <t>ЦЕНЫ</t>
  </si>
  <si>
    <t xml:space="preserve">     не имели работы (доходного занятия);</t>
  </si>
  <si>
    <t xml:space="preserve">    занимались поиском работы, т.е. обращались в государственную или коммерческую службу занятости, использовали или помещали объявления в печати, непосредственно обращались к администрации организации или работодателю, использовали личные связи или предпринимали шаги к организации собственного дела (поиск земли, зданий, машин и оборудования, сырья, финансовых ресурсов, обращение за разрешениями, лицензиями и т.п.);</t>
  </si>
  <si>
    <t>В том числе транспорт</t>
  </si>
  <si>
    <t>Объем работ, выполненных по виду экономической деятельности «строительство»</t>
  </si>
  <si>
    <t xml:space="preserve">   В целях обеспечения конфиденциальности первичных статистических данных, полученных от организаций, в соответствии с Федеральным законом от 29 декабря 2007 г. № 282 – ФЗ «Об официальном статистическом учете и системе государственной статистики в Российской Федерации» (п.5, ст.4; п.1, ст.9) отдельные статистические данные являются конфиденциальными и публикации не подлежат. </t>
  </si>
  <si>
    <r>
      <t>1)</t>
    </r>
    <r>
      <rPr>
        <i/>
        <sz val="9"/>
        <rFont val="Arial"/>
        <family val="2"/>
        <charset val="204"/>
      </rPr>
      <t xml:space="preserve">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r>
  </si>
  <si>
    <t xml:space="preserve">e-mail:72@rosstat.gov.ru
http://72.rosstat.gov.ru
</t>
  </si>
  <si>
    <t>Индекс цен производителей сельскохозяйственной продукции, реализованной сельскохозяйственными организациями, на конец периода</t>
  </si>
  <si>
    <t>Динамика индексов цен производителей сельскохозяйственной продукции, реализованной сельскохозяйственными организациями</t>
  </si>
  <si>
    <t>Производство лекарственных средств и материалов, применяемых в медицинских целях и ветеринарии</t>
  </si>
  <si>
    <t xml:space="preserve">Число замещенных рабочих мест в организациях 
(без субъектов малого предпринимательства) </t>
  </si>
  <si>
    <t>мясо и субпродукты пищевые домашней птицы, тонн</t>
  </si>
  <si>
    <t>Производство основных видов продукции</t>
  </si>
  <si>
    <t>Производство автотранспортных средств, прицепов и полуприцепов</t>
  </si>
  <si>
    <t>(доб. 1285)</t>
  </si>
  <si>
    <t xml:space="preserve"> декабрю предыдущего года</t>
  </si>
  <si>
    <t>Савенкова Л.Б.</t>
  </si>
  <si>
    <r>
      <t>двери, их коробки и пороги деревянные, тыс. м</t>
    </r>
    <r>
      <rPr>
        <vertAlign val="superscript"/>
        <sz val="10"/>
        <color theme="1"/>
        <rFont val="Arial"/>
        <family val="2"/>
        <charset val="204"/>
      </rPr>
      <t>2</t>
    </r>
  </si>
  <si>
    <r>
      <t>Производство основных видов продукции животноводства 
в сельскохозяйственных организациях</t>
    </r>
    <r>
      <rPr>
        <b/>
        <vertAlign val="superscript"/>
        <sz val="11"/>
        <color theme="1"/>
        <rFont val="Arial"/>
        <family val="2"/>
        <charset val="204"/>
      </rPr>
      <t>1)</t>
    </r>
    <r>
      <rPr>
        <b/>
        <sz val="11"/>
        <color theme="1"/>
        <rFont val="Arial"/>
        <family val="2"/>
        <charset val="204"/>
      </rPr>
      <t xml:space="preserve"> </t>
    </r>
  </si>
  <si>
    <t xml:space="preserve">Справочно  </t>
  </si>
  <si>
    <t>2024 г.</t>
  </si>
  <si>
    <t>Просроченная кредиторская                   задолженность – всего</t>
  </si>
  <si>
    <t>по платежам в государственные внебюджетные фонды</t>
  </si>
  <si>
    <t>производство лекарственных средств и материалов, применяемых в медицинских целях и ветеринарии</t>
  </si>
  <si>
    <t>производство прочих готовых изделий</t>
  </si>
  <si>
    <t>В % к соответствующему месяцу предыдущего года</t>
  </si>
  <si>
    <t>Среднемесячная  номинальная  начисленная    заработная плата одного работника, рублей</t>
  </si>
  <si>
    <t>Объем отгруженных товаров собственного производства, выполненных работ и услуг собственными силами по отдельным видам экономической деятельности</t>
  </si>
  <si>
    <t xml:space="preserve">Справочно             </t>
  </si>
  <si>
    <t>2,9р</t>
  </si>
  <si>
    <r>
      <t>Просроченная задолженность по заработной плате</t>
    </r>
    <r>
      <rPr>
        <sz val="10"/>
        <color theme="1"/>
        <rFont val="Arial"/>
        <family val="2"/>
        <charset val="204"/>
      </rPr>
      <t xml:space="preserve"> – фактически начисленные работникам суммы заработной платы, но не выплаченные в срок, установленный коллективным договором или договором на расчетно-кассовое обслуживание, заключенным с банком. Число дней задержки считается, начиная со следующего дня после истечения этого срока. </t>
    </r>
  </si>
  <si>
    <t>Информация о просроченной задолженности по заработной плате формируется по данным ежемесячного федерального статистического наблюдения за организациями (без субъектов малого предпринимательства) наблюдаемых видов экономической деятельности.</t>
  </si>
  <si>
    <t>2,1р</t>
  </si>
  <si>
    <t>Динамика грузооборота автомобильного транспорта организаций 
(без субъектов малого предпринимательства) всех видов экономической деятельности</t>
  </si>
  <si>
    <t xml:space="preserve">Динамика среднемесячной номинальной и реальной начисленной заработной платы одного работника </t>
  </si>
  <si>
    <t>2,8р</t>
  </si>
  <si>
    <t>Управление Федеральной службы государственной статистики по Тюменской области, Ханты-Мансийскому автономному округу – Югре и Ямало-Ненецкому автономному округу, 2025</t>
  </si>
  <si>
    <t>Ю.А. Карявина, Т.Л. Тихомирова, Л.Б. Савенкова, И.Г. Клепова</t>
  </si>
  <si>
    <t>бытовые</t>
  </si>
  <si>
    <t>транспортные</t>
  </si>
  <si>
    <t>почтовой связи, курьерские</t>
  </si>
  <si>
    <t>из них</t>
  </si>
  <si>
    <t>услуги курьерской доставки</t>
  </si>
  <si>
    <t>телекоммуникационные</t>
  </si>
  <si>
    <t>жилищные</t>
  </si>
  <si>
    <t>коммунальные</t>
  </si>
  <si>
    <t>учреждений культуры</t>
  </si>
  <si>
    <t>туристических агентств, туроператоров и прочие услуги по бронированию и сопутствующие им услуги</t>
  </si>
  <si>
    <t>гостиниц и аналогичные услуги по предоставлению временного жилья</t>
  </si>
  <si>
    <t>физической культуры и спорта</t>
  </si>
  <si>
    <t>услуги фитнес-центров и спортивных клубов</t>
  </si>
  <si>
    <t>медицинские</t>
  </si>
  <si>
    <t>специализированных коллективных средств размещения</t>
  </si>
  <si>
    <t>санаторно-курортных организаций</t>
  </si>
  <si>
    <t>ветеринарные</t>
  </si>
  <si>
    <t>юридические</t>
  </si>
  <si>
    <t>системы образования</t>
  </si>
  <si>
    <t>услуги, предоставляемые гражданам пожилого возраста и инвалидам</t>
  </si>
  <si>
    <t>прочие виды</t>
  </si>
  <si>
    <t>электронные услуги и сервисы в области информационно-коммуникационных технологий</t>
  </si>
  <si>
    <t>Услуги почтовой связи</t>
  </si>
  <si>
    <t>Услуги дошкольного воспитания</t>
  </si>
  <si>
    <t>Санаторно-оздоровительные услуги</t>
  </si>
  <si>
    <t>Услуги страхования</t>
  </si>
  <si>
    <t>Услуги физической культуры и спорта</t>
  </si>
  <si>
    <t>взносы на капитальный ремонт</t>
  </si>
  <si>
    <t>обращение с твердыми коммунальными отходами</t>
  </si>
  <si>
    <t>Индексы цен на жилищные и коммунальные услуги</t>
  </si>
  <si>
    <r>
      <t>Всего</t>
    </r>
    <r>
      <rPr>
        <b/>
        <vertAlign val="superscript"/>
        <sz val="10"/>
        <color theme="1"/>
        <rFont val="Arial"/>
        <family val="2"/>
        <charset val="204"/>
      </rPr>
      <t>1)</t>
    </r>
  </si>
  <si>
    <t xml:space="preserve">(без субъектов малого предпринимательства) </t>
  </si>
  <si>
    <t>V. СОСТОЯНИЕ ПЛАТЕЖЕЙ  И РАСЧЕТОВ В ОРГАНИЗАЦИЯХ</t>
  </si>
  <si>
    <t>Просроченная дебиторская задолженность – всего</t>
  </si>
  <si>
    <t>Из нее покупателей</t>
  </si>
  <si>
    <t>2025 г.</t>
  </si>
  <si>
    <t>Жилищные услуги (без аренды квартир у частных лиц)</t>
  </si>
  <si>
    <t>(ТЮМЕНЬСТАТ)</t>
  </si>
  <si>
    <t>2,6р</t>
  </si>
  <si>
    <t>2,2р</t>
  </si>
  <si>
    <t>соответствующему месяцу предыдущего года</t>
  </si>
  <si>
    <t>предоставление прочих видов услуг</t>
  </si>
  <si>
    <t>Состоние платежей и расчетов в организациях</t>
  </si>
  <si>
    <t>Пассажирооборот,
 млн пасс.-км</t>
  </si>
  <si>
    <t>Динамика пассажирооборота автомобильного транспорта общего пользования (c учетом физических лиц, осуществляющих перевозки пассажиров на коммерческой основе)</t>
  </si>
  <si>
    <t>Объем платных услуг населению по видам</t>
  </si>
  <si>
    <t>Услуги гостиниц и прочих мест проживания</t>
  </si>
  <si>
    <t xml:space="preserve">Справочно </t>
  </si>
  <si>
    <t>декабрь 2024 г.</t>
  </si>
  <si>
    <t xml:space="preserve">предыдущему
месяцу
</t>
  </si>
  <si>
    <t>предыдущему
 месяцу</t>
  </si>
  <si>
    <t>полуфабрикаты мясные, мясосодержащие, охлажденные, замороженные, тонн</t>
  </si>
  <si>
    <t>масло сливочное, в том числе с пищевкусовыми компонентами, тонн</t>
  </si>
  <si>
    <t>воды минеральные природные упакованные, воды питьевые упакованные, не содержащие сахара, подсластителей, ароматизаторов и других пищевых веществ, тыс. полул.</t>
  </si>
  <si>
    <t>прицепы и полуприцепы прочие, не включенные в другие группировки, штук</t>
  </si>
  <si>
    <t>марки АИ-98 и выше</t>
  </si>
  <si>
    <t>В % к        соответствующему периоду предыдущего года</t>
  </si>
  <si>
    <t>в % к соответству-ющему месяцу предыдущего года</t>
  </si>
  <si>
    <t>в % к соответствующему периоду предыдущего года</t>
  </si>
  <si>
    <t>2р</t>
  </si>
  <si>
    <t>в % к  
соответствующему
месяцу предыдущего года</t>
  </si>
  <si>
    <t>в % к         соответствующему периоду предыдущего года</t>
  </si>
  <si>
    <t>декабрю 2024 г.</t>
  </si>
  <si>
    <t xml:space="preserve"> предыдущему
 месяцу </t>
  </si>
  <si>
    <t xml:space="preserve">соответствующему месяцу 
предыдущего года
</t>
  </si>
  <si>
    <t>предыдущему 
месяцу</t>
  </si>
  <si>
    <t>средне-региональному уровню среднемесячной заработной платы</t>
  </si>
  <si>
    <t>В % к 
соответствующему месяцу предыдущего года</t>
  </si>
  <si>
    <r>
      <t>газ нефтяной попутный (газ горючий природный нефтяных месторождений), млн м</t>
    </r>
    <r>
      <rPr>
        <vertAlign val="superscript"/>
        <sz val="10"/>
        <color theme="1"/>
        <rFont val="Arial"/>
        <family val="2"/>
        <charset val="204"/>
      </rPr>
      <t>3</t>
    </r>
  </si>
  <si>
    <r>
      <t>Динамика ввода в действие жилых домов (с</t>
    </r>
    <r>
      <rPr>
        <b/>
        <sz val="11"/>
        <color theme="1"/>
        <rFont val="Arial"/>
        <family val="2"/>
        <charset val="204"/>
      </rPr>
      <t xml:space="preserve"> учетом жилых домов, построенных на земельных участках, предназначенных для ведения гражданами садоводства)</t>
    </r>
  </si>
  <si>
    <t xml:space="preserve">Динамика численности незанятых трудовой деятельностью граждан, зарегистрированных в органах службы занятости населения 
</t>
  </si>
  <si>
    <t>(по данным Департамента труда и занятости населения Тюменской области)</t>
  </si>
  <si>
    <t>Исакова О.В.</t>
  </si>
  <si>
    <t>соответ-ствующему месяцу предыдущего года</t>
  </si>
  <si>
    <t xml:space="preserve">Число замещенных рабочих мест в организациях (без субъектов малого предпринимательства) </t>
  </si>
  <si>
    <t>производство металлургическое</t>
  </si>
  <si>
    <t>в % к 
соответствующему месяцу предыдущего года</t>
  </si>
  <si>
    <r>
      <t xml:space="preserve">Индекс производства </t>
    </r>
    <r>
      <rPr>
        <sz val="10"/>
        <color theme="1"/>
        <rFont val="Arial"/>
        <family val="2"/>
        <charset val="204"/>
      </rPr>
      <t xml:space="preserve">– относительный показатель, характеризующий изменение масштабов производства в сравниваемых периодах. Различают индивидуальные и сводные индексы производства. Индивидуальные индексы отражают изменение выпуска одного продукта и исчисляются как отношение объемов производства данного вида продукта в натурально-вещественном выражении в сравниваемых периодах. Сводный индекс производства характеризует совокупные изменения производства всех видов продукции и отражает изменение создаваемой в процессе производства стоимости в результате изменения только физического объема производимой продукции. Для исчисления сводного индекса производства индивидуальные индексы по конкретным видам продукции поэтапно агрегируются в индексы по группам, подклассам, классам, разделам ОКВЭД 2. </t>
    </r>
  </si>
  <si>
    <r>
      <t>Индекс промышленного производства</t>
    </r>
    <r>
      <rPr>
        <sz val="10"/>
        <color theme="1"/>
        <rFont val="Arial"/>
        <family val="2"/>
        <charset val="204"/>
      </rPr>
      <t xml:space="preserve"> – агрегированный индекс производства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r>
  </si>
  <si>
    <t xml:space="preserve">Индекс промышленного производства исчисляется на основе данных о динамике производства важнейших товаров-представителей (в натуральном или стоимостном выражении). </t>
  </si>
  <si>
    <t>Для расчета индекса промышленного производства в качестве весов использована структура валовой добавленной стоимости по видам экономической деятельности базисного 2018 года.</t>
  </si>
  <si>
    <r>
      <t>Объем отгруженных товаров</t>
    </r>
    <r>
      <rPr>
        <sz val="10"/>
        <color theme="1"/>
        <rFont val="Arial"/>
        <family val="2"/>
        <charset val="204"/>
      </rPr>
      <t xml:space="preserve"> </t>
    </r>
    <r>
      <rPr>
        <b/>
        <sz val="10"/>
        <color theme="1"/>
        <rFont val="Arial"/>
        <family val="2"/>
        <charset val="204"/>
      </rPr>
      <t xml:space="preserve">собственного производства, выполненных работ и услуг собственными силами </t>
    </r>
    <r>
      <rPr>
        <sz val="10"/>
        <color theme="1"/>
        <rFont val="Arial"/>
        <family val="2"/>
        <charset val="204"/>
      </rPr>
      <t xml:space="preserve">– стоимость отгруженных или отпущенных в порядке продажи, а также прямого обмена (по договору мены) всех товаров собственного производства, работ и услуг, выполненных (оказанных) собственными силами. </t>
    </r>
  </si>
  <si>
    <r>
      <t>Объем отгруженных товаров</t>
    </r>
    <r>
      <rPr>
        <b/>
        <sz val="10"/>
        <color theme="1"/>
        <rFont val="Arial"/>
        <family val="2"/>
        <charset val="204"/>
      </rPr>
      <t xml:space="preserve"> </t>
    </r>
    <r>
      <rPr>
        <sz val="10"/>
        <color theme="1"/>
        <rFont val="Arial"/>
        <family val="2"/>
        <charset val="204"/>
      </rPr>
      <t>представляет собой стоимость товаров, которые произведены данным юридическим лицом и фактически отгружены (переданы) в отчетном периоде на сторону (другим юридическим и физическим лицам), включая товары, сданные по акту заказчику на месте, независимо от того, поступили деньги на счет продавца или нет.</t>
    </r>
  </si>
  <si>
    <t xml:space="preserve">Объем работ и услуг, выполненных собственными силами, представляет собой стоимость работ и услуг, оказанных (выполненных) организацией другим юридическим и физическим лицам. </t>
  </si>
  <si>
    <t xml:space="preserve">Группировки по видам экономической деятельности представляют собой совокупность соответствующих фактических видов экономической деятельности, осуществляемых организациями, независимо от их основного вида деятельности. </t>
  </si>
  <si>
    <t>Формирование официальной статистической информации по объему отгруженных товаров собственного производства, выполненных работ и услуг собственными силами осуществляется в соответствии с Общероссийским классификатором видов экономической деятельности (ОК 029-2014 (КДЕС Ред. 2)) (ОКВЭД 2).</t>
  </si>
  <si>
    <t xml:space="preserve">Данные приводятся в фактических отпускных ценах без налога на добавленную стоимость, акцизов и других аналогичных обязательных платежей. </t>
  </si>
  <si>
    <r>
      <t>Производство продукции</t>
    </r>
    <r>
      <rPr>
        <sz val="10"/>
        <color theme="1"/>
        <rFont val="Arial"/>
        <family val="2"/>
        <charset val="204"/>
      </rPr>
      <t xml:space="preserve"> в натуральном выражении приводится по валовому выпуску, т.е. включая продукцию, израсходованную на производственные нужды внутри данной организации и выработанную из давальческого сырья. Давальческое сырье – это сырье, принадлежащее заказчику и переданное на переработку другим организациям для производства из него продукции в соответствии с заключенными договорами.</t>
    </r>
  </si>
  <si>
    <t>Формирование официальной статистической информации по продукции осуществляется в соответствии с Общероссийским классификатором продукции по видам экономической деятельности</t>
  </si>
  <si>
    <t>ОК 034-2014 (КПЕС 2008) (ОКПД 2).</t>
  </si>
  <si>
    <r>
      <t>Объем производства продукции сельского хозяйства</t>
    </r>
    <r>
      <rPr>
        <sz val="10"/>
        <color theme="1"/>
        <rFont val="Arial"/>
        <family val="2"/>
        <charset val="204"/>
      </rPr>
      <t xml:space="preserve"> – сумма данных об объеме продукции растениеводства и продукции животноводства, произведенной всеми сельхозпроизводителями (сельскохозяйственными организациями, крестьянскими (фермерскими) хозяйствами и индивидуальными предпринимателями, хозяйствами населения), в стоимостной оценке в фактически действовавших ценах и сопоставимых ценах. Продукция растениеводства включает стоимость сырых продуктов, полученных от урожая отчетного года, и изменение стоимости незавершенного производства в растениеводстве (посадка и выращивание до плодоношения сельскохозяйственных культур и многолетних насаждений) от начала к концу отчетного года.</t>
    </r>
    <r>
      <rPr>
        <sz val="14"/>
        <color theme="1"/>
        <rFont val="Arial"/>
        <family val="2"/>
        <charset val="204"/>
      </rPr>
      <t xml:space="preserve"> </t>
    </r>
    <r>
      <rPr>
        <sz val="10"/>
        <color theme="1"/>
        <rFont val="Arial"/>
        <family val="2"/>
        <charset val="204"/>
      </rPr>
      <t>Продукция животноводства включает стоимость продукции, полученной в результате выращивания и хозяйственного использования сельскохозяйственных животных и птицы.</t>
    </r>
  </si>
  <si>
    <r>
      <t xml:space="preserve">Индекс производства продукции сельского хозяйства </t>
    </r>
    <r>
      <rPr>
        <sz val="10"/>
        <color theme="1"/>
        <rFont val="Arial"/>
        <family val="2"/>
        <charset val="204"/>
      </rPr>
      <t>– относительный показатель, характеризующий изменение объема производства сельскохозяйственной продукции в сравниваемых периодах. Различают индивидуальные и сводные индексы производства. Индивидуальные индексы отражают изменение производства одного продукта и исчисляются как отношение объемов производства данного вида продукции в натуральном выражении в сравниваемых периодах. Сводный индекс производства характеризует совокупные изменения производства всех видов продукции в результате изменения только физического объема производимой продукции.</t>
    </r>
  </si>
  <si>
    <t>Индекс производства продукции сельского хозяйства – агрегированный индекс производства продукции растениеводства и животноводства. Для исчисления индекса производства продукции сельского хозяйства к соответствующему периоду предыдущего года используется показатель ее объема в сопоставимых ценах предыдущего года.</t>
  </si>
  <si>
    <r>
      <t>Посевные площади</t>
    </r>
    <r>
      <rPr>
        <sz val="10"/>
        <color theme="1"/>
        <rFont val="Arial"/>
        <family val="2"/>
        <charset val="204"/>
      </rPr>
      <t xml:space="preserve"> – часть пашни, занятая под посевы сельскохозяйственных культур. Пашня – сельскохозяйственное угодье, систематически обрабатываемое и используемое под посевы сельскохозяйственных культур, включая посевы многолетних трав, а также чистые пары. Сельскохозяйственные угодья – земельные угодья, систематически используемые для получения сельскохозяйственной продукции. К ним относятся пашня, залежь, многолетние насаждения, сенокосы и пастбища.</t>
    </r>
  </si>
  <si>
    <r>
      <t>Валовой сбор сельскохозяйственных культур</t>
    </r>
    <r>
      <rPr>
        <sz val="10"/>
        <color theme="1"/>
        <rFont val="Arial"/>
        <family val="2"/>
        <charset val="204"/>
      </rPr>
      <t xml:space="preserve"> – объем собранной продукции, как с основных, так и с повторных и междурядных посевов в сельскохозяйственных организациях, хозяйствах населения и крестьянских (фермерских) хозяйствах.</t>
    </r>
  </si>
  <si>
    <r>
      <t>Урожайность сельскохозяйственных культур</t>
    </r>
    <r>
      <rPr>
        <sz val="10"/>
        <color theme="1"/>
        <rFont val="Arial"/>
        <family val="2"/>
        <charset val="204"/>
      </rPr>
      <t xml:space="preserve"> – средний сбор сельскохозяйственной продукции с единицы посевной или убранной площади.</t>
    </r>
  </si>
  <si>
    <r>
      <t>Сельскохозяйственные организации</t>
    </r>
    <r>
      <rPr>
        <sz val="10"/>
        <color theme="1"/>
        <rFont val="Arial"/>
        <family val="2"/>
        <charset val="204"/>
      </rPr>
      <t xml:space="preserve"> – производственные кооперативы, закрытые и открытые акционерные общества, государственные предприятия, общества с ограниченной ответственностью, подсобные хозяйства промышленных, транспортных, научно-исследовательских учреждений и других организаций.</t>
    </r>
  </si>
  <si>
    <r>
      <t xml:space="preserve">Хозяйства населения </t>
    </r>
    <r>
      <rPr>
        <sz val="10"/>
        <color theme="1"/>
        <rFont val="Arial"/>
        <family val="2"/>
        <charset val="204"/>
      </rPr>
      <t>– личные подсобные хозяйства и другие индивидуальные хозяйства граждан в сельских и городских поселениях, а также хозяйства граждан, имеющих земельные участки в садоводческих, огороднических и дачных некоммерческих объединениях.</t>
    </r>
  </si>
  <si>
    <r>
      <t>Личные подсобные хозяйства</t>
    </r>
    <r>
      <rPr>
        <b/>
        <sz val="10"/>
        <color theme="1"/>
        <rFont val="Arial"/>
        <family val="2"/>
        <charset val="204"/>
      </rPr>
      <t xml:space="preserve"> </t>
    </r>
    <r>
      <rPr>
        <sz val="10"/>
        <color theme="1"/>
        <rFont val="Arial"/>
        <family val="2"/>
        <charset val="204"/>
      </rPr>
      <t>– форма непредпринимательской деятельности по производству и переработке сельскохозяйственной продукции, осуществляемой личным трудом гражданина и членов его семьи в целях удовлетворения личных потребностей на земельном участке, предоставленном или приобретенном для ведения личного подсобного хозяйства. Землепользование хозяйств может состоять из приусадебных и полевых участков.</t>
    </r>
  </si>
  <si>
    <r>
      <t>Садоводческое, огородническое или дачное некоммерческое объединение</t>
    </r>
    <r>
      <rPr>
        <b/>
        <sz val="10"/>
        <color theme="1"/>
        <rFont val="Arial"/>
        <family val="2"/>
        <charset val="204"/>
      </rPr>
      <t xml:space="preserve"> </t>
    </r>
    <r>
      <rPr>
        <sz val="10"/>
        <color theme="1"/>
        <rFont val="Arial"/>
        <family val="2"/>
        <charset val="204"/>
      </rPr>
      <t>– некоммерческая организация, учрежденная гражданами на добровольных началах для содействия ее членам в решении общих социально-хозяйственных задач ведения садоводства, огородничества и дачного хозяйства.</t>
    </r>
  </si>
  <si>
    <r>
      <t xml:space="preserve">Крестьянское (фермерское) хозяйство </t>
    </r>
    <r>
      <rPr>
        <sz val="10"/>
        <color theme="1"/>
        <rFont val="Arial"/>
        <family val="2"/>
        <charset val="204"/>
      </rPr>
      <t>– объединение граждан, связанных родством и (или) свойством, имеющих в общей собственности имущество и совместно осуществляющих предпринимательскую производственную и иную хозяйственную деятельность (производство, переработку, хранение, транспортировку и реализацию сельскохозяйственной продукции), основанную на их личном участии. Включают глав крестьянских (фермерских) хозяйств, осуществляющих деятельность без образования юридического лица и индивидуальных предпринимателей, прошедших государственную регистрацию в этом качестве.</t>
    </r>
  </si>
  <si>
    <r>
      <t>Индивидуальный предприниматель по сельскохозяйственной деятельности</t>
    </r>
    <r>
      <rPr>
        <b/>
        <vertAlign val="superscript"/>
        <sz val="10"/>
        <color theme="1"/>
        <rFont val="Arial"/>
        <family val="2"/>
        <charset val="204"/>
      </rPr>
      <t xml:space="preserve"> </t>
    </r>
    <r>
      <rPr>
        <b/>
        <sz val="10"/>
        <color theme="1"/>
        <rFont val="Arial"/>
        <family val="2"/>
        <charset val="204"/>
      </rPr>
      <t xml:space="preserve"> </t>
    </r>
    <r>
      <rPr>
        <sz val="10"/>
        <color theme="1"/>
        <rFont val="Arial"/>
        <family val="2"/>
        <charset val="204"/>
      </rPr>
      <t>– гражданин (физическое лицо), занимающийся предпринимательской деятельностью без образования юридического лица, с момента его государственной регистрации в соответствии с Гражданским кодексом Российской Федерации, введенным в действие с 01.01.1995 г., и заявивший в Свидетельстве о государственной регистрации виды деятельности, отнесенные согласно Общероссийскому классификатору видов экономической деятельности к сельскому хозяйству.</t>
    </r>
  </si>
  <si>
    <r>
      <t>Поголовье скота</t>
    </r>
    <r>
      <rPr>
        <sz val="10"/>
        <color theme="1"/>
        <rFont val="Arial"/>
        <family val="2"/>
        <charset val="204"/>
      </rPr>
      <t xml:space="preserve"> – поголовье всех возрастных групп соответствующего вида сельскохозяйственных животных (крупный рогатый скот, свиньи, овцы и козы, лошади, птица).</t>
    </r>
  </si>
  <si>
    <r>
      <t>Производство скота и птицы</t>
    </r>
    <r>
      <rPr>
        <sz val="10"/>
        <color theme="1"/>
        <rFont val="Arial"/>
        <family val="2"/>
        <charset val="204"/>
      </rPr>
      <t xml:space="preserve"> </t>
    </r>
    <r>
      <rPr>
        <b/>
        <sz val="10"/>
        <color theme="1"/>
        <rFont val="Arial"/>
        <family val="2"/>
        <charset val="204"/>
      </rPr>
      <t>на убой</t>
    </r>
    <r>
      <rPr>
        <sz val="10"/>
        <color theme="1"/>
        <rFont val="Arial"/>
        <family val="2"/>
        <charset val="204"/>
      </rPr>
      <t xml:space="preserve"> (в живом весе) – проданные сельхозпроизводителями скот и птица для забоя на мясо, а также забитые в сельскохозяйственных организациях, крестьянских (фермерских) хозяйствах, у индивидуальных предпринимателей, в хозяйствах населения. </t>
    </r>
  </si>
  <si>
    <r>
      <t>Производство молока</t>
    </r>
    <r>
      <rPr>
        <sz val="10"/>
        <color theme="1"/>
        <rFont val="Arial"/>
        <family val="2"/>
        <charset val="204"/>
      </rPr>
      <t xml:space="preserve"> – фактически надоенное сырое коровье, козье, овечье, кобылье и буйволовое молоко. Молоко, высосанное молодняком при подсосном его содержании, в продукцию не включается.</t>
    </r>
  </si>
  <si>
    <r>
      <t>Производство яиц</t>
    </r>
    <r>
      <rPr>
        <sz val="10"/>
        <color indexed="64"/>
        <rFont val="Arial"/>
        <family val="2"/>
        <charset val="204"/>
      </rPr>
      <t xml:space="preserve"> –</t>
    </r>
    <r>
      <rPr>
        <sz val="10"/>
        <color theme="1"/>
        <rFont val="Arial"/>
        <family val="2"/>
        <charset val="204"/>
      </rPr>
      <t xml:space="preserve"> сбор яиц от всех видов сельскохозяйственной птицы, в том числе яйца, пошедшие на воспроизводство птицы (инкубация и др.). </t>
    </r>
  </si>
  <si>
    <r>
      <t>Надои молока на одну корову</t>
    </r>
    <r>
      <rPr>
        <sz val="10"/>
        <color theme="1"/>
        <rFont val="Arial"/>
        <family val="2"/>
        <charset val="204"/>
      </rPr>
      <t xml:space="preserve"> – отношение объема произведенного молока полученного от коров молочного стада к их среднему поголовью.</t>
    </r>
  </si>
  <si>
    <r>
      <t xml:space="preserve">Данные </t>
    </r>
    <r>
      <rPr>
        <b/>
        <sz val="10"/>
        <color theme="1"/>
        <rFont val="Arial"/>
        <family val="2"/>
        <charset val="204"/>
      </rPr>
      <t xml:space="preserve">о поголовье скота, производстве и реализации основных сельскохозяйственных продуктов по всем сельхозпроизводителям </t>
    </r>
    <r>
      <rPr>
        <sz val="10"/>
        <color theme="1"/>
        <rFont val="Arial"/>
        <family val="2"/>
        <charset val="204"/>
      </rPr>
      <t xml:space="preserve">определяются: </t>
    </r>
    <r>
      <rPr>
        <b/>
        <sz val="10"/>
        <color theme="1"/>
        <rFont val="Arial"/>
        <family val="2"/>
        <charset val="204"/>
      </rPr>
      <t>по сельскохозяйственным организациям</t>
    </r>
    <r>
      <rPr>
        <sz val="10"/>
        <color theme="1"/>
        <rFont val="Arial"/>
        <family val="2"/>
        <charset val="204"/>
      </rPr>
      <t xml:space="preserve"> – на основании сведений форм федерального статистического наблюдения (по субъектам малого предпринимательства – с применением выборочного метода наблюдения); </t>
    </r>
    <r>
      <rPr>
        <b/>
        <sz val="10"/>
        <color theme="1"/>
        <rFont val="Arial"/>
        <family val="2"/>
        <charset val="204"/>
      </rPr>
      <t>по хозяйствам населения, крестьянским (фермерским) хозяйствам и индивидуальным предпринимателям</t>
    </r>
    <r>
      <rPr>
        <sz val="10"/>
        <color theme="1"/>
        <rFont val="Arial"/>
        <family val="2"/>
        <charset val="204"/>
      </rPr>
      <t xml:space="preserve"> – по материалам выборочных обследований.</t>
    </r>
  </si>
  <si>
    <r>
      <t xml:space="preserve">Объем работ, выполненных по виду экономической деятельности «строительство» </t>
    </r>
    <r>
      <rPr>
        <sz val="10"/>
        <color theme="1"/>
        <rFont val="Arial"/>
        <family val="2"/>
        <charset val="204"/>
      </rPr>
      <t>– строительные работы, выполненные организациями собственными силами на основании договоров и (или) контрактов, заключаемых с заказчиками, а также работы, выполненные хозяйственным способом. В стоимость этих работ включаются работы по строительству новых объектов, капитальному и текущему ремонту, реконструкции жилых и нежилых зданий и инженерных сооружений.</t>
    </r>
  </si>
  <si>
    <t xml:space="preserve">Данные приводятся с учетом объемов, выполненных субъектами малого предпринимательства, организациями министерств и ведомств, имеющих воинские подразделения, и объема работ, не наблюдаемых прямыми статистическими методами в строительстве. </t>
  </si>
  <si>
    <t>Объем работ, выполненных по виду экономической деятельности «строительство» в процентах к соответствующему периоду предыдущего года (индекс физического объема) рассчитан в сопоставимых ценах. В качестве сопоставимых цен приняты среднегодовые цены предыдущего года.</t>
  </si>
  <si>
    <r>
      <t xml:space="preserve">Общая площадь жилых помещений </t>
    </r>
    <r>
      <rPr>
        <sz val="10"/>
        <color theme="1"/>
        <rFont val="Arial"/>
        <family val="2"/>
        <charset val="204"/>
      </rPr>
      <t>во введенных в эксплуатацию жилых домах</t>
    </r>
    <r>
      <rPr>
        <b/>
        <sz val="10"/>
        <color theme="1"/>
        <rFont val="Arial"/>
        <family val="2"/>
        <charset val="204"/>
      </rPr>
      <t xml:space="preserve"> </t>
    </r>
    <r>
      <rPr>
        <sz val="10"/>
        <color theme="1"/>
        <rFont val="Arial"/>
        <family val="2"/>
        <charset val="204"/>
      </rPr>
      <t>–</t>
    </r>
    <r>
      <rPr>
        <b/>
        <sz val="10"/>
        <color theme="1"/>
        <rFont val="Arial"/>
        <family val="2"/>
        <charset val="204"/>
      </rPr>
      <t xml:space="preserve"> </t>
    </r>
    <r>
      <rPr>
        <sz val="10"/>
        <color theme="1"/>
        <rFont val="Arial"/>
        <family val="2"/>
        <charset val="204"/>
      </rPr>
      <t xml:space="preserve">сумма площадей всех частей жилых помещений, включая площадь помещений вспомогательного использования, предназначенных для удовлетворения гражданами бытовых и иных нужд, связанных с их проживанием в жилом помещении, площадей лоджий, балконов, веранд, террас, подсчитываемых с соответствующими понижающими коэффициентами, а также жилых и подсобных помещений в построенных населением индивидуальных жилых домах. К помещениям вспомогательного использования относятся кухни, передние, холлы, внутриквартирные коридоры, ванные или душевые, туалеты, кладовые или хозяйственные встроенные шкафы. В домах-интернатах для престарелых и инвалидов, ветеранов, специальных домах для одиноких престарелых, детских домах к подсобным помещениям относятся столовые, буфеты, клубы, читальни, спортивные залы, приемные пункты бытового обслуживания и медицинского обслуживания. </t>
    </r>
  </si>
  <si>
    <t>В общую площадь жилых помещений во введенных в эксплуатацию жилых домах не входит площадь вестибюлей, тамбуров, лестничных клеток, лифтовых холлов, общих коридоров, также площадь в жилых домах, предназначенная для встроенно-пристроенных помещений.</t>
  </si>
  <si>
    <t>В жилых домах, построенных индивидуальными застройщиками, площади лоджий, балконов, веранд, террас в общую площадь жилых помещений не включаются.</t>
  </si>
  <si>
    <t>Начиная с августа 2019 г. в соответствии с Федеральным законом от 29.07.2017 г. № 217-ФЗ</t>
  </si>
  <si>
    <t>«О ведении гражданами садоводства и огородничества для собственных нужд и о внесении изменений в отдельные законодательные акты Российской Федерации» данные о введенных жилых домах приведены с учетом жилых домов на участках для ведения гражданами садоводства.</t>
  </si>
  <si>
    <r>
      <t>Грузооборот автомобильного транспорта</t>
    </r>
    <r>
      <rPr>
        <sz val="10"/>
        <color theme="1"/>
        <rFont val="Arial"/>
        <family val="2"/>
        <charset val="204"/>
      </rPr>
      <t xml:space="preserve"> определяется суммированием произведений массы перевезенных грузов в тоннах каждой перевозки грузовыми автомобилями, пикапами и легковыми фургонами, автоприцепами собственными, по договору лизинга и/или арендованными у других организаций на расстояние перевозки в километрах. </t>
    </r>
  </si>
  <si>
    <r>
      <t>Пассажирооборот</t>
    </r>
    <r>
      <rPr>
        <sz val="10"/>
        <color theme="1"/>
        <rFont val="Arial"/>
        <family val="2"/>
        <charset val="204"/>
      </rPr>
      <t xml:space="preserve"> </t>
    </r>
    <r>
      <rPr>
        <b/>
        <sz val="10"/>
        <color theme="1"/>
        <rFont val="Arial"/>
        <family val="2"/>
        <charset val="204"/>
      </rPr>
      <t>автомобильного транспорта общего пользования</t>
    </r>
    <r>
      <rPr>
        <sz val="10"/>
        <color theme="1"/>
        <rFont val="Arial"/>
        <family val="2"/>
        <charset val="204"/>
      </rPr>
      <t xml:space="preserve"> </t>
    </r>
    <r>
      <rPr>
        <b/>
        <sz val="10"/>
        <color theme="1"/>
        <rFont val="Arial"/>
        <family val="2"/>
        <charset val="204"/>
      </rPr>
      <t xml:space="preserve">– </t>
    </r>
    <r>
      <rPr>
        <sz val="10"/>
        <color theme="1"/>
        <rFont val="Arial"/>
        <family val="2"/>
        <charset val="204"/>
      </rPr>
      <t>объем работы автобусов по перевозке пассажиров по маршрутам регулярных перевозок, включая оценку перевозок пассажиров, пользующихся правом бесплатного проезда. Единицей измерения является пассажиро-километр, т.е. перемещение</t>
    </r>
    <r>
      <rPr>
        <b/>
        <sz val="10"/>
        <color theme="1"/>
        <rFont val="Arial"/>
        <family val="2"/>
        <charset val="204"/>
      </rPr>
      <t xml:space="preserve"> </t>
    </r>
    <r>
      <rPr>
        <sz val="10"/>
        <color theme="1"/>
        <rFont val="Arial"/>
        <family val="2"/>
        <charset val="204"/>
      </rPr>
      <t xml:space="preserve">одного пассажира на 1 километр. Исчисляется суммированием произведений количества пассажиров каждой перевозки на расстояние перевозки в километрах. Транспорт общего пользования – транспорт, осуществляющий общедоступное транспортное обслуживание населения. </t>
    </r>
  </si>
  <si>
    <r>
      <t xml:space="preserve">Оборот розничной торговли </t>
    </r>
    <r>
      <rPr>
        <sz val="10"/>
        <color theme="1"/>
        <rFont val="Arial"/>
        <family val="2"/>
        <charset val="204"/>
      </rPr>
      <t xml:space="preserve">– выручка от продажи товаров населению для личного потребления или использования в домашнем хозяйстве за наличный расчет или оплаченных по кредитным карточкам, по расчетным чекам банков, по перечислениям со счетов вкладчиков, по поручению физического лица без открытия счета, посредством платежных карт (электронных денег). </t>
    </r>
  </si>
  <si>
    <t>Стоимость товаров, проданных (отпущенных) отдельным категориям населения со скидкой, или полностью оплаченных органами социальной защиты, включается в оборот розничной торговли в полном объеме. В оборот розничной торговли не включается стоимость товаров, проданных (отпущенных) из розничной торговой сети юридическим лицам (в том числе организациям социальной сферы, спецпотребителям и т.п.) и индивидуальным предпринимателям, и оборот общественного питания.</t>
  </si>
  <si>
    <t>Оборот розничной торговли включает данные как по организациям, для которых эта деятельность является основной, так и по организациям других видов деятельности, осуществляющим продажу товаров населению через собственные торговые заведения, или с оплатой через свою кассу. Оборот розничной торговли также включает стоимость товаров, проданных населению индивидуальными предпринимателями и физическими лицами на розничных рынках и ярмарках.</t>
  </si>
  <si>
    <t>Оборот розничной торговли формируется по данным сплошного федерального статистического наблюдения за организациями, не относящимися к субъектам малого предпринимательства, выборочного обследования малых предприятий розничной торговли (за исключением микропредприятий), которые проводятся с месячной периодичностью, ежеквартальных выборочных обследований малых предприятий розничной торговли (за исключением микропредприятий) и розничных рынков и ярмарок, а также ежегодных выборочных обследований индивидуальных предпринимателей и микропредприятий с распространением полученных данных на генеральную совокупность объектов наблюдения.</t>
  </si>
  <si>
    <t>Оборот розничной торговли приводится в фактических продажных ценах, включающих торговую наценку, налог на добавленную стоимость и аналогичные обязательные платежи.</t>
  </si>
  <si>
    <r>
      <t xml:space="preserve">Оборот </t>
    </r>
    <r>
      <rPr>
        <sz val="10"/>
        <color theme="1"/>
        <rFont val="Arial"/>
        <family val="2"/>
        <charset val="204"/>
      </rPr>
      <t>розничной торговли</t>
    </r>
    <r>
      <rPr>
        <b/>
        <sz val="10"/>
        <color theme="1"/>
        <rFont val="Arial"/>
        <family val="2"/>
        <charset val="204"/>
      </rPr>
      <t xml:space="preserve"> в процентах к предыдущему периоду (индекс физического объема оборота розничной торговли)</t>
    </r>
    <r>
      <rPr>
        <sz val="10"/>
        <color theme="1"/>
        <rFont val="Arial"/>
        <family val="2"/>
        <charset val="204"/>
      </rPr>
      <t xml:space="preserve"> – относительный показатель, характеризующий изменение оборота розничной торговли в сравниваемых периодах в сопоставимых ценах. </t>
    </r>
  </si>
  <si>
    <r>
      <t xml:space="preserve">Объем платных услуг населению </t>
    </r>
    <r>
      <rPr>
        <sz val="10"/>
        <color theme="1"/>
        <rFont val="Arial"/>
        <family val="2"/>
        <charset val="204"/>
      </rPr>
      <t>–</t>
    </r>
    <r>
      <rPr>
        <b/>
        <sz val="10"/>
        <color theme="1"/>
        <rFont val="Arial"/>
        <family val="2"/>
        <charset val="204"/>
      </rPr>
      <t xml:space="preserve"> </t>
    </r>
    <r>
      <rPr>
        <sz val="10"/>
        <color theme="1"/>
        <rFont val="Arial"/>
        <family val="2"/>
        <charset val="204"/>
      </rPr>
      <t xml:space="preserve">денежный эквивалент объема услуг, оказанных резидентами российской экономики (юридическими лицами, индивидуальными предпринимателями, самозанятыми, нотариусами и адвокатами, учредившими адвокатские кабинеты) гражданам Российской Федерации, а также гражданам других государств (нерезидентам), потребляющим те или иные услуги на территории Российской Федерации. Показатель формируется в соответствии с Методологией формирования официальной статистической информации об объеме платных услуг населению, утвержденной приказом Росстата от 17.12.2021 № 927. </t>
    </r>
  </si>
  <si>
    <r>
      <t>Данные об объеме платных услуг населению в распределении по видам приведены в соответствии с Общероссийским классификатором продукции по видам экономической деятельности.</t>
    </r>
    <r>
      <rPr>
        <u/>
        <sz val="10"/>
        <color theme="1"/>
        <rFont val="Arial"/>
        <family val="2"/>
        <charset val="204"/>
      </rPr>
      <t xml:space="preserve"> </t>
    </r>
  </si>
  <si>
    <t>В объем транспортных услуг, оказанных населению, услуги железнодорожного и авиационного транспорта включаются с месячным опозданием.</t>
  </si>
  <si>
    <r>
      <t xml:space="preserve">Объем платных услуг населению </t>
    </r>
    <r>
      <rPr>
        <b/>
        <sz val="10"/>
        <color theme="1"/>
        <rFont val="Arial"/>
        <family val="2"/>
        <charset val="204"/>
      </rPr>
      <t>в процентах к предыдущему периоду (индекс физического объема платных услуг населению)</t>
    </r>
    <r>
      <rPr>
        <sz val="10"/>
        <color theme="1"/>
        <rFont val="Arial"/>
        <family val="2"/>
        <charset val="204"/>
      </rPr>
      <t xml:space="preserve"> – относительный показатель, характеризующий изменение объема платных услуг населению в текущем периоде по сравнению с базисным в сопоставимых ценах.</t>
    </r>
    <r>
      <rPr>
        <b/>
        <sz val="10"/>
        <color theme="1"/>
        <rFont val="Arial"/>
        <family val="2"/>
        <charset val="204"/>
      </rPr>
      <t xml:space="preserve"> </t>
    </r>
  </si>
  <si>
    <r>
      <t xml:space="preserve">Индекс потребительских цен и тарифов на товары и платные услуги населению (ИПЦ) </t>
    </r>
    <r>
      <rPr>
        <sz val="10"/>
        <color theme="1"/>
        <rFont val="Arial"/>
        <family val="2"/>
        <charset val="204"/>
      </rPr>
      <t xml:space="preserve">характеризует изменение во времени общего уровня цен и тарифов на товары и услуги, приобретаемые населением для непроизводственного потребления. ИПЦ измеряет отношение стоимости фиксированного перечня товаров и услуг в ценах текущего периода к его стоимости в ценах предыдущего (базисного) периода. </t>
    </r>
  </si>
  <si>
    <r>
      <t xml:space="preserve">Индекс потребительских цен рассчитывается на базе данных регистрации цен на 558 видов товаров (услуг)-представителей, которая осуществляется </t>
    </r>
    <r>
      <rPr>
        <sz val="10"/>
        <color indexed="64"/>
        <rFont val="Arial"/>
        <family val="2"/>
        <charset val="204"/>
      </rPr>
      <t>ежемесячно по состоянию на конец месяца</t>
    </r>
    <r>
      <rPr>
        <sz val="10"/>
        <color theme="1"/>
        <rFont val="Arial"/>
        <family val="2"/>
        <charset val="204"/>
      </rPr>
      <t>.</t>
    </r>
  </si>
  <si>
    <t>Ценовая информация собирается в территориальных центрах и крупных городских округах, отобранных с учетом их представительности в отражении социально-экономического и географического положения регионов и степени насыщенности потребительского рынка товарами и услугами.</t>
  </si>
  <si>
    <t>В набор товаров и услуг, разработанный для наблюдения за ценами, включены товары и услуги массового потребительского спроса. Отбор позиций произведен с учетом их значимости для потребления населения, представительности с точки зрения отражения динамики цен на однородные товары, устойчивого наличия их в продаже.</t>
  </si>
  <si>
    <t>Исходной информацией для расчета ИПЦ являются данные регистрации потребительских цен (тарифов) на товары и услуги с конкретными потребительскими свойствами. На их основе определяются средние сопоставимые цены отчетного и предыдущего периодов. Сопоставимой считается цена, зарегистрированная в одной и той же организации торговли (сферы услуг) на один и тот же или аналогичный по качеству товар (услугу).</t>
  </si>
  <si>
    <t xml:space="preserve">ИПЦ является важнейшим показателем, характеризующим уровень инфляции, и используется для целей государственной политики, анализа и прогноза ценовых процессов в экономике, пересмотра минимальных социальных гарантий, решения правовых споров, а также при пересчете ряда показателей системы национальных счетов текущих цен в постоянные цены. </t>
  </si>
  <si>
    <r>
      <t>Стоимость фиксированного набора потребительских товаров и услуг</t>
    </r>
    <r>
      <rPr>
        <sz val="10"/>
        <color theme="1"/>
        <rFont val="Arial"/>
        <family val="2"/>
        <charset val="204"/>
      </rPr>
      <t xml:space="preserve"> исчисляется на основе единых объемов потребления и средних цен по региону.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 Данные о стоимости набора приведены в расчете на месяц.</t>
    </r>
  </si>
  <si>
    <r>
      <t>Индексы цен производителей промышленных товаров, реализованных на внутреннем рынке</t>
    </r>
    <r>
      <rPr>
        <sz val="10"/>
        <color theme="1"/>
        <rFont val="Arial"/>
        <family val="2"/>
        <charset val="204"/>
      </rPr>
      <t>, рассчитываются на основании регистрации цен на товары (услуги)-представители в базовых организациях. Цены производителей представляют собой фактически сложившиеся на момент регистрации цены организаций на произведенные и отгруженные товары (оказанные услуги),</t>
    </r>
    <r>
      <rPr>
        <b/>
        <sz val="10"/>
        <color theme="1"/>
        <rFont val="Times New Roman"/>
        <family val="1"/>
        <charset val="204"/>
      </rPr>
      <t xml:space="preserve"> </t>
    </r>
    <r>
      <rPr>
        <sz val="10"/>
        <color theme="1"/>
        <rFont val="Arial"/>
        <family val="2"/>
        <charset val="204"/>
      </rPr>
      <t xml:space="preserve">предназначенные для реализации на внутреннем рынке (без косвенных товарных налогов – налога на добавленную стоимость, акциза и т.п.). </t>
    </r>
  </si>
  <si>
    <t>Рассчитанные по товарам (услугам)-представителям индексы цен производителей последовательно агрегируются в индексы цен соответствующих видов, групп, классов, разделов экономической деятельности. В качестве весов используются данные об объеме производства в стоимостном выражении за базисный период.</t>
  </si>
  <si>
    <r>
      <t xml:space="preserve">Индекс цен производителей промышленных товаров </t>
    </r>
    <r>
      <rPr>
        <sz val="10"/>
        <color theme="1"/>
        <rFont val="Arial"/>
        <family val="2"/>
        <charset val="204"/>
      </rPr>
      <t>–</t>
    </r>
    <r>
      <rPr>
        <b/>
        <sz val="10"/>
        <color theme="1"/>
        <rFont val="Arial"/>
        <family val="2"/>
        <charset val="204"/>
      </rPr>
      <t xml:space="preserve"> </t>
    </r>
    <r>
      <rPr>
        <sz val="10"/>
        <color theme="1"/>
        <rFont val="Arial"/>
        <family val="2"/>
        <charset val="204"/>
      </rPr>
      <t>сводный показатель, агрегированный по видам экономической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t>
    </r>
  </si>
  <si>
    <t>СОСТОЯНИЕ ПЛАТЕЖЕЙ  И РАСЧЕТОВ В ОРГАНИЗАЦИЯХ</t>
  </si>
  <si>
    <r>
      <t>Кредиторская задолженность</t>
    </r>
    <r>
      <rPr>
        <sz val="10"/>
        <color theme="1"/>
        <rFont val="Arial"/>
        <family val="2"/>
        <charset val="204"/>
      </rPr>
      <t xml:space="preserve"> </t>
    </r>
    <r>
      <rPr>
        <b/>
        <sz val="10"/>
        <color theme="1"/>
        <rFont val="Arial"/>
        <family val="2"/>
        <charset val="204"/>
      </rPr>
      <t xml:space="preserve">– </t>
    </r>
    <r>
      <rPr>
        <sz val="10"/>
        <color theme="1"/>
        <rFont val="Arial"/>
        <family val="2"/>
        <charset val="204"/>
      </rPr>
      <t xml:space="preserve">задолженность по расчетам с поставщиками и подрядчиками за поступившие материальные ценности, выполненные работы и оказанные услуги, в том числе задолженность, обеспеченная векселями выданными; задолженность по расчетам  с дочерними и зависимыми обществами по всем видам операций; с рабочими и служащими по оплате труда, представляющая собой начисленные, но не выплаченные суммы оплаты труда; задолженность по отчислениям на государственное социальное страхование, пенсионное обеспечение и медицинское страхование работников организации, задолженность по всем видам платежей в бюджет и </t>
    </r>
  </si>
  <si>
    <t>внебюджетные фонды; задолженность организации по платежам по обязательному и добровольному страхованию имущества и работников организации и другим видам страхования, в которых организация является страхователем; авансы полученные, включающие сумму полученных авансов от сторонних организаций по предстоящим расчетам по заключенным договорам, а также штрафы, пени и неустойки, признанные организацией или по которым получены решения суда (арбитражного суда) или другого органа, имеющего в соответствии с законодательством Российской Федерации право на принятие об их взыскании, и отнесенные на финансовые результаты организации, непогашенные суммы заемных средств, подлежащие погашению в соответствие с договорами.</t>
  </si>
  <si>
    <t>Данные приводятся по организациям (без субъектов малого предпринимательства, кредитных организаций, государственных (муниципальных) учреждений, некредитных финансовых организаций).</t>
  </si>
  <si>
    <r>
      <rPr>
        <b/>
        <sz val="10"/>
        <color theme="1"/>
        <rFont val="Arial"/>
        <family val="2"/>
        <charset val="204"/>
      </rPr>
      <t xml:space="preserve">Дебиторская задолженность </t>
    </r>
    <r>
      <rPr>
        <sz val="10"/>
        <color theme="1"/>
        <rFont val="Arial"/>
        <family val="2"/>
        <charset val="204"/>
      </rPr>
      <t>– задолженность по расчетам с покупателями и заказчиками за товары, работы и услуги, в том числе задолженность, обеспеченная векселями полученными; задолженность по расчетам с дочерними и зависимыми обществами; суммы уплаченных другим организациям авансов по предстоящим расчетам в соответствии с заключенными договорами, задолженность по расчетам с прочими дебиторами, включающая в себя задолженность финансовых и налоговых органов (в том числе по переплате по налогам, сборам и прочим платежам в бюджет); задолженность работников организации по предоставленным им ссудам и займам за счет средств этой организации или кредита (ссуды на индивидуальное или кооперативное жилищное строительство, приобретение и благоустройство садовых участков, беспроцентные ссуды молодым семьям на улучшение жилищных условий или обзаведение домашним хозяйством и др.); задолженность подотчетных лиц, поставщиков по недостачам товарно-материальных ценностей, обнаруженным при приемке; задолженность по государственным заказам, федеральным программам за поставленные товары, работы и услуги, а также штрафы, пени и неустойки, признанные должником, или по которым получены решения суда (арбитражного суда) или другого органа, имеющего в соответствии с законодательством Российской Федерации право на принятие решения об их взыскании, и отнесенные на финансовые результаты организации.</t>
    </r>
  </si>
  <si>
    <r>
      <t xml:space="preserve">Просроченная задолженность – </t>
    </r>
    <r>
      <rPr>
        <sz val="10"/>
        <color theme="1"/>
        <rFont val="Arial"/>
        <family val="2"/>
        <charset val="204"/>
      </rPr>
      <t>задолженность, не погашенная в срок. Возникает при нарушениях расчетно-платежной дисциплины. Используется при оценке финансового состояния предприятия. Является объектом применения штрафных санкций. Просроченная, задолженность может быть дебиторской или кредиторской.</t>
    </r>
  </si>
  <si>
    <r>
      <t xml:space="preserve">Денежные доходы населения </t>
    </r>
    <r>
      <rPr>
        <sz val="10"/>
        <color theme="1"/>
        <rFont val="Arial"/>
        <family val="2"/>
        <charset val="204"/>
      </rPr>
      <t>– доходы лиц, работающих по найму; доходы от самостоятельной занятости (доходов от предпринимательской деятельности и другой производственной деятельности); социальные выплаты (пенсии, пособия, стипендии и другие выплаты); доходы от собственности (дивиденды, проценты, начисленные по денежным средствам на банковских счетах физических лиц в кредитных организациях; выплата доходов по государственным и другим ценным бумагам; инвестиционный доход (доход от собственности держателей полисов); прочие денежные поступления.</t>
    </r>
  </si>
  <si>
    <r>
      <t xml:space="preserve">Расчет показателей </t>
    </r>
    <r>
      <rPr>
        <b/>
        <sz val="10"/>
        <color theme="1"/>
        <rFont val="Arial"/>
        <family val="2"/>
        <charset val="204"/>
      </rPr>
      <t>денежных доходов населени</t>
    </r>
    <r>
      <rPr>
        <sz val="10"/>
        <color theme="1"/>
        <rFont val="Arial"/>
        <family val="2"/>
        <charset val="204"/>
      </rPr>
      <t>я производится в соответствии с Методологическими положениями по расчету показателей денежных доходов и расходов населения, утвержденными приказом Росстата от 02.07.2014 г. № 465 с изменениями от 20.11.2018 г. Информация публикуется ежеквартально в соответствии с распоряжением Правительства Российской Федерации от 20.03.2019 г. № 469-р.</t>
    </r>
  </si>
  <si>
    <r>
      <t>При публикации объема денежных доходов населения за отчетный период производится уточнение предварительных показателей за предыдущий период. Пересмотр квартальных данных осуществляется по итогам разработки годового баланса денежных доходов и расходов населения</t>
    </r>
    <r>
      <rPr>
        <sz val="14"/>
        <color theme="1"/>
        <rFont val="Times New Roman"/>
        <family val="1"/>
        <charset val="204"/>
      </rPr>
      <t>.</t>
    </r>
  </si>
  <si>
    <r>
      <t>Среднедушевые денежные доходы</t>
    </r>
    <r>
      <rPr>
        <sz val="10"/>
        <color theme="1"/>
        <rFont val="Arial"/>
        <family val="2"/>
        <charset val="204"/>
      </rPr>
      <t xml:space="preserve"> – отношение общей суммы денежных доходов к среднегодовой численности населения и на число месяцев в отчетном периоде. </t>
    </r>
  </si>
  <si>
    <r>
      <t xml:space="preserve">Среднемесячная номинальная начисленная заработная плата одного работника </t>
    </r>
    <r>
      <rPr>
        <sz val="10"/>
        <color theme="1"/>
        <rFont val="Arial"/>
        <family val="2"/>
        <charset val="204"/>
      </rPr>
      <t xml:space="preserve">– отношение фонда начисленной заработной платы работников к среднесписочной численности работников и к количеству месяцев в периоде. В фонд заработной платы включаются начисленные работникам суммы оплаты труда в денежной и неденежной формах за отработанное и неотработанное время, доплаты и надбавки, премии и единовременные поощрения, компенсационные выплаты, связанные с режимом работы и условиями труда, а также оплата питания и проживания, имеющая систематический характер. </t>
    </r>
  </si>
  <si>
    <t>Темпы роста (снижения) среднемесячной номинальной заработной платы рассчитываются по сопоставимой совокупности организаций отчетного и предыдущих периодов.</t>
  </si>
  <si>
    <t>Сведения о среднемесячной номинальной начисленной заработной плате одного работника по видам экономической деятельности организаций формируются в соответствии с ОКВЭД 2</t>
  </si>
  <si>
    <t>(ОК 029-2014 (КДЕС Ред.2)).</t>
  </si>
  <si>
    <r>
      <t>Реальная начисленная заработная плата</t>
    </r>
    <r>
      <rPr>
        <sz val="10"/>
        <color theme="1"/>
        <rFont val="Arial"/>
        <family val="2"/>
        <charset val="204"/>
      </rPr>
      <t xml:space="preserve"> – отношение индекса номинальной начисленной заработной платы на индекс потребительских цен за один и тот же временной период. Характеризует покупательную способность заработной платы в отчетном периоде в связи с изменением цен на потребительские товары и услуги по сравнению с базисным периодом. </t>
    </r>
  </si>
  <si>
    <r>
      <t xml:space="preserve">Численность рабочей силы </t>
    </r>
    <r>
      <rPr>
        <sz val="10"/>
        <color theme="1"/>
        <rFont val="Arial"/>
        <family val="2"/>
        <charset val="204"/>
      </rPr>
      <t xml:space="preserve">– численность населения в возрасте 15 лет и старше, которые в рассматриваемый период (обследуемую неделю) считались занятыми или безработными. </t>
    </r>
  </si>
  <si>
    <r>
      <t xml:space="preserve">Численность занятых </t>
    </r>
    <r>
      <rPr>
        <sz val="10"/>
        <color theme="1"/>
        <rFont val="Arial"/>
        <family val="2"/>
        <charset val="204"/>
      </rPr>
      <t>– численность лиц в возрасте 15 лет и старше, которые в обследуемую неделю выполняли любую деятельность (хотя бы один час в неделю), связанную с производством товаров или оказанием услуг за плату или прибыль. В численность занятых включаются также лица, временно отсутствовавшие на рабочем месте в течение короткого промежутка времени и сохранившие связь с рабочим местом во время отсутствия.</t>
    </r>
  </si>
  <si>
    <r>
      <t xml:space="preserve">Численность безработных </t>
    </r>
    <r>
      <rPr>
        <sz val="10"/>
        <color theme="1"/>
        <rFont val="Arial"/>
        <family val="2"/>
        <charset val="204"/>
      </rPr>
      <t>(в соответствии со стандартами Международной организации труда) – численность лиц в возрасте 15 лет и старше, которые в рассматриваемый период удовлетворяли одновременно следующим критериям:</t>
    </r>
  </si>
  <si>
    <t xml:space="preserve">были готовы приступить к работе в течение обследуемой недели. </t>
  </si>
  <si>
    <t>Обучающиеся в образовательных организациях, пенсионеры и инвалиды учитывались в каче-стве безработных, если они не имели работы, занимались поиском работы и были готовы приступить к ней.</t>
  </si>
  <si>
    <t>Информация о численности рабочей силы, занятых и общей численности безработных (применительно к стандартам МОТ) подготавливается по материалам выборочных обследований рабочей силы с ежемесячной периодичностью (по состоянию на вторую неделю). Обследование проводится во всех субъектах Российской Федерации на основе выборочного метода наблюдения с последующим распространением итогов на всю численность населения обследуемого возраста. В целях повышения репрезентативности данных о рабочей силе показатели занятости и безработицы по субъектам Российской Федерации формируются в среднем за три последних месяца.</t>
  </si>
  <si>
    <r>
      <t>Число замещенных рабочих мест</t>
    </r>
    <r>
      <rPr>
        <sz val="10"/>
        <color theme="1"/>
        <rFont val="Arial"/>
        <family val="2"/>
        <charset val="204"/>
      </rPr>
      <t xml:space="preserve"> </t>
    </r>
    <r>
      <rPr>
        <b/>
        <sz val="10"/>
        <color theme="1"/>
        <rFont val="Arial"/>
        <family val="2"/>
        <charset val="204"/>
      </rPr>
      <t>в организациях</t>
    </r>
    <r>
      <rPr>
        <sz val="10"/>
        <color theme="1"/>
        <rFont val="Arial"/>
        <family val="2"/>
        <charset val="204"/>
      </rPr>
      <t xml:space="preserve"> – суммарное количество среднесписочной численности работников, средней численности внешних совместителей и средней численности работников, выполнявших работы по договорам гражданско-правового характера. При суммировании числа рабочих мест по организациям каждый работник учитывается по числу замещаемых им рабочих мест (без учета внутреннего совместительства). </t>
    </r>
  </si>
  <si>
    <r>
      <t xml:space="preserve">Среднесписочная численность работников </t>
    </r>
    <r>
      <rPr>
        <sz val="10"/>
        <color theme="1"/>
        <rFont val="Arial"/>
        <family val="2"/>
        <charset val="204"/>
      </rPr>
      <t>–</t>
    </r>
    <r>
      <rPr>
        <b/>
        <sz val="10"/>
        <color theme="1"/>
        <rFont val="Arial"/>
        <family val="2"/>
        <charset val="204"/>
      </rPr>
      <t xml:space="preserve"> </t>
    </r>
    <r>
      <rPr>
        <sz val="10"/>
        <color theme="1"/>
        <rFont val="Arial"/>
        <family val="2"/>
        <charset val="204"/>
      </rPr>
      <t>суммарное количество среднесписочной численности работников за все месяцы отчетного периода, деленное на количество месяцев в отчетном периоде. Среднесписочная численность работников за месяц определяется путем суммирования численности работников списочного состава за каждый календарный день отчетного месяца, т.е. с 1 по 30 или 31 (для мая – по 28 и 29 число), включая праздничные (нерабочие) и выходные дни и деления полученной суммы на число календарных дней отчетного месяца.</t>
    </r>
  </si>
  <si>
    <r>
      <t xml:space="preserve">Численность безработных, зарегистрированных в органах службы занятости населения </t>
    </r>
    <r>
      <rPr>
        <sz val="10"/>
        <color theme="1"/>
        <rFont val="Arial"/>
        <family val="2"/>
        <charset val="204"/>
      </rPr>
      <t>–</t>
    </r>
    <r>
      <rPr>
        <b/>
        <sz val="10"/>
        <color theme="1"/>
        <rFont val="Arial"/>
        <family val="2"/>
        <charset val="204"/>
      </rPr>
      <t xml:space="preserve"> </t>
    </r>
    <r>
      <rPr>
        <sz val="10"/>
        <color theme="1"/>
        <rFont val="Arial"/>
        <family val="2"/>
        <charset val="204"/>
      </rPr>
      <t>численность</t>
    </r>
    <r>
      <rPr>
        <b/>
        <sz val="10"/>
        <color theme="1"/>
        <rFont val="Arial"/>
        <family val="2"/>
        <charset val="204"/>
      </rPr>
      <t xml:space="preserve"> </t>
    </r>
    <r>
      <rPr>
        <sz val="10"/>
        <color theme="1"/>
        <rFont val="Arial"/>
        <family val="2"/>
        <charset val="204"/>
      </rPr>
      <t>трудоспособных граждан, не имеющих работы и заработка (трудового дохода), проживающих на территории региона, зарегистрированных в органах</t>
    </r>
    <r>
      <rPr>
        <b/>
        <sz val="10"/>
        <color theme="1"/>
        <rFont val="Times New Roman"/>
        <family val="1"/>
        <charset val="204"/>
      </rPr>
      <t xml:space="preserve"> </t>
    </r>
    <r>
      <rPr>
        <sz val="10"/>
        <color theme="1"/>
        <rFont val="Arial"/>
        <family val="2"/>
        <charset val="204"/>
      </rPr>
      <t>службы занятости населения по месту жительства в целях поиска подходящей работы, ищущих работу и готовых приступить к ней. Информация о численности безработных, получивших официальный статус в органах службы занятости населения, разрабатывается Федеральной службой по труду и занятости.</t>
    </r>
  </si>
  <si>
    <t>Производство основных видов продукции животноводства в сельскохозяйственных организациях</t>
  </si>
  <si>
    <t>(доб. 1220)</t>
  </si>
  <si>
    <t>водоснаб-жение; водоотве-дение, организация сбора и утилизации отходов, деятельность по ликвидации загрязнений</t>
  </si>
  <si>
    <t>Среднемесячная номинальная начисленная заработная плата (без выплат социального характера) одного работника по видам экономической деятельности</t>
  </si>
  <si>
    <t>Динамика индексов цен производителей промышленных товаров, реализованных на внутреннем рынке</t>
  </si>
  <si>
    <t xml:space="preserve">   Доклад содержит информацию о производстве товаров и услуг, рынке товаров и услуг, ценах и тарифах, об уровне жизни населения, о занятости и безработице в Тюменской области (кроме Ханты-Мансийского автономного округа – Югры и Ямало-Ненецкого автономного округа) за отчетный период и нарастающим итогом с начала года в сравнении с соответствующим периодом предыдущего года. </t>
  </si>
  <si>
    <t>VIII. МЕТОДОЛОГИЧЕСКИЕ ПОЯСНЕНИЯ</t>
  </si>
  <si>
    <t>соответст-вующему месяцу преды-дущего года</t>
  </si>
  <si>
    <r>
      <t xml:space="preserve">1) </t>
    </r>
    <r>
      <rPr>
        <i/>
        <sz val="9"/>
        <color theme="1"/>
        <rFont val="Arial"/>
        <family val="2"/>
        <charset val="204"/>
      </rPr>
      <t>Уточнено</t>
    </r>
  </si>
  <si>
    <r>
      <rPr>
        <i/>
        <vertAlign val="superscript"/>
        <sz val="10"/>
        <color theme="1"/>
        <rFont val="Arial"/>
        <family val="2"/>
        <charset val="204"/>
      </rPr>
      <t>1)</t>
    </r>
    <r>
      <rPr>
        <i/>
        <sz val="10"/>
        <color theme="1"/>
        <rFont val="Arial"/>
        <family val="2"/>
        <charset val="204"/>
      </rPr>
      <t xml:space="preserve"> Уточнено</t>
    </r>
  </si>
  <si>
    <t>Июль 2025 г.</t>
  </si>
  <si>
    <t>Январь-июль 2025 г.</t>
  </si>
  <si>
    <t>Январь-июль</t>
  </si>
  <si>
    <t>В % к соответствующему периоду предыдущего года</t>
  </si>
  <si>
    <t>тыс. гектаров</t>
  </si>
  <si>
    <t>Картофель</t>
  </si>
  <si>
    <t>в январе-августе 2025 года</t>
  </si>
  <si>
    <t xml:space="preserve">   Социально-экономическое положение Тюменской области (кроме Ханты-Мансийского автономного округа – Югры и Ямало-Ненецкого автономного округа) в январе-августе 2025 года: краткий стат. доклад/ Управление Федеральной службы государственной статистики по Тюменской области, Ханты-Мансийскому автономному округу – Югре и Ямало-Ненецкому автономному округу. – Т., 2025</t>
  </si>
  <si>
    <t>Январь-август 
2025 г.</t>
  </si>
  <si>
    <t>Август
 2025 г.</t>
  </si>
  <si>
    <t>Январь-август</t>
  </si>
  <si>
    <t>Январь-август
 2025 г. 
в % к соответствующему периоду предыдущего года</t>
  </si>
  <si>
    <t>Август 2025 г. 
в % к 
соответствующему месяцу предыдущего года</t>
  </si>
  <si>
    <t>Январь-август 2025 г.</t>
  </si>
  <si>
    <t>Август 2025 г.</t>
  </si>
  <si>
    <t>В % к 
соответст-вующему периоду преды-дущего года</t>
  </si>
  <si>
    <r>
      <t>Июль</t>
    </r>
    <r>
      <rPr>
        <vertAlign val="superscript"/>
        <sz val="10"/>
        <color theme="1"/>
        <rFont val="Arial"/>
        <family val="2"/>
        <charset val="204"/>
      </rPr>
      <t>1)</t>
    </r>
  </si>
  <si>
    <t>январь-август 2024 г. 
в % к 
январю-августу
 2023 г.</t>
  </si>
  <si>
    <t>Январь-август 
2025 г., 
млн рублей</t>
  </si>
  <si>
    <t>январь-август 2024 г.
 в % к 
январю-августу
 2023 г.</t>
  </si>
  <si>
    <t xml:space="preserve">Август 2025 г. к </t>
  </si>
  <si>
    <t>август 2024 г.</t>
  </si>
  <si>
    <t>Август 2025 г. 
к декабрю 2024 г.</t>
  </si>
  <si>
    <t>август 2024 г. 
к декабрю 2023 г.</t>
  </si>
  <si>
    <t>Август 2025 г. к</t>
  </si>
  <si>
    <t>Просроченная кредиторская задолженность организаций по видам экономической деятельности в июле 2025 года</t>
  </si>
  <si>
    <t>Просроченная дебиторская задолженность организаций по видам экономической деятельности в июле 2025 года</t>
  </si>
  <si>
    <t>Январь-июль
 2025 г.</t>
  </si>
  <si>
    <t xml:space="preserve">Валовые сборы основных сельскохозяйственных культур в хозяйствах всех категорий </t>
  </si>
  <si>
    <t>тыс. центнеров</t>
  </si>
  <si>
    <t>Зерновые и зернобобовые культуры (в первоначально-оприходованном весе)</t>
  </si>
  <si>
    <t>Овощи открытого и закрытого грунта</t>
  </si>
  <si>
    <t>На 1 сентября 2025 г.</t>
  </si>
  <si>
    <t>Справочно 
на 1 сентября 2024 г.</t>
  </si>
  <si>
    <t>Уборка зерновых и зернобобовых культур сельскохозяйственными организациями</t>
  </si>
  <si>
    <t>Скошено зерновых и зернобобовых культур</t>
  </si>
  <si>
    <t>в % к площади посева</t>
  </si>
  <si>
    <t>Обмолочено зерновых и зернобобовых культур</t>
  </si>
  <si>
    <t>в % к скошенной площади</t>
  </si>
  <si>
    <t>Намолочено зерна (в первоначально-оприходованном весе)</t>
  </si>
  <si>
    <t>всего, тыс. центнеров</t>
  </si>
  <si>
    <t>с 1 га, центнеров</t>
  </si>
  <si>
    <t>в том числе пшеницы</t>
  </si>
  <si>
    <t>Январь-август 2025 г.
в % к  
соответствующему периоду предыдущего года</t>
  </si>
  <si>
    <r>
      <t>2)</t>
    </r>
    <r>
      <rPr>
        <i/>
        <sz val="9"/>
        <color theme="1"/>
        <rFont val="Arial"/>
        <family val="2"/>
        <charset val="204"/>
      </rPr>
      <t>Абсолютные показатели за июль, январь-июль 2025 г., относительные – в % к июлю, январю-июлю 2024 г. и январю-июлю 2023 г.</t>
    </r>
  </si>
  <si>
    <r>
      <t>Динамика индекса промышленного производства</t>
    </r>
    <r>
      <rPr>
        <b/>
        <vertAlign val="superscript"/>
        <sz val="11"/>
        <color theme="1"/>
        <rFont val="Arial"/>
        <family val="2"/>
        <charset val="204"/>
      </rPr>
      <t>1)</t>
    </r>
  </si>
  <si>
    <t>2,7р</t>
  </si>
  <si>
    <t>2,4р</t>
  </si>
  <si>
    <t>2,5р</t>
  </si>
  <si>
    <t xml:space="preserve">январь-август 
2024 г. 
в % к 
январю-августу 
2023 г.
</t>
  </si>
  <si>
    <t>...</t>
  </si>
  <si>
    <t>6,1р</t>
  </si>
  <si>
    <t>5,9р</t>
  </si>
  <si>
    <t>январь-август 2024 г. 
в % к 
январю-августу 2023 г.</t>
  </si>
  <si>
    <t xml:space="preserve">     Надои молока на одну корову в сельскохозяйственных организациях (без субъектов малого предпринимательства) в январе-августе 2025 г. составили 6148 килограммов (в январе-августе 2024 г. – 6007 килограммов), яйценоскость кур-несушек – 221 яйцо (228 яиц).</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</si>
</sst>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53" x14ac:knownFonts="1">
    <font>
      <sz val="10"/>
      <color theme="1"/>
      <name val="Arial"/>
      <family val="2"/>
      <charset val="204"/>
    </font>
    <font>
      <sz val="10"/>
      <color theme="1"/>
      <name val="Arial"/>
      <family val="2"/>
      <charset val="204"/>
    </font>
    <font>
      <b/>
      <sz val="10"/>
      <color theme="1"/>
      <name val="Arial"/>
      <family val="2"/>
      <charset val="204"/>
    </font>
    <font>
      <sz val="12"/>
      <color theme="1"/>
      <name val="Arial"/>
      <family val="2"/>
      <charset val="204"/>
    </font>
    <font>
      <b/>
      <sz val="12"/>
      <color theme="1"/>
      <name val="Arial"/>
      <family val="2"/>
      <charset val="204"/>
    </font>
    <font>
      <sz val="14"/>
      <color theme="1"/>
      <name val="Arial"/>
      <family val="2"/>
      <charset val="204"/>
    </font>
    <font>
      <u/>
      <sz val="10"/>
      <color theme="10"/>
      <name val="Arial"/>
      <family val="2"/>
      <charset val="204"/>
    </font>
    <font>
      <b/>
      <sz val="11"/>
      <color theme="1"/>
      <name val="Arial"/>
      <family val="2"/>
      <charset val="204"/>
    </font>
    <font>
      <sz val="10"/>
      <color theme="1"/>
      <name val="Wingdings 2"/>
      <family val="1"/>
      <charset val="2"/>
    </font>
    <font>
      <sz val="9"/>
      <color theme="1"/>
      <name val="Arial"/>
      <family val="2"/>
      <charset val="204"/>
    </font>
    <font>
      <sz val="10"/>
      <color theme="1"/>
      <name val="Times New Roman"/>
      <family val="1"/>
      <charset val="204"/>
    </font>
    <font>
      <vertAlign val="superscript"/>
      <sz val="10"/>
      <color theme="1"/>
      <name val="Arial"/>
      <family val="2"/>
      <charset val="204"/>
    </font>
    <font>
      <sz val="10"/>
      <color rgb="FF000000"/>
      <name val="Arial"/>
      <family val="2"/>
      <charset val="204"/>
    </font>
    <font>
      <i/>
      <vertAlign val="superscript"/>
      <sz val="9"/>
      <color theme="1"/>
      <name val="Arial"/>
      <family val="2"/>
      <charset val="204"/>
    </font>
    <font>
      <i/>
      <sz val="9"/>
      <color theme="1"/>
      <name val="Arial"/>
      <family val="2"/>
      <charset val="204"/>
    </font>
    <font>
      <vertAlign val="superscript"/>
      <sz val="9"/>
      <color theme="1"/>
      <name val="Arial"/>
      <family val="2"/>
      <charset val="204"/>
    </font>
    <font>
      <sz val="5"/>
      <color theme="1"/>
      <name val="Arial"/>
      <family val="2"/>
      <charset val="204"/>
    </font>
    <font>
      <b/>
      <vertAlign val="superscript"/>
      <sz val="11"/>
      <color theme="1"/>
      <name val="Arial"/>
      <family val="2"/>
      <charset val="204"/>
    </font>
    <font>
      <sz val="11"/>
      <color theme="1"/>
      <name val="Arial"/>
      <family val="2"/>
      <charset val="204"/>
    </font>
    <font>
      <b/>
      <sz val="10"/>
      <color rgb="FF000000"/>
      <name val="Arial"/>
      <family val="2"/>
      <charset val="204"/>
    </font>
    <font>
      <b/>
      <sz val="11"/>
      <color rgb="FF000000"/>
      <name val="Arial"/>
      <family val="2"/>
      <charset val="204"/>
    </font>
    <font>
      <sz val="8"/>
      <color theme="1"/>
      <name val="Arial"/>
      <family val="2"/>
      <charset val="204"/>
    </font>
    <font>
      <b/>
      <sz val="9"/>
      <color theme="1"/>
      <name val="Arial"/>
      <family val="2"/>
      <charset val="204"/>
    </font>
    <font>
      <sz val="7"/>
      <color theme="1"/>
      <name val="Arial"/>
      <family val="2"/>
      <charset val="204"/>
    </font>
    <font>
      <b/>
      <vertAlign val="superscript"/>
      <sz val="10"/>
      <color theme="1"/>
      <name val="Arial"/>
      <family val="2"/>
      <charset val="204"/>
    </font>
    <font>
      <i/>
      <sz val="10"/>
      <color theme="1"/>
      <name val="Arial"/>
      <family val="2"/>
      <charset val="204"/>
    </font>
    <font>
      <b/>
      <i/>
      <sz val="8"/>
      <color theme="1"/>
      <name val="Arial"/>
      <family val="2"/>
      <charset val="204"/>
    </font>
    <font>
      <sz val="4"/>
      <color theme="1"/>
      <name val="Arial"/>
      <family val="2"/>
      <charset val="204"/>
    </font>
    <font>
      <b/>
      <sz val="8"/>
      <color theme="1"/>
      <name val="Arial"/>
      <family val="2"/>
      <charset val="204"/>
    </font>
    <font>
      <b/>
      <sz val="4"/>
      <color theme="1"/>
      <name val="Arial"/>
      <family val="2"/>
      <charset val="204"/>
    </font>
    <font>
      <b/>
      <sz val="10"/>
      <color theme="1"/>
      <name val="Times New Roman"/>
      <family val="1"/>
      <charset val="204"/>
    </font>
    <font>
      <sz val="14"/>
      <color theme="1"/>
      <name val="Times New Roman"/>
      <family val="1"/>
      <charset val="204"/>
    </font>
    <font>
      <b/>
      <sz val="16"/>
      <color theme="1"/>
      <name val="Arial"/>
      <family val="2"/>
      <charset val="204"/>
    </font>
    <font>
      <sz val="10"/>
      <name val="Arial"/>
      <family val="2"/>
      <charset val="204"/>
    </font>
    <font>
      <vertAlign val="superscript"/>
      <sz val="10"/>
      <name val="Arial"/>
      <family val="2"/>
      <charset val="204"/>
    </font>
    <font>
      <b/>
      <sz val="10"/>
      <name val="Arial"/>
      <family val="2"/>
      <charset val="204"/>
    </font>
    <font>
      <sz val="10"/>
      <color theme="1"/>
      <name val="Arial"/>
      <family val="2"/>
    </font>
    <font>
      <sz val="11"/>
      <color theme="1"/>
      <name val="Calibri"/>
      <family val="2"/>
      <charset val="204"/>
      <scheme val="minor"/>
    </font>
    <font>
      <sz val="11"/>
      <color theme="1"/>
      <name val="Calibri"/>
      <family val="2"/>
      <scheme val="minor"/>
    </font>
    <font>
      <b/>
      <sz val="11"/>
      <name val="Arial"/>
      <family val="2"/>
      <charset val="204"/>
    </font>
    <font>
      <sz val="11"/>
      <color indexed="8"/>
      <name val="Calibri"/>
      <family val="2"/>
      <scheme val="minor"/>
    </font>
    <font>
      <i/>
      <vertAlign val="superscript"/>
      <sz val="9"/>
      <name val="Arial"/>
      <family val="2"/>
      <charset val="204"/>
    </font>
    <font>
      <i/>
      <sz val="9"/>
      <name val="Arial"/>
      <family val="2"/>
      <charset val="204"/>
    </font>
    <font>
      <sz val="10"/>
      <color rgb="FFFF0000"/>
      <name val="Arial"/>
      <family val="2"/>
      <charset val="204"/>
    </font>
    <font>
      <i/>
      <sz val="10"/>
      <color rgb="FFFF0000"/>
      <name val="Arial"/>
      <family val="2"/>
      <charset val="204"/>
    </font>
    <font>
      <sz val="10"/>
      <name val="Arial"/>
      <family val="2"/>
      <charset val="204"/>
    </font>
    <font>
      <b/>
      <sz val="10"/>
      <color indexed="64"/>
      <name val="Arial"/>
      <family val="2"/>
      <charset val="204"/>
    </font>
    <font>
      <sz val="10"/>
      <color indexed="64"/>
      <name val="Arial"/>
      <family val="2"/>
      <charset val="204"/>
    </font>
    <font>
      <u/>
      <sz val="10"/>
      <color theme="1"/>
      <name val="Arial"/>
      <family val="2"/>
      <charset val="204"/>
    </font>
    <font>
      <b/>
      <sz val="10"/>
      <color theme="1"/>
      <name val="Arial"/>
      <family val="2"/>
      <charset val="204"/>
    </font>
    <font>
      <sz val="10"/>
      <name val="Arial"/>
      <family val="2"/>
      <charset val="204"/>
    </font>
    <font>
      <i/>
      <vertAlign val="superscript"/>
      <sz val="10"/>
      <color theme="1"/>
      <name val="Arial"/>
      <family val="2"/>
      <charset val="204"/>
    </font>
    <font>
      <sz val="10"/>
      <name val="Arial"/>
    </font>
  </fonts>
  <fills count="3">
    <fill>
      <patternFill patternType="none"/>
    </fill>
    <fill>
      <patternFill patternType="gray125"/>
    </fill>
    <fill>
      <gradientFill degree="270">
        <stop position="0">
          <color theme="0"/>
        </stop>
        <stop position="1">
          <color rgb="FFBDF5D2"/>
        </stop>
      </gradient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diagonal/>
    </border>
    <border>
      <left style="thin">
        <color theme="1"/>
      </left>
      <right style="thin">
        <color theme="1"/>
      </right>
      <top/>
      <bottom/>
      <diagonal/>
    </border>
    <border>
      <left style="thin">
        <color theme="1"/>
      </left>
      <right style="thin">
        <color theme="1"/>
      </right>
      <top/>
      <bottom style="thin">
        <color theme="1"/>
      </bottom>
      <diagonal/>
    </border>
  </borders>
  <cellStyleXfs count="10">
    <xf numFmtId="0" fontId="0" fillId="0" borderId="0"/>
    <xf numFmtId="0" fontId="6" fillId="0" borderId="0" applyNumberFormat="0" applyFill="0" applyBorder="0" applyAlignment="0" applyProtection="0"/>
    <xf numFmtId="0" fontId="36" fillId="0" borderId="0"/>
    <xf numFmtId="0" fontId="37" fillId="0" borderId="0"/>
    <xf numFmtId="0" fontId="38" fillId="0" borderId="0"/>
    <xf numFmtId="0" fontId="40" fillId="0" borderId="0"/>
    <xf numFmtId="0" fontId="1" fillId="0" borderId="0"/>
    <xf numFmtId="0" fontId="37" fillId="0" borderId="0"/>
    <xf numFmtId="0" fontId="37" fillId="0" borderId="0"/>
    <xf numFmtId="0" fontId="37" fillId="0" borderId="0"/>
  </cellStyleXfs>
  <cellXfs count="755">
    <xf numFmtId="0" fontId="0" fillId="0" borderId="0" xfId="0"/>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3" fillId="0" borderId="0" xfId="0" applyFont="1" applyAlignment="1">
      <alignment vertical="center"/>
    </xf>
    <xf numFmtId="0" fontId="1"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left" vertical="center"/>
    </xf>
    <xf numFmtId="0" fontId="1" fillId="0" borderId="0" xfId="0" applyFont="1" applyAlignment="1">
      <alignment horizontal="justify" vertical="center"/>
    </xf>
    <xf numFmtId="0" fontId="1" fillId="0" borderId="0" xfId="0" applyFont="1" applyAlignment="1">
      <alignment horizontal="left" vertical="center" indent="15"/>
    </xf>
    <xf numFmtId="0" fontId="0" fillId="0" borderId="0" xfId="0" applyFont="1" applyAlignment="1">
      <alignment horizontal="justify" vertical="center"/>
    </xf>
    <xf numFmtId="0" fontId="0" fillId="0" borderId="0" xfId="0" applyAlignment="1">
      <alignment wrapText="1"/>
    </xf>
    <xf numFmtId="0" fontId="1" fillId="0" borderId="0" xfId="0" applyFont="1" applyAlignment="1">
      <alignment horizontal="left" vertical="center" indent="33"/>
    </xf>
    <xf numFmtId="0" fontId="6" fillId="0" borderId="0" xfId="1" applyAlignment="1">
      <alignment horizontal="left" vertical="center" indent="33"/>
    </xf>
    <xf numFmtId="0" fontId="1" fillId="0" borderId="0" xfId="0" applyFont="1" applyAlignment="1">
      <alignment horizontal="left" vertical="center" indent="34"/>
    </xf>
    <xf numFmtId="0" fontId="2" fillId="0" borderId="0" xfId="0" applyFont="1" applyAlignment="1">
      <alignment horizontal="center" vertical="center"/>
    </xf>
    <xf numFmtId="0" fontId="10" fillId="0" borderId="0" xfId="0" applyFont="1" applyAlignment="1">
      <alignment vertical="center" wrapText="1"/>
    </xf>
    <xf numFmtId="0" fontId="1" fillId="0" borderId="12" xfId="0" applyFont="1" applyBorder="1" applyAlignment="1">
      <alignment vertical="center" wrapText="1"/>
    </xf>
    <xf numFmtId="0" fontId="0" fillId="0" borderId="12" xfId="0" applyFont="1" applyBorder="1" applyAlignment="1">
      <alignment vertical="center" wrapText="1"/>
    </xf>
    <xf numFmtId="0" fontId="0" fillId="0" borderId="0" xfId="0" applyBorder="1"/>
    <xf numFmtId="0" fontId="16" fillId="0" borderId="0" xfId="0" applyFont="1" applyBorder="1" applyAlignment="1">
      <alignment vertical="center" wrapText="1"/>
    </xf>
    <xf numFmtId="0" fontId="7" fillId="0" borderId="0" xfId="0" applyFont="1" applyBorder="1" applyAlignment="1">
      <alignment vertical="center" wrapText="1"/>
    </xf>
    <xf numFmtId="0" fontId="2" fillId="0" borderId="5" xfId="0" applyFont="1" applyBorder="1" applyAlignment="1">
      <alignment vertical="center" wrapText="1"/>
    </xf>
    <xf numFmtId="0" fontId="2" fillId="0" borderId="12" xfId="0" applyFont="1" applyBorder="1" applyAlignment="1">
      <alignment vertical="center" wrapText="1"/>
    </xf>
    <xf numFmtId="0" fontId="1" fillId="0" borderId="0" xfId="0" applyFont="1" applyAlignment="1">
      <alignment horizontal="right" vertical="center"/>
    </xf>
    <xf numFmtId="0" fontId="1" fillId="0" borderId="12" xfId="0" applyFont="1" applyBorder="1" applyAlignment="1">
      <alignment horizontal="left" vertical="center" wrapText="1" indent="1"/>
    </xf>
    <xf numFmtId="0" fontId="0" fillId="0" borderId="12" xfId="0" applyFont="1" applyBorder="1" applyAlignment="1">
      <alignment horizontal="left" vertical="center" wrapText="1" indent="1"/>
    </xf>
    <xf numFmtId="0" fontId="18" fillId="0" borderId="0" xfId="0" applyFont="1" applyBorder="1" applyAlignment="1">
      <alignment horizontal="right" vertical="center"/>
    </xf>
    <xf numFmtId="0" fontId="1" fillId="0" borderId="0" xfId="0" applyFont="1" applyBorder="1" applyAlignment="1">
      <alignment horizontal="center" vertical="center"/>
    </xf>
    <xf numFmtId="0" fontId="1" fillId="0" borderId="11" xfId="0" applyFont="1" applyBorder="1" applyAlignment="1">
      <alignment horizontal="left" vertical="center" wrapText="1" indent="1"/>
    </xf>
    <xf numFmtId="0" fontId="1" fillId="0" borderId="0" xfId="0" applyFont="1" applyBorder="1" applyAlignment="1">
      <alignment vertical="center"/>
    </xf>
    <xf numFmtId="0" fontId="19" fillId="0" borderId="0" xfId="0" applyFont="1" applyBorder="1" applyAlignment="1">
      <alignment horizontal="center" vertical="center"/>
    </xf>
    <xf numFmtId="0" fontId="21" fillId="0" borderId="0" xfId="0" applyFont="1" applyBorder="1" applyAlignment="1">
      <alignment vertical="center"/>
    </xf>
    <xf numFmtId="164" fontId="1" fillId="0" borderId="12" xfId="0" applyNumberFormat="1" applyFont="1" applyBorder="1" applyAlignment="1">
      <alignment horizontal="right" vertical="center" wrapText="1" indent="3"/>
    </xf>
    <xf numFmtId="0" fontId="22" fillId="0" borderId="0" xfId="0" applyFont="1" applyBorder="1" applyAlignment="1">
      <alignment horizontal="center" vertical="center"/>
    </xf>
    <xf numFmtId="0" fontId="21" fillId="0" borderId="0" xfId="0" applyFont="1" applyBorder="1" applyAlignment="1">
      <alignment horizontal="right" vertical="center"/>
    </xf>
    <xf numFmtId="0" fontId="1" fillId="0" borderId="12" xfId="0" applyFont="1" applyBorder="1" applyAlignment="1">
      <alignment horizontal="left" vertical="center" wrapText="1" indent="2"/>
    </xf>
    <xf numFmtId="0" fontId="23" fillId="0" borderId="0" xfId="0" applyFont="1" applyBorder="1" applyAlignment="1">
      <alignment horizontal="right" vertical="center"/>
    </xf>
    <xf numFmtId="0" fontId="21" fillId="0" borderId="0" xfId="0" applyFont="1" applyBorder="1" applyAlignment="1">
      <alignment horizontal="center" vertical="center"/>
    </xf>
    <xf numFmtId="164" fontId="1" fillId="0" borderId="12" xfId="0" applyNumberFormat="1" applyFont="1" applyBorder="1" applyAlignment="1">
      <alignment horizontal="right" vertical="center" wrapText="1" indent="2"/>
    </xf>
    <xf numFmtId="0" fontId="26" fillId="0" borderId="0" xfId="0" applyFont="1" applyBorder="1" applyAlignment="1">
      <alignment horizontal="center" vertical="center"/>
    </xf>
    <xf numFmtId="0" fontId="27" fillId="0" borderId="0" xfId="0" applyFont="1" applyBorder="1" applyAlignment="1">
      <alignment horizontal="right" vertical="center"/>
    </xf>
    <xf numFmtId="0" fontId="28" fillId="0" borderId="0" xfId="0" applyFont="1" applyBorder="1" applyAlignment="1">
      <alignment horizontal="center" vertical="center"/>
    </xf>
    <xf numFmtId="0" fontId="29" fillId="0" borderId="0" xfId="0" applyFont="1" applyBorder="1" applyAlignment="1">
      <alignment horizontal="center" vertical="center"/>
    </xf>
    <xf numFmtId="0" fontId="2" fillId="0" borderId="0" xfId="0" applyFont="1" applyBorder="1" applyAlignment="1">
      <alignment horizontal="center" vertical="center"/>
    </xf>
    <xf numFmtId="0" fontId="1" fillId="0" borderId="12" xfId="0" applyFont="1" applyBorder="1" applyAlignment="1">
      <alignment horizontal="left" wrapText="1" indent="2"/>
    </xf>
    <xf numFmtId="0" fontId="1" fillId="0" borderId="12" xfId="0" applyFont="1" applyBorder="1" applyAlignment="1">
      <alignment horizontal="right" vertical="center" wrapText="1" indent="2"/>
    </xf>
    <xf numFmtId="0" fontId="0" fillId="0" borderId="0" xfId="0" applyFont="1"/>
    <xf numFmtId="0" fontId="0" fillId="0" borderId="0" xfId="0" applyFont="1" applyBorder="1"/>
    <xf numFmtId="0" fontId="0" fillId="0" borderId="11" xfId="0" applyFont="1" applyBorder="1" applyAlignment="1">
      <alignment vertical="center" wrapText="1"/>
    </xf>
    <xf numFmtId="0" fontId="0" fillId="0" borderId="10" xfId="0" applyFont="1" applyBorder="1" applyAlignment="1">
      <alignment vertical="top" wrapText="1"/>
    </xf>
    <xf numFmtId="0" fontId="0" fillId="0" borderId="0" xfId="0" applyBorder="1" applyAlignment="1">
      <alignment vertical="top"/>
    </xf>
    <xf numFmtId="0" fontId="32" fillId="0" borderId="0" xfId="0" applyFont="1" applyAlignment="1">
      <alignment horizontal="center" vertical="center"/>
    </xf>
    <xf numFmtId="0" fontId="2" fillId="0" borderId="2" xfId="0" applyFont="1" applyBorder="1" applyAlignment="1">
      <alignment vertical="center" wrapText="1"/>
    </xf>
    <xf numFmtId="0" fontId="0" fillId="0" borderId="12" xfId="0" applyFont="1" applyFill="1" applyBorder="1" applyAlignment="1">
      <alignment horizontal="left" vertical="center" wrapText="1" indent="1"/>
    </xf>
    <xf numFmtId="0" fontId="0" fillId="0" borderId="0" xfId="0" applyFill="1" applyBorder="1"/>
    <xf numFmtId="0" fontId="0" fillId="0" borderId="0" xfId="0" applyAlignment="1">
      <alignment vertical="center" wrapText="1"/>
    </xf>
    <xf numFmtId="0" fontId="0" fillId="0" borderId="0" xfId="0" applyAlignment="1">
      <alignment vertical="top" wrapText="1"/>
    </xf>
    <xf numFmtId="0" fontId="5" fillId="0" borderId="0" xfId="0" applyFont="1" applyAlignment="1">
      <alignment horizontal="center"/>
    </xf>
    <xf numFmtId="0" fontId="0" fillId="0" borderId="0" xfId="0" applyFont="1" applyAlignment="1">
      <alignment horizontal="justify" vertical="center" wrapText="1"/>
    </xf>
    <xf numFmtId="0" fontId="0" fillId="0" borderId="0" xfId="0" applyFont="1" applyAlignment="1">
      <alignment horizontal="left" vertical="center" indent="32"/>
    </xf>
    <xf numFmtId="0" fontId="1" fillId="0" borderId="0" xfId="0" applyFont="1" applyAlignment="1">
      <alignment horizontal="left" vertical="center" wrapText="1" indent="33"/>
    </xf>
    <xf numFmtId="0" fontId="1" fillId="0" borderId="5" xfId="0" applyFont="1" applyBorder="1" applyAlignment="1">
      <alignment vertical="center" wrapText="1"/>
    </xf>
    <xf numFmtId="0" fontId="1" fillId="0" borderId="5" xfId="0" applyFont="1" applyBorder="1" applyAlignment="1">
      <alignment horizontal="left" vertical="top" wrapText="1" indent="1"/>
    </xf>
    <xf numFmtId="0" fontId="1" fillId="0" borderId="12" xfId="0" applyFont="1" applyBorder="1" applyAlignment="1">
      <alignment horizontal="left" vertical="top" wrapText="1" indent="2"/>
    </xf>
    <xf numFmtId="0" fontId="1" fillId="0" borderId="5" xfId="0" applyFont="1" applyBorder="1" applyAlignment="1">
      <alignment wrapText="1"/>
    </xf>
    <xf numFmtId="0" fontId="2" fillId="0" borderId="5" xfId="0" applyFont="1" applyBorder="1" applyAlignment="1">
      <alignment wrapText="1"/>
    </xf>
    <xf numFmtId="0" fontId="1" fillId="0" borderId="5" xfId="0" applyFont="1" applyBorder="1" applyAlignment="1">
      <alignment horizontal="left" vertical="center" wrapText="1" indent="1"/>
    </xf>
    <xf numFmtId="164" fontId="1" fillId="0" borderId="12" xfId="0" applyNumberFormat="1" applyFont="1" applyBorder="1" applyAlignment="1">
      <alignment horizontal="right" wrapText="1" indent="3"/>
    </xf>
    <xf numFmtId="0" fontId="1" fillId="0" borderId="12" xfId="0" applyFont="1" applyFill="1" applyBorder="1" applyAlignment="1">
      <alignment vertical="center" wrapText="1"/>
    </xf>
    <xf numFmtId="0" fontId="11" fillId="0" borderId="0" xfId="0" applyFont="1" applyFill="1" applyBorder="1" applyAlignment="1">
      <alignment vertical="center"/>
    </xf>
    <xf numFmtId="0" fontId="1" fillId="0" borderId="12" xfId="0" applyFont="1" applyBorder="1" applyAlignment="1">
      <alignment horizontal="left" wrapText="1" indent="1"/>
    </xf>
    <xf numFmtId="0" fontId="0" fillId="0" borderId="12" xfId="0" applyFont="1" applyFill="1" applyBorder="1" applyAlignment="1">
      <alignment horizontal="left" wrapText="1"/>
    </xf>
    <xf numFmtId="0" fontId="0" fillId="0" borderId="11" xfId="0" applyFont="1" applyFill="1" applyBorder="1" applyAlignment="1">
      <alignment horizontal="left" wrapText="1"/>
    </xf>
    <xf numFmtId="0" fontId="0" fillId="0" borderId="12" xfId="0" applyFont="1" applyBorder="1" applyAlignment="1">
      <alignment horizontal="left" wrapText="1"/>
    </xf>
    <xf numFmtId="0" fontId="1" fillId="0" borderId="12" xfId="0" applyFont="1" applyBorder="1" applyAlignment="1">
      <alignment wrapText="1"/>
    </xf>
    <xf numFmtId="0" fontId="2" fillId="0" borderId="12" xfId="0" applyFont="1" applyFill="1" applyBorder="1" applyAlignment="1">
      <alignment vertical="center" wrapText="1"/>
    </xf>
    <xf numFmtId="0" fontId="1" fillId="0" borderId="12" xfId="0" applyFont="1" applyFill="1" applyBorder="1" applyAlignment="1">
      <alignment horizontal="left" vertical="center" wrapText="1" indent="1"/>
    </xf>
    <xf numFmtId="0" fontId="1" fillId="0" borderId="11" xfId="0" applyFont="1" applyFill="1" applyBorder="1" applyAlignment="1">
      <alignment horizontal="left" vertical="center" wrapText="1" indent="1"/>
    </xf>
    <xf numFmtId="164" fontId="1" fillId="0" borderId="12" xfId="0" applyNumberFormat="1" applyFont="1" applyBorder="1" applyAlignment="1">
      <alignment horizontal="right" wrapText="1" indent="2"/>
    </xf>
    <xf numFmtId="0" fontId="2" fillId="0" borderId="12" xfId="0" applyFont="1" applyBorder="1" applyAlignment="1">
      <alignment wrapText="1"/>
    </xf>
    <xf numFmtId="0" fontId="0" fillId="0" borderId="12" xfId="0" applyFont="1" applyBorder="1" applyAlignment="1">
      <alignment vertical="top" wrapText="1"/>
    </xf>
    <xf numFmtId="0" fontId="0" fillId="0" borderId="12" xfId="0" applyFont="1" applyFill="1" applyBorder="1" applyAlignment="1">
      <alignment vertical="top" wrapText="1"/>
    </xf>
    <xf numFmtId="0" fontId="0" fillId="0" borderId="5" xfId="0" applyFont="1" applyFill="1" applyBorder="1" applyAlignment="1">
      <alignment horizontal="left" vertical="center" wrapText="1" indent="1"/>
    </xf>
    <xf numFmtId="0" fontId="1" fillId="0" borderId="12" xfId="0" applyFont="1" applyFill="1" applyBorder="1" applyAlignment="1">
      <alignment horizontal="left" vertical="top" wrapText="1" indent="1"/>
    </xf>
    <xf numFmtId="0" fontId="0" fillId="0" borderId="12" xfId="0" applyFont="1" applyBorder="1" applyAlignment="1">
      <alignment wrapText="1"/>
    </xf>
    <xf numFmtId="0" fontId="2" fillId="0" borderId="11" xfId="0" applyFont="1" applyBorder="1" applyAlignment="1">
      <alignment wrapText="1"/>
    </xf>
    <xf numFmtId="164" fontId="0" fillId="0" borderId="12" xfId="0" applyNumberFormat="1" applyFont="1" applyFill="1" applyBorder="1" applyAlignment="1">
      <alignment horizontal="right" wrapText="1" indent="2"/>
    </xf>
    <xf numFmtId="0" fontId="0" fillId="0" borderId="5" xfId="0" applyFont="1" applyBorder="1" applyAlignment="1">
      <alignment vertical="center" wrapText="1"/>
    </xf>
    <xf numFmtId="164" fontId="0" fillId="0" borderId="0" xfId="0" applyNumberFormat="1"/>
    <xf numFmtId="0" fontId="0" fillId="0" borderId="12" xfId="0" applyFont="1" applyFill="1" applyBorder="1" applyAlignment="1">
      <alignment vertical="center" wrapText="1"/>
    </xf>
    <xf numFmtId="0" fontId="1" fillId="0" borderId="5" xfId="0" applyFont="1" applyBorder="1" applyAlignment="1"/>
    <xf numFmtId="0" fontId="33" fillId="0" borderId="0" xfId="0" applyFont="1" applyAlignment="1">
      <alignment wrapText="1"/>
    </xf>
    <xf numFmtId="164" fontId="1" fillId="0" borderId="12" xfId="0" applyNumberFormat="1" applyFont="1" applyFill="1" applyBorder="1" applyAlignment="1">
      <alignment horizontal="right" indent="3"/>
    </xf>
    <xf numFmtId="0" fontId="0" fillId="0" borderId="0" xfId="0" applyFill="1"/>
    <xf numFmtId="164" fontId="0" fillId="0" borderId="12" xfId="0" applyNumberFormat="1" applyFont="1" applyFill="1" applyBorder="1" applyAlignment="1">
      <alignment horizontal="right" indent="3"/>
    </xf>
    <xf numFmtId="164" fontId="0" fillId="0" borderId="12" xfId="0" applyNumberFormat="1" applyFont="1" applyBorder="1" applyAlignment="1">
      <alignment horizontal="right" indent="2"/>
    </xf>
    <xf numFmtId="0" fontId="1" fillId="0" borderId="7" xfId="0" applyFont="1" applyBorder="1" applyAlignment="1">
      <alignment horizontal="left" vertical="top" wrapText="1" indent="1"/>
    </xf>
    <xf numFmtId="0" fontId="1" fillId="0" borderId="5" xfId="0" applyFont="1" applyBorder="1" applyAlignment="1">
      <alignment horizontal="left" wrapText="1" indent="2"/>
    </xf>
    <xf numFmtId="0" fontId="1" fillId="0" borderId="5" xfId="0" applyFont="1" applyBorder="1" applyAlignment="1">
      <alignment horizontal="left" wrapText="1" indent="1"/>
    </xf>
    <xf numFmtId="0" fontId="1" fillId="0" borderId="5" xfId="0" applyFont="1" applyBorder="1" applyAlignment="1">
      <alignment horizontal="left" wrapText="1"/>
    </xf>
    <xf numFmtId="164" fontId="0" fillId="0" borderId="12" xfId="0" applyNumberFormat="1" applyFont="1" applyFill="1" applyBorder="1" applyAlignment="1">
      <alignment horizontal="right" vertical="center" indent="2"/>
    </xf>
    <xf numFmtId="0" fontId="0" fillId="0" borderId="12" xfId="0" applyFont="1" applyBorder="1" applyAlignment="1"/>
    <xf numFmtId="164" fontId="0" fillId="0" borderId="12" xfId="0" applyNumberFormat="1" applyBorder="1" applyAlignment="1">
      <alignment horizontal="right" indent="2"/>
    </xf>
    <xf numFmtId="0" fontId="2" fillId="0" borderId="12" xfId="0" applyFont="1" applyBorder="1" applyAlignment="1"/>
    <xf numFmtId="0" fontId="2" fillId="0" borderId="11" xfId="0" applyFont="1" applyBorder="1" applyAlignment="1"/>
    <xf numFmtId="0" fontId="0" fillId="0" borderId="11" xfId="0" applyFont="1" applyFill="1" applyBorder="1" applyAlignment="1">
      <alignment vertical="top" wrapText="1"/>
    </xf>
    <xf numFmtId="164" fontId="1" fillId="0" borderId="12" xfId="0" applyNumberFormat="1" applyFont="1" applyFill="1" applyBorder="1" applyAlignment="1">
      <alignment horizontal="right" indent="1"/>
    </xf>
    <xf numFmtId="0" fontId="32" fillId="0" borderId="0" xfId="0" applyFont="1" applyAlignment="1">
      <alignment horizontal="center" wrapText="1"/>
    </xf>
    <xf numFmtId="0" fontId="7" fillId="0" borderId="0" xfId="0" applyFont="1" applyBorder="1"/>
    <xf numFmtId="0" fontId="1" fillId="0" borderId="11" xfId="0" applyFont="1" applyBorder="1" applyAlignment="1">
      <alignment horizontal="left" wrapText="1" indent="1"/>
    </xf>
    <xf numFmtId="0" fontId="0" fillId="0" borderId="0" xfId="0" applyFill="1" applyAlignment="1"/>
    <xf numFmtId="0" fontId="1" fillId="0" borderId="0" xfId="0" applyFont="1" applyAlignment="1">
      <alignment horizontal="left" vertical="center" wrapText="1" indent="14"/>
    </xf>
    <xf numFmtId="0" fontId="1" fillId="0" borderId="0" xfId="0" applyFont="1" applyAlignment="1">
      <alignment horizontal="left" vertical="center" wrapText="1" indent="1"/>
    </xf>
    <xf numFmtId="0" fontId="1" fillId="0" borderId="0" xfId="0" applyFont="1" applyAlignment="1">
      <alignment horizontal="center" vertical="center"/>
    </xf>
    <xf numFmtId="164" fontId="1" fillId="0" borderId="0" xfId="0" applyNumberFormat="1" applyFont="1" applyAlignment="1">
      <alignment horizontal="left" wrapText="1" indent="14"/>
    </xf>
    <xf numFmtId="0" fontId="0" fillId="0" borderId="5" xfId="0" applyFont="1" applyFill="1" applyBorder="1" applyAlignment="1">
      <alignment horizontal="left" wrapText="1"/>
    </xf>
    <xf numFmtId="0" fontId="2" fillId="0" borderId="10" xfId="0" applyFont="1" applyBorder="1" applyAlignment="1">
      <alignment horizontal="center"/>
    </xf>
    <xf numFmtId="0" fontId="2" fillId="0" borderId="10" xfId="0" applyFont="1" applyFill="1" applyBorder="1" applyAlignment="1">
      <alignment horizontal="center" wrapText="1"/>
    </xf>
    <xf numFmtId="0" fontId="2" fillId="0" borderId="12" xfId="0" applyFont="1" applyBorder="1" applyAlignment="1">
      <alignment horizontal="center" wrapText="1"/>
    </xf>
    <xf numFmtId="0" fontId="2" fillId="0" borderId="10" xfId="0" applyFont="1" applyBorder="1" applyAlignment="1">
      <alignment horizontal="center" wrapText="1"/>
    </xf>
    <xf numFmtId="0" fontId="19" fillId="0" borderId="10" xfId="0" applyFont="1" applyBorder="1" applyAlignment="1">
      <alignment horizontal="right" wrapText="1" indent="5"/>
    </xf>
    <xf numFmtId="0" fontId="2" fillId="0" borderId="10"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0" borderId="12" xfId="0" applyFont="1" applyFill="1" applyBorder="1" applyAlignment="1">
      <alignment horizontal="center" wrapText="1"/>
    </xf>
    <xf numFmtId="0" fontId="2" fillId="0" borderId="12" xfId="0" applyFont="1" applyFill="1" applyBorder="1" applyAlignment="1">
      <alignment horizontal="center"/>
    </xf>
    <xf numFmtId="164" fontId="33" fillId="0" borderId="12" xfId="0" applyNumberFormat="1" applyFont="1" applyFill="1" applyBorder="1" applyAlignment="1">
      <alignment horizontal="right" indent="3"/>
    </xf>
    <xf numFmtId="0" fontId="2" fillId="0" borderId="12" xfId="0" applyFont="1" applyBorder="1" applyAlignment="1">
      <alignment horizontal="center"/>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1" xfId="0" applyFont="1" applyBorder="1" applyAlignment="1">
      <alignment vertical="center" wrapText="1"/>
    </xf>
    <xf numFmtId="0" fontId="0" fillId="0" borderId="7" xfId="0" applyFont="1" applyBorder="1" applyAlignment="1">
      <alignment vertical="center" wrapText="1"/>
    </xf>
    <xf numFmtId="0" fontId="2"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horizontal="left" wrapText="1" indent="14"/>
    </xf>
    <xf numFmtId="0" fontId="2" fillId="0" borderId="5" xfId="0" applyFont="1" applyBorder="1" applyAlignment="1">
      <alignment horizontal="left" wrapText="1"/>
    </xf>
    <xf numFmtId="0" fontId="0" fillId="0" borderId="5" xfId="0" applyFont="1" applyBorder="1" applyAlignment="1">
      <alignment horizontal="left" wrapText="1"/>
    </xf>
    <xf numFmtId="0" fontId="0" fillId="0" borderId="12" xfId="0" applyFont="1" applyBorder="1" applyAlignment="1">
      <alignment horizontal="left" vertical="center" wrapText="1"/>
    </xf>
    <xf numFmtId="0" fontId="1" fillId="0" borderId="12" xfId="0" applyFont="1" applyFill="1" applyBorder="1" applyAlignment="1">
      <alignment horizontal="left" vertical="center" wrapText="1"/>
    </xf>
    <xf numFmtId="0" fontId="1" fillId="0" borderId="12" xfId="0" applyFont="1" applyBorder="1" applyAlignment="1">
      <alignment horizontal="left" vertical="center" wrapText="1"/>
    </xf>
    <xf numFmtId="0" fontId="0" fillId="0" borderId="12" xfId="0" applyFont="1" applyBorder="1" applyAlignment="1">
      <alignment horizontal="left"/>
    </xf>
    <xf numFmtId="0" fontId="2" fillId="0" borderId="10" xfId="0" applyFont="1" applyBorder="1" applyAlignment="1">
      <alignment vertical="center" wrapText="1"/>
    </xf>
    <xf numFmtId="0" fontId="1" fillId="0" borderId="11" xfId="0" applyFont="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2" fillId="0" borderId="4" xfId="0" applyFont="1" applyBorder="1" applyAlignment="1">
      <alignment vertical="center" wrapText="1"/>
    </xf>
    <xf numFmtId="0" fontId="0" fillId="0" borderId="12" xfId="0" applyBorder="1" applyAlignment="1">
      <alignment horizontal="right" indent="3"/>
    </xf>
    <xf numFmtId="0" fontId="2" fillId="0" borderId="6" xfId="0" applyFont="1" applyBorder="1" applyAlignment="1">
      <alignment vertical="center" wrapText="1"/>
    </xf>
    <xf numFmtId="0" fontId="0" fillId="0" borderId="12" xfId="0" applyFont="1" applyBorder="1" applyAlignment="1">
      <alignment horizontal="right" vertical="center" wrapText="1" indent="3"/>
    </xf>
    <xf numFmtId="0" fontId="0" fillId="0" borderId="11" xfId="0" applyBorder="1" applyAlignment="1">
      <alignment horizontal="right" indent="3"/>
    </xf>
    <xf numFmtId="0" fontId="1" fillId="2" borderId="6" xfId="0" applyFont="1" applyFill="1" applyBorder="1" applyAlignment="1">
      <alignment horizontal="center" vertical="top" wrapText="1"/>
    </xf>
    <xf numFmtId="0" fontId="0" fillId="0" borderId="12" xfId="0" applyFont="1" applyFill="1" applyBorder="1" applyAlignment="1">
      <alignment horizontal="right" indent="2"/>
    </xf>
    <xf numFmtId="0" fontId="0" fillId="0" borderId="11" xfId="0" applyFont="1" applyBorder="1" applyAlignment="1">
      <alignment horizontal="left" vertical="center" wrapText="1"/>
    </xf>
    <xf numFmtId="0" fontId="2" fillId="0" borderId="0" xfId="0" applyFont="1" applyBorder="1" applyAlignment="1">
      <alignment vertical="center" wrapText="1"/>
    </xf>
    <xf numFmtId="164" fontId="0" fillId="0" borderId="12" xfId="0" applyNumberFormat="1" applyBorder="1" applyAlignment="1">
      <alignment horizontal="right" indent="3"/>
    </xf>
    <xf numFmtId="0" fontId="33" fillId="0" borderId="16" xfId="0" applyFont="1" applyFill="1" applyBorder="1" applyAlignment="1">
      <alignment vertical="center" wrapText="1"/>
    </xf>
    <xf numFmtId="0" fontId="35" fillId="0" borderId="0" xfId="0" applyFont="1" applyFill="1" applyAlignment="1">
      <alignment vertical="center" wrapText="1"/>
    </xf>
    <xf numFmtId="0" fontId="33" fillId="0" borderId="0" xfId="0" applyFont="1" applyFill="1" applyAlignment="1">
      <alignment horizontal="left" vertical="center" wrapText="1"/>
    </xf>
    <xf numFmtId="0" fontId="33" fillId="0" borderId="0" xfId="1" applyFont="1" applyFill="1" applyAlignment="1">
      <alignment horizontal="left" vertical="center" wrapText="1"/>
    </xf>
    <xf numFmtId="0" fontId="33" fillId="0" borderId="0" xfId="0" applyFont="1" applyFill="1" applyAlignment="1">
      <alignment horizontal="center" vertical="center"/>
    </xf>
    <xf numFmtId="0" fontId="2" fillId="0" borderId="11" xfId="0" applyFont="1" applyFill="1" applyBorder="1" applyAlignment="1">
      <alignment vertical="center" wrapText="1"/>
    </xf>
    <xf numFmtId="0" fontId="0" fillId="0" borderId="0" xfId="0" applyAlignment="1">
      <alignment horizontal="left" wrapText="1"/>
    </xf>
    <xf numFmtId="0" fontId="2" fillId="0" borderId="5" xfId="0" applyFont="1" applyBorder="1" applyAlignment="1">
      <alignment horizontal="center" wrapText="1"/>
    </xf>
    <xf numFmtId="0" fontId="1" fillId="0" borderId="5" xfId="0" applyFont="1" applyBorder="1" applyAlignment="1">
      <alignment horizontal="right" wrapText="1" indent="2"/>
    </xf>
    <xf numFmtId="164" fontId="1" fillId="0" borderId="5" xfId="0" applyNumberFormat="1" applyFont="1" applyBorder="1" applyAlignment="1">
      <alignment horizontal="right" wrapText="1" indent="2"/>
    </xf>
    <xf numFmtId="0" fontId="1" fillId="0" borderId="12" xfId="0" applyFont="1" applyFill="1" applyBorder="1" applyAlignment="1">
      <alignment horizontal="left" vertical="center" wrapText="1" indent="2"/>
    </xf>
    <xf numFmtId="0" fontId="0" fillId="0" borderId="5" xfId="0" applyFont="1" applyBorder="1" applyAlignment="1">
      <alignment wrapText="1"/>
    </xf>
    <xf numFmtId="0" fontId="2" fillId="0" borderId="5" xfId="0" applyFont="1" applyBorder="1" applyAlignment="1">
      <alignment horizontal="center"/>
    </xf>
    <xf numFmtId="0" fontId="2" fillId="0" borderId="2" xfId="0" applyFont="1" applyBorder="1" applyAlignment="1">
      <alignment horizontal="center" wrapText="1"/>
    </xf>
    <xf numFmtId="0" fontId="2" fillId="0" borderId="2" xfId="0" applyFont="1" applyBorder="1" applyAlignment="1">
      <alignment horizontal="center"/>
    </xf>
    <xf numFmtId="0" fontId="33" fillId="0" borderId="0" xfId="0" applyFont="1"/>
    <xf numFmtId="0" fontId="35" fillId="0" borderId="12" xfId="0" applyFont="1" applyBorder="1" applyAlignment="1">
      <alignment vertical="center" wrapText="1"/>
    </xf>
    <xf numFmtId="0" fontId="33" fillId="0" borderId="12" xfId="0" applyFont="1" applyBorder="1" applyAlignment="1">
      <alignment horizontal="left" vertical="top" wrapText="1" indent="1"/>
    </xf>
    <xf numFmtId="0" fontId="33" fillId="0" borderId="12" xfId="0" applyFont="1" applyBorder="1" applyAlignment="1">
      <alignment horizontal="left" vertical="top" indent="1"/>
    </xf>
    <xf numFmtId="0" fontId="35" fillId="0" borderId="12" xfId="0" applyFont="1" applyBorder="1" applyAlignment="1">
      <alignment wrapText="1"/>
    </xf>
    <xf numFmtId="0" fontId="35" fillId="0" borderId="11" xfId="0" applyFont="1" applyBorder="1" applyAlignment="1">
      <alignment wrapText="1"/>
    </xf>
    <xf numFmtId="164" fontId="0" fillId="0" borderId="0" xfId="0" applyNumberFormat="1" applyFont="1" applyBorder="1" applyAlignment="1">
      <alignment horizontal="right" wrapText="1" indent="5"/>
    </xf>
    <xf numFmtId="0" fontId="1" fillId="0" borderId="0" xfId="0" applyFont="1" applyAlignment="1">
      <alignment vertical="center" wrapText="1"/>
    </xf>
    <xf numFmtId="0" fontId="8" fillId="0" borderId="0" xfId="0" applyFont="1" applyAlignment="1">
      <alignment horizontal="center" vertical="center" wrapText="1"/>
    </xf>
    <xf numFmtId="0" fontId="0" fillId="0" borderId="0" xfId="0" applyFont="1" applyFill="1" applyAlignment="1">
      <alignment horizontal="left" vertical="top" wrapText="1" indent="31"/>
    </xf>
    <xf numFmtId="0" fontId="0" fillId="0" borderId="0" xfId="0" applyFill="1" applyAlignment="1">
      <alignment horizontal="right" indent="11"/>
    </xf>
    <xf numFmtId="0" fontId="14" fillId="0" borderId="0" xfId="0" applyFont="1"/>
    <xf numFmtId="0" fontId="1" fillId="0" borderId="0" xfId="0" applyFont="1" applyAlignment="1">
      <alignment vertical="center" wrapText="1"/>
    </xf>
    <xf numFmtId="0" fontId="33" fillId="0" borderId="0" xfId="0" applyFont="1" applyFill="1"/>
    <xf numFmtId="0" fontId="1" fillId="0" borderId="5" xfId="0" applyFont="1" applyBorder="1" applyAlignment="1">
      <alignment horizontal="right" vertical="center" indent="2"/>
    </xf>
    <xf numFmtId="164" fontId="1" fillId="0" borderId="5" xfId="0" quotePrefix="1" applyNumberFormat="1" applyFont="1" applyBorder="1" applyAlignment="1">
      <alignment horizontal="right" vertical="center" indent="2"/>
    </xf>
    <xf numFmtId="164" fontId="1" fillId="0" borderId="5" xfId="0" applyNumberFormat="1" applyFont="1" applyBorder="1" applyAlignment="1">
      <alignment horizontal="right" vertical="center" indent="2"/>
    </xf>
    <xf numFmtId="164" fontId="1" fillId="0" borderId="12" xfId="0" applyNumberFormat="1" applyFont="1" applyBorder="1" applyAlignment="1">
      <alignment horizontal="right" vertical="center" indent="2"/>
    </xf>
    <xf numFmtId="0" fontId="1" fillId="0" borderId="0" xfId="0" applyFont="1" applyFill="1" applyAlignment="1">
      <alignment horizontal="center" vertical="center" wrapText="1"/>
    </xf>
    <xf numFmtId="0" fontId="9" fillId="0" borderId="0" xfId="0" applyFont="1" applyFill="1" applyAlignment="1">
      <alignment horizontal="center" vertical="center" wrapText="1"/>
    </xf>
    <xf numFmtId="0" fontId="1" fillId="0" borderId="0" xfId="0" applyFont="1" applyFill="1" applyAlignment="1">
      <alignment vertical="center" wrapText="1"/>
    </xf>
    <xf numFmtId="0" fontId="1" fillId="0" borderId="0" xfId="0" applyFont="1" applyAlignment="1">
      <alignment vertical="center" wrapText="1"/>
    </xf>
    <xf numFmtId="0" fontId="8" fillId="0" borderId="0" xfId="0" applyFont="1" applyAlignment="1">
      <alignment horizontal="center" vertical="center" wrapText="1"/>
    </xf>
    <xf numFmtId="0" fontId="0" fillId="0" borderId="12" xfId="0" applyFont="1" applyBorder="1" applyAlignment="1">
      <alignment horizontal="left" vertical="top" wrapText="1" indent="1"/>
    </xf>
    <xf numFmtId="0" fontId="33" fillId="0" borderId="12" xfId="0" applyFont="1" applyFill="1" applyBorder="1" applyAlignment="1">
      <alignment horizontal="left" vertical="center" wrapText="1" indent="2"/>
    </xf>
    <xf numFmtId="0" fontId="33" fillId="0" borderId="0" xfId="0" applyFont="1" applyAlignment="1">
      <alignment horizontal="center" vertical="center"/>
    </xf>
    <xf numFmtId="0" fontId="39" fillId="0" borderId="0" xfId="0" applyFont="1" applyAlignment="1">
      <alignment horizontal="center" vertical="center" wrapText="1"/>
    </xf>
    <xf numFmtId="0" fontId="35" fillId="0" borderId="0" xfId="0" applyFont="1" applyAlignment="1">
      <alignment horizontal="center" vertical="center" wrapText="1"/>
    </xf>
    <xf numFmtId="0" fontId="0" fillId="0" borderId="12" xfId="0" applyFont="1" applyFill="1" applyBorder="1" applyAlignment="1">
      <alignment horizontal="left" vertical="top" wrapText="1" indent="1"/>
    </xf>
    <xf numFmtId="0" fontId="1" fillId="0" borderId="5" xfId="0" applyFont="1" applyFill="1" applyBorder="1" applyAlignment="1">
      <alignment horizontal="left" vertical="top" wrapText="1" indent="1"/>
    </xf>
    <xf numFmtId="0" fontId="1" fillId="0" borderId="12" xfId="0" applyFont="1" applyFill="1" applyBorder="1" applyAlignment="1">
      <alignment horizontal="left" wrapText="1"/>
    </xf>
    <xf numFmtId="0" fontId="33" fillId="2" borderId="4" xfId="0" applyFont="1" applyFill="1" applyBorder="1" applyAlignment="1">
      <alignment horizontal="center" vertical="top" wrapText="1"/>
    </xf>
    <xf numFmtId="164" fontId="0" fillId="0" borderId="12" xfId="0" applyNumberFormat="1" applyFont="1" applyFill="1" applyBorder="1" applyAlignment="1">
      <alignment horizontal="right" wrapText="1" indent="6"/>
    </xf>
    <xf numFmtId="0" fontId="0" fillId="2" borderId="1" xfId="0" applyFill="1" applyBorder="1" applyAlignment="1">
      <alignment horizontal="center" vertical="top" wrapText="1"/>
    </xf>
    <xf numFmtId="0" fontId="2" fillId="0" borderId="10" xfId="0" applyFont="1" applyFill="1" applyBorder="1" applyAlignment="1">
      <alignment horizontal="center" vertical="center"/>
    </xf>
    <xf numFmtId="0" fontId="1" fillId="2" borderId="4" xfId="0" applyFont="1" applyFill="1" applyBorder="1" applyAlignment="1">
      <alignment horizontal="center" vertical="top" wrapText="1"/>
    </xf>
    <xf numFmtId="0" fontId="2" fillId="0" borderId="0" xfId="0" applyFont="1" applyFill="1" applyBorder="1" applyAlignment="1">
      <alignment horizontal="center" wrapText="1"/>
    </xf>
    <xf numFmtId="0" fontId="2" fillId="0" borderId="3" xfId="0" applyFont="1" applyFill="1" applyBorder="1" applyAlignment="1">
      <alignment horizontal="center" wrapText="1"/>
    </xf>
    <xf numFmtId="164" fontId="0" fillId="0" borderId="0" xfId="0" applyNumberFormat="1" applyFont="1" applyFill="1" applyBorder="1" applyAlignment="1">
      <alignment horizontal="right" wrapText="1" indent="2"/>
    </xf>
    <xf numFmtId="0" fontId="0" fillId="0" borderId="7" xfId="0" applyFont="1" applyFill="1" applyBorder="1" applyAlignment="1">
      <alignment horizontal="left" wrapText="1"/>
    </xf>
    <xf numFmtId="164" fontId="0" fillId="0" borderId="11" xfId="0" applyNumberFormat="1" applyBorder="1" applyAlignment="1">
      <alignment horizontal="right" indent="3"/>
    </xf>
    <xf numFmtId="0" fontId="0" fillId="2" borderId="1" xfId="0" applyFont="1" applyFill="1" applyBorder="1" applyAlignment="1">
      <alignment horizontal="center" vertical="top"/>
    </xf>
    <xf numFmtId="0" fontId="0" fillId="0" borderId="0" xfId="0" applyNumberFormat="1" applyFont="1" applyBorder="1" applyAlignment="1">
      <alignment horizontal="right" wrapText="1" indent="5"/>
    </xf>
    <xf numFmtId="164" fontId="33" fillId="0" borderId="11" xfId="0" applyNumberFormat="1" applyFont="1" applyFill="1" applyBorder="1" applyAlignment="1">
      <alignment horizontal="right" indent="3"/>
    </xf>
    <xf numFmtId="0" fontId="0" fillId="2" borderId="10" xfId="0" applyFont="1" applyFill="1" applyBorder="1" applyAlignment="1">
      <alignment horizontal="center" vertical="top" wrapText="1"/>
    </xf>
    <xf numFmtId="0" fontId="0" fillId="0" borderId="0" xfId="0" applyFont="1" applyFill="1"/>
    <xf numFmtId="0" fontId="2" fillId="0" borderId="7" xfId="0" applyFont="1" applyBorder="1" applyAlignment="1">
      <alignment horizontal="left" wrapText="1"/>
    </xf>
    <xf numFmtId="0" fontId="1" fillId="0" borderId="7" xfId="0" applyFont="1" applyBorder="1" applyAlignment="1">
      <alignment horizontal="right" vertical="center" indent="2"/>
    </xf>
    <xf numFmtId="164" fontId="1" fillId="0" borderId="7" xfId="0" quotePrefix="1" applyNumberFormat="1" applyFont="1" applyBorder="1" applyAlignment="1">
      <alignment horizontal="right" vertical="center" indent="2"/>
    </xf>
    <xf numFmtId="164" fontId="1" fillId="0" borderId="7" xfId="0" applyNumberFormat="1" applyFont="1" applyBorder="1" applyAlignment="1">
      <alignment horizontal="right" vertical="center" indent="2"/>
    </xf>
    <xf numFmtId="164" fontId="1" fillId="0" borderId="11" xfId="0" applyNumberFormat="1" applyFont="1" applyBorder="1" applyAlignment="1">
      <alignment horizontal="right" vertical="center" indent="2"/>
    </xf>
    <xf numFmtId="164" fontId="1" fillId="0" borderId="6" xfId="0" applyNumberFormat="1" applyFont="1" applyFill="1" applyBorder="1" applyAlignment="1">
      <alignment horizontal="right" indent="3"/>
    </xf>
    <xf numFmtId="164" fontId="0" fillId="0" borderId="6" xfId="0" applyNumberFormat="1" applyFont="1" applyFill="1" applyBorder="1" applyAlignment="1">
      <alignment horizontal="right" indent="3"/>
    </xf>
    <xf numFmtId="164" fontId="0" fillId="0" borderId="7" xfId="0" applyNumberFormat="1" applyFont="1" applyFill="1" applyBorder="1" applyAlignment="1">
      <alignment horizontal="right" indent="3"/>
    </xf>
    <xf numFmtId="0" fontId="1" fillId="0" borderId="12" xfId="0" applyFont="1" applyFill="1" applyBorder="1" applyAlignment="1">
      <alignment horizontal="left" wrapText="1" indent="1"/>
    </xf>
    <xf numFmtId="0" fontId="1" fillId="0" borderId="7" xfId="0" applyFont="1" applyFill="1" applyBorder="1" applyAlignment="1">
      <alignment vertical="center" wrapText="1"/>
    </xf>
    <xf numFmtId="164" fontId="0" fillId="0" borderId="12" xfId="0" applyNumberFormat="1" applyBorder="1" applyAlignment="1">
      <alignment horizontal="right" wrapText="1" indent="2"/>
    </xf>
    <xf numFmtId="164" fontId="0" fillId="0" borderId="6" xfId="0" applyNumberFormat="1" applyBorder="1" applyAlignment="1">
      <alignment horizontal="right" wrapText="1" indent="2"/>
    </xf>
    <xf numFmtId="164" fontId="0" fillId="0" borderId="12" xfId="0" applyNumberFormat="1" applyBorder="1" applyAlignment="1">
      <alignment horizontal="right" wrapText="1" indent="3"/>
    </xf>
    <xf numFmtId="2" fontId="0" fillId="0" borderId="12" xfId="0" applyNumberFormat="1" applyBorder="1" applyAlignment="1">
      <alignment horizontal="right" wrapText="1" indent="3"/>
    </xf>
    <xf numFmtId="164" fontId="0" fillId="0" borderId="12" xfId="0" applyNumberFormat="1" applyBorder="1" applyAlignment="1">
      <alignment horizontal="right" vertical="center" wrapText="1" indent="2"/>
    </xf>
    <xf numFmtId="164" fontId="0" fillId="0" borderId="6" xfId="0" applyNumberFormat="1" applyBorder="1" applyAlignment="1">
      <alignment horizontal="right" vertical="center" wrapText="1" indent="2"/>
    </xf>
    <xf numFmtId="164" fontId="1" fillId="0" borderId="12" xfId="0" applyNumberFormat="1" applyFont="1" applyBorder="1" applyAlignment="1">
      <alignment horizontal="right" indent="2"/>
    </xf>
    <xf numFmtId="0" fontId="0" fillId="0" borderId="12" xfId="0" applyNumberFormat="1" applyFont="1" applyFill="1" applyBorder="1" applyAlignment="1">
      <alignment horizontal="right" wrapText="1" indent="5"/>
    </xf>
    <xf numFmtId="0" fontId="0" fillId="0" borderId="5" xfId="0" applyFont="1" applyFill="1" applyBorder="1" applyAlignment="1">
      <alignment vertical="center" wrapText="1"/>
    </xf>
    <xf numFmtId="0" fontId="2" fillId="0" borderId="5" xfId="0" applyFont="1" applyFill="1" applyBorder="1" applyAlignment="1">
      <alignment vertical="center" wrapText="1"/>
    </xf>
    <xf numFmtId="164" fontId="0" fillId="0" borderId="0" xfId="0" applyNumberFormat="1" applyFill="1"/>
    <xf numFmtId="164" fontId="0" fillId="0" borderId="0" xfId="0" applyNumberFormat="1" applyBorder="1"/>
    <xf numFmtId="0" fontId="0" fillId="0" borderId="0" xfId="0" applyFont="1" applyFill="1" applyBorder="1" applyAlignment="1">
      <alignment vertical="center" wrapText="1"/>
    </xf>
    <xf numFmtId="164" fontId="0" fillId="0" borderId="12" xfId="0" applyNumberFormat="1" applyFont="1" applyFill="1" applyBorder="1" applyAlignment="1">
      <alignment horizontal="right" wrapText="1" indent="5"/>
    </xf>
    <xf numFmtId="164" fontId="1" fillId="0" borderId="5" xfId="0" applyNumberFormat="1" applyFont="1" applyBorder="1" applyAlignment="1">
      <alignment horizontal="right" indent="2"/>
    </xf>
    <xf numFmtId="0" fontId="1" fillId="0" borderId="5" xfId="0" applyFont="1" applyBorder="1" applyAlignment="1">
      <alignment horizontal="right" indent="2"/>
    </xf>
    <xf numFmtId="0" fontId="1" fillId="0" borderId="5" xfId="0" applyFont="1" applyBorder="1" applyAlignment="1">
      <alignment horizontal="left" vertical="center" wrapText="1" indent="2"/>
    </xf>
    <xf numFmtId="164" fontId="0" fillId="0" borderId="0" xfId="0" applyNumberFormat="1" applyFill="1" applyBorder="1" applyAlignment="1">
      <alignment horizontal="right" wrapText="1" indent="2"/>
    </xf>
    <xf numFmtId="0" fontId="0" fillId="0" borderId="5" xfId="0" applyFont="1" applyFill="1" applyBorder="1" applyAlignment="1">
      <alignment wrapText="1"/>
    </xf>
    <xf numFmtId="164" fontId="0" fillId="0" borderId="12" xfId="0" applyNumberFormat="1" applyFill="1" applyBorder="1" applyAlignment="1">
      <alignment horizontal="right" indent="1"/>
    </xf>
    <xf numFmtId="164" fontId="0" fillId="0" borderId="12" xfId="0" applyNumberFormat="1" applyFill="1" applyBorder="1" applyAlignment="1">
      <alignment horizontal="right" indent="3"/>
    </xf>
    <xf numFmtId="164" fontId="0" fillId="0" borderId="11" xfId="0" applyNumberFormat="1" applyFill="1" applyBorder="1" applyAlignment="1">
      <alignment horizontal="right" indent="1"/>
    </xf>
    <xf numFmtId="0" fontId="35" fillId="0" borderId="0" xfId="1" applyFont="1" applyFill="1" applyAlignment="1">
      <alignment vertical="center" wrapText="1"/>
    </xf>
    <xf numFmtId="164" fontId="0" fillId="0" borderId="6" xfId="0" applyNumberFormat="1" applyBorder="1" applyAlignment="1">
      <alignment horizontal="right" indent="4"/>
    </xf>
    <xf numFmtId="0" fontId="0" fillId="0" borderId="12" xfId="0" applyFont="1" applyFill="1" applyBorder="1" applyAlignment="1">
      <alignment horizontal="left" wrapText="1" indent="1"/>
    </xf>
    <xf numFmtId="164" fontId="0" fillId="0" borderId="12" xfId="0" applyNumberFormat="1" applyBorder="1" applyAlignment="1">
      <alignment horizontal="right" indent="4"/>
    </xf>
    <xf numFmtId="0" fontId="1" fillId="0" borderId="0" xfId="0" applyFont="1"/>
    <xf numFmtId="164" fontId="1" fillId="0" borderId="0" xfId="0" applyNumberFormat="1" applyFont="1"/>
    <xf numFmtId="0" fontId="0" fillId="0" borderId="0" xfId="0" applyFont="1" applyFill="1" applyAlignment="1">
      <alignment horizontal="left" vertical="center" wrapText="1" indent="31"/>
    </xf>
    <xf numFmtId="0" fontId="2" fillId="0" borderId="0" xfId="0" applyFont="1" applyFill="1" applyAlignment="1">
      <alignment horizontal="justify" vertical="center" wrapText="1"/>
    </xf>
    <xf numFmtId="0" fontId="2" fillId="0" borderId="10" xfId="0" applyFont="1" applyFill="1" applyBorder="1" applyAlignment="1">
      <alignment horizontal="center"/>
    </xf>
    <xf numFmtId="164" fontId="1" fillId="0" borderId="0" xfId="0" applyNumberFormat="1" applyFont="1" applyBorder="1" applyAlignment="1">
      <alignment horizontal="right" vertical="center" wrapText="1" indent="6"/>
    </xf>
    <xf numFmtId="0" fontId="1" fillId="0" borderId="12" xfId="0" applyFont="1" applyBorder="1" applyAlignment="1"/>
    <xf numFmtId="0" fontId="1" fillId="0" borderId="12" xfId="0" applyFont="1" applyBorder="1" applyAlignment="1">
      <alignment horizontal="left" vertical="center" wrapText="1" indent="3"/>
    </xf>
    <xf numFmtId="0" fontId="1" fillId="0" borderId="11" xfId="0" applyFont="1" applyBorder="1" applyAlignment="1">
      <alignment horizontal="left" vertical="center" wrapText="1" indent="2"/>
    </xf>
    <xf numFmtId="0" fontId="33" fillId="0" borderId="5" xfId="0" applyFont="1" applyFill="1" applyBorder="1" applyAlignment="1">
      <alignment horizontal="left" vertical="center" wrapText="1" indent="1"/>
    </xf>
    <xf numFmtId="0" fontId="33" fillId="0" borderId="5" xfId="0" applyFont="1" applyFill="1" applyBorder="1" applyAlignment="1">
      <alignment horizontal="left" vertical="top" wrapText="1" indent="1"/>
    </xf>
    <xf numFmtId="0" fontId="35" fillId="0" borderId="0" xfId="0" applyFont="1" applyBorder="1" applyAlignment="1">
      <alignment wrapText="1"/>
    </xf>
    <xf numFmtId="164" fontId="33" fillId="0" borderId="0" xfId="0" applyNumberFormat="1" applyFont="1" applyFill="1" applyBorder="1" applyAlignment="1">
      <alignment horizontal="right" wrapText="1" indent="4"/>
    </xf>
    <xf numFmtId="164" fontId="33" fillId="0" borderId="0" xfId="0" quotePrefix="1" applyNumberFormat="1" applyFont="1" applyFill="1" applyBorder="1" applyAlignment="1">
      <alignment horizontal="right" wrapText="1" indent="4"/>
    </xf>
    <xf numFmtId="0" fontId="0" fillId="0" borderId="0" xfId="0" applyAlignment="1">
      <alignment horizontal="center"/>
    </xf>
    <xf numFmtId="0" fontId="0" fillId="0" borderId="5" xfId="0" applyFont="1" applyBorder="1" applyAlignment="1">
      <alignment horizontal="left" wrapText="1" indent="2"/>
    </xf>
    <xf numFmtId="0" fontId="0" fillId="0" borderId="5" xfId="0" applyFont="1" applyBorder="1" applyAlignment="1">
      <alignment horizontal="left" wrapText="1" indent="1"/>
    </xf>
    <xf numFmtId="0" fontId="0" fillId="0" borderId="11" xfId="0" applyFont="1" applyFill="1" applyBorder="1" applyAlignment="1">
      <alignment wrapText="1"/>
    </xf>
    <xf numFmtId="0" fontId="1" fillId="0" borderId="5" xfId="0" applyFont="1" applyFill="1" applyBorder="1" applyAlignment="1">
      <alignment horizontal="left" vertical="center" wrapText="1" indent="1"/>
    </xf>
    <xf numFmtId="0" fontId="33" fillId="0" borderId="11" xfId="0" applyFont="1" applyBorder="1" applyAlignment="1">
      <alignment horizontal="left" vertical="center" wrapText="1" indent="1"/>
    </xf>
    <xf numFmtId="164" fontId="0" fillId="0" borderId="11" xfId="0" applyNumberFormat="1" applyBorder="1" applyAlignment="1">
      <alignment horizontal="right" vertical="center" wrapText="1" indent="2"/>
    </xf>
    <xf numFmtId="164" fontId="0" fillId="0" borderId="9" xfId="0" applyNumberFormat="1" applyBorder="1" applyAlignment="1">
      <alignment horizontal="right" vertical="center" wrapText="1" indent="2"/>
    </xf>
    <xf numFmtId="164" fontId="0" fillId="0" borderId="6" xfId="0" applyNumberFormat="1" applyBorder="1" applyAlignment="1">
      <alignment horizontal="right" wrapText="1" indent="3"/>
    </xf>
    <xf numFmtId="164" fontId="0" fillId="0" borderId="11" xfId="0" applyNumberFormat="1" applyBorder="1" applyAlignment="1">
      <alignment horizontal="right" wrapText="1" indent="3"/>
    </xf>
    <xf numFmtId="164" fontId="0" fillId="0" borderId="6" xfId="0" applyNumberFormat="1" applyBorder="1" applyAlignment="1">
      <alignment horizontal="right" indent="3"/>
    </xf>
    <xf numFmtId="164" fontId="0" fillId="0" borderId="12" xfId="0" applyNumberFormat="1" applyBorder="1" applyAlignment="1">
      <alignment horizontal="right" wrapText="1" indent="4"/>
    </xf>
    <xf numFmtId="164" fontId="0" fillId="0" borderId="11" xfId="0" applyNumberFormat="1" applyBorder="1" applyAlignment="1">
      <alignment horizontal="right" indent="2"/>
    </xf>
    <xf numFmtId="164" fontId="0" fillId="0" borderId="6" xfId="0" applyNumberFormat="1" applyBorder="1" applyAlignment="1">
      <alignment horizontal="right" wrapText="1" indent="4"/>
    </xf>
    <xf numFmtId="0" fontId="2" fillId="0" borderId="12" xfId="0" applyFont="1" applyFill="1" applyBorder="1" applyAlignment="1">
      <alignment horizontal="justify" vertical="center" wrapText="1"/>
    </xf>
    <xf numFmtId="0" fontId="1" fillId="2" borderId="1" xfId="0" applyFont="1" applyFill="1" applyBorder="1" applyAlignment="1">
      <alignment horizontal="center" vertical="top" wrapText="1"/>
    </xf>
    <xf numFmtId="0" fontId="0" fillId="2" borderId="1" xfId="0" applyFont="1" applyFill="1" applyBorder="1" applyAlignment="1">
      <alignment horizontal="center" vertical="top" wrapText="1"/>
    </xf>
    <xf numFmtId="0" fontId="0" fillId="2" borderId="10" xfId="0" applyFont="1" applyFill="1" applyBorder="1" applyAlignment="1">
      <alignment horizontal="center" vertical="top" wrapText="1"/>
    </xf>
    <xf numFmtId="0" fontId="0" fillId="2" borderId="4" xfId="0" applyFont="1" applyFill="1" applyBorder="1" applyAlignment="1">
      <alignment horizontal="center" vertical="top" wrapText="1"/>
    </xf>
    <xf numFmtId="0" fontId="0" fillId="2" borderId="10" xfId="0" applyFont="1" applyFill="1" applyBorder="1" applyAlignment="1">
      <alignment horizontal="center" vertical="center" wrapText="1"/>
    </xf>
    <xf numFmtId="164" fontId="1" fillId="0" borderId="12" xfId="0" applyNumberFormat="1" applyFont="1" applyFill="1" applyBorder="1" applyAlignment="1">
      <alignment horizontal="right" wrapText="1" indent="5"/>
    </xf>
    <xf numFmtId="164" fontId="1" fillId="0" borderId="6" xfId="0" applyNumberFormat="1" applyFont="1" applyFill="1" applyBorder="1" applyAlignment="1">
      <alignment horizontal="right" wrapText="1" indent="5"/>
    </xf>
    <xf numFmtId="164" fontId="1" fillId="0" borderId="12" xfId="0" applyNumberFormat="1" applyFont="1" applyBorder="1" applyAlignment="1">
      <alignment horizontal="right" wrapText="1" indent="5"/>
    </xf>
    <xf numFmtId="164" fontId="1" fillId="0" borderId="6" xfId="0" applyNumberFormat="1" applyFont="1" applyBorder="1" applyAlignment="1">
      <alignment horizontal="right" wrapText="1" indent="5"/>
    </xf>
    <xf numFmtId="0" fontId="0" fillId="0" borderId="7" xfId="0" applyFont="1" applyFill="1" applyBorder="1" applyAlignment="1">
      <alignment horizontal="left" vertical="center" wrapText="1" indent="1"/>
    </xf>
    <xf numFmtId="0" fontId="33" fillId="2" borderId="1" xfId="0" applyFont="1" applyFill="1" applyBorder="1" applyAlignment="1">
      <alignment horizontal="center" vertical="top" wrapText="1"/>
    </xf>
    <xf numFmtId="164" fontId="0" fillId="0" borderId="11" xfId="0" applyNumberFormat="1" applyFont="1" applyFill="1" applyBorder="1" applyAlignment="1">
      <alignment horizontal="right" wrapText="1" indent="2"/>
    </xf>
    <xf numFmtId="164" fontId="0" fillId="0" borderId="8" xfId="0" applyNumberFormat="1" applyFill="1" applyBorder="1" applyAlignment="1">
      <alignment horizontal="right" wrapText="1" indent="2"/>
    </xf>
    <xf numFmtId="0" fontId="2" fillId="0" borderId="12" xfId="0" applyFont="1" applyFill="1" applyBorder="1" applyAlignment="1">
      <alignment horizontal="center" vertical="center"/>
    </xf>
    <xf numFmtId="0" fontId="19" fillId="0" borderId="5" xfId="0" applyFont="1" applyBorder="1" applyAlignment="1">
      <alignment horizontal="right" wrapText="1" indent="5"/>
    </xf>
    <xf numFmtId="0" fontId="19" fillId="0" borderId="12" xfId="0" applyFont="1" applyBorder="1" applyAlignment="1">
      <alignment horizontal="right" wrapText="1" indent="5"/>
    </xf>
    <xf numFmtId="164" fontId="0" fillId="0" borderId="8" xfId="0" applyNumberFormat="1" applyFont="1" applyBorder="1" applyAlignment="1">
      <alignment horizontal="right" wrapText="1" indent="5"/>
    </xf>
    <xf numFmtId="164" fontId="0" fillId="0" borderId="11" xfId="0" applyNumberFormat="1" applyFont="1" applyFill="1" applyBorder="1" applyAlignment="1">
      <alignment horizontal="right" wrapText="1" indent="5"/>
    </xf>
    <xf numFmtId="0" fontId="0" fillId="0" borderId="11" xfId="0" applyNumberFormat="1" applyFont="1" applyFill="1" applyBorder="1" applyAlignment="1">
      <alignment horizontal="right" vertical="center" indent="2"/>
    </xf>
    <xf numFmtId="0" fontId="1" fillId="0" borderId="7" xfId="0" applyFont="1" applyBorder="1" applyAlignment="1">
      <alignment wrapText="1"/>
    </xf>
    <xf numFmtId="164" fontId="0" fillId="0" borderId="11" xfId="0" applyNumberFormat="1" applyFont="1" applyFill="1" applyBorder="1" applyAlignment="1">
      <alignment horizontal="right" wrapText="1" indent="6"/>
    </xf>
    <xf numFmtId="0" fontId="2" fillId="0" borderId="12" xfId="0" applyFont="1" applyBorder="1" applyAlignment="1">
      <alignment horizontal="right" indent="5"/>
    </xf>
    <xf numFmtId="0" fontId="2" fillId="0" borderId="6" xfId="0" applyFont="1" applyBorder="1" applyAlignment="1">
      <alignment horizontal="right" indent="5"/>
    </xf>
    <xf numFmtId="164" fontId="0" fillId="0" borderId="11" xfId="0" applyNumberFormat="1" applyFill="1" applyBorder="1" applyAlignment="1">
      <alignment horizontal="right" indent="3"/>
    </xf>
    <xf numFmtId="0" fontId="0" fillId="2" borderId="6" xfId="0" applyFont="1" applyFill="1" applyBorder="1" applyAlignment="1">
      <alignment horizontal="center" vertical="top" wrapText="1"/>
    </xf>
    <xf numFmtId="0" fontId="2" fillId="0" borderId="7" xfId="0" applyFont="1" applyBorder="1" applyAlignment="1"/>
    <xf numFmtId="164" fontId="0" fillId="0" borderId="11" xfId="0" applyNumberFormat="1" applyBorder="1" applyAlignment="1">
      <alignment horizontal="right" wrapText="1" indent="2"/>
    </xf>
    <xf numFmtId="164" fontId="0" fillId="0" borderId="9" xfId="0" applyNumberFormat="1" applyBorder="1" applyAlignment="1">
      <alignment horizontal="right" wrapText="1" indent="2"/>
    </xf>
    <xf numFmtId="0" fontId="0" fillId="0" borderId="11" xfId="0" applyFill="1" applyBorder="1" applyAlignment="1">
      <alignment horizontal="right" indent="3"/>
    </xf>
    <xf numFmtId="164" fontId="0" fillId="0" borderId="11" xfId="0" applyNumberFormat="1" applyBorder="1" applyAlignment="1">
      <alignment horizontal="right" indent="4"/>
    </xf>
    <xf numFmtId="164" fontId="0" fillId="0" borderId="9" xfId="0" applyNumberFormat="1" applyBorder="1" applyAlignment="1">
      <alignment horizontal="right" indent="4"/>
    </xf>
    <xf numFmtId="164" fontId="1" fillId="0" borderId="11" xfId="0" applyNumberFormat="1" applyFont="1" applyBorder="1" applyAlignment="1">
      <alignment horizontal="right" wrapText="1" indent="3"/>
    </xf>
    <xf numFmtId="0" fontId="33" fillId="0" borderId="12" xfId="0" applyFont="1" applyBorder="1" applyAlignment="1">
      <alignment wrapText="1"/>
    </xf>
    <xf numFmtId="0" fontId="2" fillId="0" borderId="2" xfId="0" applyFont="1" applyFill="1" applyBorder="1" applyAlignment="1">
      <alignment vertical="center" wrapText="1"/>
    </xf>
    <xf numFmtId="0" fontId="0" fillId="0" borderId="5" xfId="0" applyFont="1" applyFill="1" applyBorder="1" applyAlignment="1">
      <alignment horizontal="left" vertical="top" wrapText="1" indent="1"/>
    </xf>
    <xf numFmtId="0" fontId="1" fillId="0" borderId="5" xfId="0" applyFont="1" applyFill="1" applyBorder="1" applyAlignment="1">
      <alignment horizontal="left" vertical="top" indent="1"/>
    </xf>
    <xf numFmtId="0" fontId="2" fillId="0" borderId="5" xfId="0" applyFont="1" applyBorder="1" applyAlignment="1">
      <alignment vertical="top" wrapText="1"/>
    </xf>
    <xf numFmtId="0" fontId="2" fillId="0" borderId="7" xfId="0" applyFont="1" applyBorder="1" applyAlignment="1">
      <alignment vertical="top" wrapText="1"/>
    </xf>
    <xf numFmtId="164" fontId="1" fillId="0" borderId="11" xfId="0" applyNumberFormat="1" applyFont="1" applyFill="1" applyBorder="1" applyAlignment="1">
      <alignment horizontal="right" indent="5"/>
    </xf>
    <xf numFmtId="164" fontId="1" fillId="0" borderId="9" xfId="0" applyNumberFormat="1" applyFont="1" applyFill="1" applyBorder="1" applyAlignment="1">
      <alignment horizontal="right" indent="5"/>
    </xf>
    <xf numFmtId="164" fontId="0" fillId="0" borderId="11" xfId="0" applyNumberFormat="1" applyFont="1" applyFill="1" applyBorder="1" applyAlignment="1">
      <alignment horizontal="right" indent="3"/>
    </xf>
    <xf numFmtId="0" fontId="2" fillId="0" borderId="10" xfId="0" applyFont="1" applyFill="1" applyBorder="1" applyAlignment="1">
      <alignment horizontal="left" vertical="center" wrapText="1"/>
    </xf>
    <xf numFmtId="0" fontId="0" fillId="2" borderId="11" xfId="0" applyFont="1" applyFill="1" applyBorder="1" applyAlignment="1">
      <alignment horizontal="center" vertical="top" wrapText="1"/>
    </xf>
    <xf numFmtId="0" fontId="1" fillId="2" borderId="14" xfId="0" applyFont="1" applyFill="1" applyBorder="1" applyAlignment="1">
      <alignment horizontal="center" vertical="top" wrapText="1"/>
    </xf>
    <xf numFmtId="0" fontId="1" fillId="2" borderId="10" xfId="0" applyFont="1" applyFill="1" applyBorder="1" applyAlignment="1">
      <alignment horizontal="center" vertical="top" wrapText="1"/>
    </xf>
    <xf numFmtId="0" fontId="0" fillId="2" borderId="14" xfId="0" applyFont="1" applyFill="1" applyBorder="1" applyAlignment="1">
      <alignment horizontal="center" vertical="top" wrapText="1"/>
    </xf>
    <xf numFmtId="0" fontId="0" fillId="0" borderId="12" xfId="0" applyNumberFormat="1" applyFont="1" applyFill="1" applyBorder="1" applyAlignment="1">
      <alignment horizontal="right" vertical="center" indent="2"/>
    </xf>
    <xf numFmtId="0" fontId="0" fillId="0" borderId="12" xfId="0" applyFill="1" applyBorder="1" applyAlignment="1">
      <alignment horizontal="right" indent="3"/>
    </xf>
    <xf numFmtId="164" fontId="1" fillId="0" borderId="7" xfId="0" applyNumberFormat="1" applyFont="1" applyFill="1" applyBorder="1" applyAlignment="1">
      <alignment horizontal="right" indent="3"/>
    </xf>
    <xf numFmtId="164" fontId="0" fillId="0" borderId="11" xfId="0" applyNumberFormat="1" applyFont="1" applyFill="1" applyBorder="1" applyAlignment="1">
      <alignment horizontal="right" vertical="center" indent="2"/>
    </xf>
    <xf numFmtId="164" fontId="1" fillId="0" borderId="12" xfId="0" quotePrefix="1" applyNumberFormat="1" applyFont="1" applyBorder="1" applyAlignment="1">
      <alignment horizontal="right" vertical="center" indent="2"/>
    </xf>
    <xf numFmtId="164" fontId="0" fillId="0" borderId="12" xfId="0" quotePrefix="1" applyNumberFormat="1" applyFont="1" applyBorder="1" applyAlignment="1">
      <alignment horizontal="right" vertical="center" indent="2"/>
    </xf>
    <xf numFmtId="164" fontId="1" fillId="0" borderId="11" xfId="0" quotePrefix="1" applyNumberFormat="1" applyFont="1" applyBorder="1" applyAlignment="1">
      <alignment horizontal="right" vertical="center" indent="2"/>
    </xf>
    <xf numFmtId="164" fontId="0" fillId="0" borderId="10" xfId="0" applyNumberFormat="1" applyBorder="1" applyAlignment="1">
      <alignment horizontal="right" wrapText="1" indent="3"/>
    </xf>
    <xf numFmtId="2" fontId="0" fillId="0" borderId="12" xfId="0" applyNumberFormat="1" applyBorder="1" applyAlignment="1">
      <alignment horizontal="right" vertical="center" wrapText="1" indent="3"/>
    </xf>
    <xf numFmtId="2" fontId="0" fillId="0" borderId="11" xfId="0" applyNumberFormat="1" applyBorder="1" applyAlignment="1">
      <alignment horizontal="right" vertical="center" wrapText="1" indent="3"/>
    </xf>
    <xf numFmtId="164" fontId="1" fillId="0" borderId="6" xfId="0" applyNumberFormat="1" applyFont="1" applyFill="1" applyBorder="1" applyAlignment="1">
      <alignment horizontal="right" wrapText="1" indent="1"/>
    </xf>
    <xf numFmtId="1" fontId="0" fillId="0" borderId="0" xfId="0" applyNumberFormat="1"/>
    <xf numFmtId="164" fontId="1" fillId="0" borderId="12" xfId="0" applyNumberFormat="1" applyFont="1" applyFill="1" applyBorder="1" applyAlignment="1">
      <alignment horizontal="right" wrapText="1" indent="1"/>
    </xf>
    <xf numFmtId="0" fontId="0" fillId="0" borderId="0" xfId="0" applyFont="1" applyAlignment="1">
      <alignment vertical="center" wrapText="1"/>
    </xf>
    <xf numFmtId="0" fontId="0" fillId="2" borderId="10" xfId="0" applyFont="1" applyFill="1" applyBorder="1" applyAlignment="1">
      <alignment horizontal="center" vertical="top" wrapText="1"/>
    </xf>
    <xf numFmtId="0" fontId="1" fillId="0" borderId="12" xfId="0" applyNumberFormat="1" applyFont="1" applyBorder="1" applyAlignment="1">
      <alignment horizontal="right" vertical="center" wrapText="1" indent="6"/>
    </xf>
    <xf numFmtId="0" fontId="0" fillId="0" borderId="6" xfId="0" applyBorder="1" applyAlignment="1">
      <alignment horizontal="right" indent="2"/>
    </xf>
    <xf numFmtId="0" fontId="0" fillId="0" borderId="11" xfId="0" applyFont="1" applyFill="1" applyBorder="1" applyAlignment="1">
      <alignment horizontal="right" indent="2"/>
    </xf>
    <xf numFmtId="0" fontId="0" fillId="0" borderId="0" xfId="0" applyAlignment="1">
      <alignment vertical="top"/>
    </xf>
    <xf numFmtId="0" fontId="2" fillId="0" borderId="5" xfId="0" applyFont="1" applyBorder="1" applyAlignment="1"/>
    <xf numFmtId="0" fontId="0" fillId="0" borderId="12" xfId="0" applyBorder="1" applyAlignment="1">
      <alignment horizontal="right" indent="2"/>
    </xf>
    <xf numFmtId="164" fontId="0" fillId="0" borderId="10" xfId="0" applyNumberFormat="1" applyFill="1" applyBorder="1" applyAlignment="1">
      <alignment horizontal="right" indent="3"/>
    </xf>
    <xf numFmtId="164" fontId="33" fillId="0" borderId="12" xfId="0" applyNumberFormat="1" applyFont="1" applyFill="1" applyBorder="1" applyAlignment="1">
      <alignment horizontal="right" wrapText="1" indent="5"/>
    </xf>
    <xf numFmtId="164" fontId="33" fillId="0" borderId="6" xfId="0" applyNumberFormat="1" applyFont="1" applyFill="1" applyBorder="1" applyAlignment="1">
      <alignment horizontal="right" wrapText="1" indent="5"/>
    </xf>
    <xf numFmtId="164" fontId="0" fillId="0" borderId="4" xfId="0" applyNumberFormat="1" applyBorder="1" applyAlignment="1">
      <alignment horizontal="right" indent="2"/>
    </xf>
    <xf numFmtId="0" fontId="1" fillId="0" borderId="12" xfId="0" applyFont="1" applyBorder="1" applyAlignment="1">
      <alignment horizontal="right" indent="2"/>
    </xf>
    <xf numFmtId="164" fontId="0" fillId="0" borderId="6" xfId="0" applyNumberFormat="1" applyFill="1" applyBorder="1" applyAlignment="1">
      <alignment horizontal="right" indent="2"/>
    </xf>
    <xf numFmtId="164" fontId="1" fillId="0" borderId="11" xfId="0" applyNumberFormat="1" applyFont="1" applyBorder="1" applyAlignment="1">
      <alignment horizontal="right" indent="2"/>
    </xf>
    <xf numFmtId="0" fontId="1" fillId="0" borderId="11" xfId="0" applyFont="1" applyBorder="1" applyAlignment="1">
      <alignment horizontal="right" indent="2"/>
    </xf>
    <xf numFmtId="0" fontId="0" fillId="0" borderId="9" xfId="0" applyFill="1" applyBorder="1" applyAlignment="1">
      <alignment horizontal="right" indent="2"/>
    </xf>
    <xf numFmtId="0" fontId="0" fillId="0" borderId="0" xfId="0" applyAlignment="1">
      <alignment horizontal="right" indent="3"/>
    </xf>
    <xf numFmtId="0" fontId="0" fillId="0" borderId="0" xfId="0" applyAlignment="1">
      <alignment horizontal="right" indent="1"/>
    </xf>
    <xf numFmtId="164" fontId="0" fillId="0" borderId="0" xfId="0" applyNumberFormat="1" applyAlignment="1">
      <alignment horizontal="right" wrapText="1" indent="3"/>
    </xf>
    <xf numFmtId="164" fontId="0" fillId="0" borderId="0" xfId="0" applyNumberFormat="1" applyAlignment="1">
      <alignment horizontal="right" indent="3"/>
    </xf>
    <xf numFmtId="164" fontId="0" fillId="0" borderId="12" xfId="0" applyNumberFormat="1" applyBorder="1" applyAlignment="1">
      <alignment horizontal="right" vertical="center" wrapText="1" indent="3"/>
    </xf>
    <xf numFmtId="164" fontId="0" fillId="0" borderId="0" xfId="0" applyNumberFormat="1" applyAlignment="1">
      <alignment horizontal="right" vertical="center" wrapText="1" indent="3"/>
    </xf>
    <xf numFmtId="164" fontId="0" fillId="0" borderId="11" xfId="0" applyNumberFormat="1" applyBorder="1" applyAlignment="1">
      <alignment horizontal="right" vertical="center" wrapText="1" indent="3"/>
    </xf>
    <xf numFmtId="0" fontId="1" fillId="0" borderId="0" xfId="0" applyFont="1" applyAlignment="1">
      <alignment wrapText="1"/>
    </xf>
    <xf numFmtId="0" fontId="33" fillId="0" borderId="0" xfId="0" applyFont="1" applyFill="1" applyAlignment="1">
      <alignment horizontal="left" wrapText="1"/>
    </xf>
    <xf numFmtId="164" fontId="1" fillId="0" borderId="9" xfId="0" applyNumberFormat="1" applyFont="1" applyFill="1" applyBorder="1" applyAlignment="1">
      <alignment horizontal="right" wrapText="1" indent="1"/>
    </xf>
    <xf numFmtId="0" fontId="2" fillId="0" borderId="0" xfId="0" applyFont="1" applyAlignment="1">
      <alignment horizontal="center" vertical="center"/>
    </xf>
    <xf numFmtId="0" fontId="0" fillId="2" borderId="10" xfId="0" applyFont="1" applyFill="1" applyBorder="1" applyAlignment="1">
      <alignment horizontal="center" vertical="top" wrapText="1"/>
    </xf>
    <xf numFmtId="0" fontId="1" fillId="2" borderId="11" xfId="0" applyFont="1" applyFill="1" applyBorder="1" applyAlignment="1">
      <alignment horizontal="center" vertical="top" wrapText="1"/>
    </xf>
    <xf numFmtId="0" fontId="0" fillId="2" borderId="11" xfId="0" applyFont="1" applyFill="1" applyBorder="1" applyAlignment="1">
      <alignment horizontal="center" vertical="top" wrapText="1"/>
    </xf>
    <xf numFmtId="0" fontId="0" fillId="0" borderId="12" xfId="0" applyBorder="1" applyAlignment="1">
      <alignment vertical="center" wrapText="1"/>
    </xf>
    <xf numFmtId="0" fontId="0" fillId="2" borderId="14" xfId="0" applyFont="1" applyFill="1" applyBorder="1" applyAlignment="1">
      <alignment horizontal="center" vertical="top" wrapText="1"/>
    </xf>
    <xf numFmtId="0" fontId="1" fillId="2" borderId="9" xfId="0" applyFont="1" applyFill="1" applyBorder="1" applyAlignment="1">
      <alignment horizontal="center" vertical="top" wrapText="1"/>
    </xf>
    <xf numFmtId="164" fontId="1" fillId="0" borderId="12" xfId="0" applyNumberFormat="1" applyFont="1" applyBorder="1" applyAlignment="1">
      <alignment horizontal="right" vertical="center" wrapText="1" indent="6"/>
    </xf>
    <xf numFmtId="0" fontId="0" fillId="0" borderId="12" xfId="0" applyBorder="1" applyAlignment="1">
      <alignment wrapText="1"/>
    </xf>
    <xf numFmtId="0" fontId="0" fillId="0" borderId="12" xfId="0" applyBorder="1" applyAlignment="1">
      <alignment horizontal="left" wrapText="1"/>
    </xf>
    <xf numFmtId="0" fontId="0" fillId="0" borderId="5" xfId="0" applyBorder="1" applyAlignment="1">
      <alignment vertical="center" wrapText="1"/>
    </xf>
    <xf numFmtId="0" fontId="0" fillId="0" borderId="5" xfId="0" applyBorder="1" applyAlignment="1">
      <alignment horizontal="left" wrapText="1"/>
    </xf>
    <xf numFmtId="0" fontId="0" fillId="0" borderId="5" xfId="0" applyBorder="1"/>
    <xf numFmtId="0" fontId="1" fillId="0" borderId="5" xfId="0" applyFont="1" applyBorder="1" applyAlignment="1">
      <alignment horizontal="right" vertical="center" wrapText="1" indent="2"/>
    </xf>
    <xf numFmtId="164" fontId="1" fillId="0" borderId="5" xfId="0" applyNumberFormat="1" applyFont="1" applyBorder="1" applyAlignment="1">
      <alignment horizontal="right" vertical="center" wrapText="1" indent="2"/>
    </xf>
    <xf numFmtId="0" fontId="0" fillId="0" borderId="0" xfId="0" applyAlignment="1">
      <alignment horizontal="justify" vertical="center"/>
    </xf>
    <xf numFmtId="0" fontId="2" fillId="0" borderId="0" xfId="0" applyFont="1" applyAlignment="1">
      <alignment horizontal="justify" vertical="center"/>
    </xf>
    <xf numFmtId="0" fontId="46" fillId="0" borderId="0" xfId="0" applyFont="1" applyAlignment="1">
      <alignment horizontal="justify" vertical="center"/>
    </xf>
    <xf numFmtId="0" fontId="2" fillId="0" borderId="0" xfId="0" applyFont="1" applyAlignment="1">
      <alignment horizontal="justify"/>
    </xf>
    <xf numFmtId="0" fontId="0" fillId="0" borderId="0" xfId="0" applyAlignment="1">
      <alignment horizontal="justify"/>
    </xf>
    <xf numFmtId="0" fontId="1" fillId="0" borderId="0" xfId="0" applyFont="1" applyFill="1" applyAlignment="1">
      <alignment horizontal="justify"/>
    </xf>
    <xf numFmtId="0" fontId="47" fillId="0" borderId="0" xfId="0" applyFont="1" applyAlignment="1">
      <alignment horizontal="justify" vertical="center"/>
    </xf>
    <xf numFmtId="0" fontId="47" fillId="0" borderId="0" xfId="0" applyFont="1" applyAlignment="1">
      <alignment horizontal="left" vertical="center" indent="2"/>
    </xf>
    <xf numFmtId="164" fontId="49" fillId="0" borderId="10" xfId="0" applyNumberFormat="1" applyFont="1" applyBorder="1" applyAlignment="1">
      <alignment horizontal="center" wrapText="1"/>
    </xf>
    <xf numFmtId="164" fontId="0" fillId="0" borderId="0" xfId="0" applyNumberFormat="1" applyAlignment="1">
      <alignment horizontal="right" wrapText="1" indent="2"/>
    </xf>
    <xf numFmtId="164" fontId="49" fillId="0" borderId="12" xfId="0" applyNumberFormat="1" applyFont="1" applyBorder="1" applyAlignment="1">
      <alignment horizontal="center" wrapText="1"/>
    </xf>
    <xf numFmtId="2" fontId="0" fillId="0" borderId="12" xfId="0" applyNumberFormat="1" applyBorder="1" applyAlignment="1">
      <alignment horizontal="right" indent="3"/>
    </xf>
    <xf numFmtId="2" fontId="0" fillId="0" borderId="0" xfId="0" applyNumberFormat="1" applyAlignment="1">
      <alignment horizontal="right" vertical="center" wrapText="1" indent="3"/>
    </xf>
    <xf numFmtId="0" fontId="49" fillId="0" borderId="10" xfId="0" applyFont="1" applyBorder="1" applyAlignment="1">
      <alignment horizontal="center"/>
    </xf>
    <xf numFmtId="0" fontId="49" fillId="0" borderId="12" xfId="0" applyFont="1" applyBorder="1" applyAlignment="1">
      <alignment horizontal="center"/>
    </xf>
    <xf numFmtId="164" fontId="45" fillId="0" borderId="6" xfId="0" applyNumberFormat="1" applyFont="1" applyBorder="1" applyAlignment="1">
      <alignment horizontal="right" wrapText="1" indent="4"/>
    </xf>
    <xf numFmtId="164" fontId="1" fillId="0" borderId="12" xfId="0" applyNumberFormat="1" applyFont="1" applyFill="1" applyBorder="1" applyAlignment="1">
      <alignment horizontal="right" indent="2"/>
    </xf>
    <xf numFmtId="164" fontId="11" fillId="0" borderId="12" xfId="0" applyNumberFormat="1" applyFont="1" applyFill="1" applyBorder="1" applyAlignment="1">
      <alignment horizontal="right" indent="2"/>
    </xf>
    <xf numFmtId="164" fontId="1" fillId="0" borderId="6" xfId="0" applyNumberFormat="1" applyFont="1" applyFill="1" applyBorder="1" applyAlignment="1">
      <alignment horizontal="right" indent="2"/>
    </xf>
    <xf numFmtId="164" fontId="1" fillId="0" borderId="11" xfId="0" applyNumberFormat="1" applyFont="1" applyFill="1" applyBorder="1" applyAlignment="1">
      <alignment horizontal="right" indent="2"/>
    </xf>
    <xf numFmtId="164" fontId="0" fillId="0" borderId="12" xfId="0" applyNumberFormat="1" applyFont="1" applyFill="1" applyBorder="1" applyAlignment="1">
      <alignment horizontal="right" indent="2"/>
    </xf>
    <xf numFmtId="0" fontId="0" fillId="0" borderId="0" xfId="0" applyAlignment="1">
      <alignment horizontal="center" vertical="center" wrapText="1"/>
    </xf>
    <xf numFmtId="0" fontId="9" fillId="0" borderId="0" xfId="0" applyFont="1" applyAlignment="1">
      <alignment horizontal="center" vertical="center" wrapText="1"/>
    </xf>
    <xf numFmtId="164" fontId="33" fillId="0" borderId="12" xfId="0" applyNumberFormat="1" applyFont="1" applyFill="1" applyBorder="1" applyAlignment="1">
      <alignment horizontal="right" wrapText="1" indent="2"/>
    </xf>
    <xf numFmtId="164" fontId="33" fillId="0" borderId="0" xfId="0" applyNumberFormat="1" applyFont="1" applyFill="1" applyBorder="1" applyAlignment="1">
      <alignment horizontal="right" wrapText="1" indent="2"/>
    </xf>
    <xf numFmtId="164" fontId="33" fillId="0" borderId="11" xfId="0" applyNumberFormat="1" applyFont="1" applyFill="1" applyBorder="1" applyAlignment="1">
      <alignment horizontal="right" wrapText="1" indent="2"/>
    </xf>
    <xf numFmtId="164" fontId="33" fillId="0" borderId="8" xfId="0" applyNumberFormat="1" applyFont="1" applyFill="1" applyBorder="1" applyAlignment="1">
      <alignment horizontal="right" wrapText="1" indent="2"/>
    </xf>
    <xf numFmtId="0" fontId="35" fillId="0" borderId="0" xfId="1" applyFont="1" applyFill="1" applyAlignment="1">
      <alignment wrapText="1"/>
    </xf>
    <xf numFmtId="0" fontId="33" fillId="0" borderId="0" xfId="1" applyFont="1" applyFill="1" applyAlignment="1">
      <alignment horizontal="left" vertical="top" wrapText="1"/>
    </xf>
    <xf numFmtId="0" fontId="33" fillId="0" borderId="0" xfId="1" applyFont="1" applyFill="1" applyAlignment="1">
      <alignment horizontal="left" wrapText="1"/>
    </xf>
    <xf numFmtId="0" fontId="33" fillId="0" borderId="0" xfId="1" applyFont="1" applyFill="1" applyAlignment="1">
      <alignment wrapText="1"/>
    </xf>
    <xf numFmtId="0" fontId="33" fillId="0" borderId="0" xfId="0" applyFont="1" applyFill="1" applyAlignment="1">
      <alignment horizontal="left" vertical="top" wrapText="1"/>
    </xf>
    <xf numFmtId="0" fontId="33" fillId="0" borderId="0" xfId="0" applyFont="1" applyFill="1" applyAlignment="1">
      <alignment vertical="top" wrapText="1"/>
    </xf>
    <xf numFmtId="0" fontId="33" fillId="0" borderId="0" xfId="1" applyFont="1" applyFill="1" applyAlignment="1">
      <alignment vertical="top" wrapText="1"/>
    </xf>
    <xf numFmtId="0" fontId="35" fillId="0" borderId="0" xfId="1" applyFont="1" applyFill="1" applyAlignment="1">
      <alignment vertical="top" wrapText="1"/>
    </xf>
    <xf numFmtId="0" fontId="35" fillId="0" borderId="0" xfId="0" applyFont="1" applyFill="1" applyAlignment="1">
      <alignment wrapText="1"/>
    </xf>
    <xf numFmtId="0" fontId="35" fillId="0" borderId="0" xfId="0" applyFont="1" applyFill="1" applyAlignment="1">
      <alignment horizontal="left" wrapText="1"/>
    </xf>
    <xf numFmtId="0" fontId="0" fillId="2" borderId="10" xfId="0" applyFont="1" applyFill="1" applyBorder="1" applyAlignment="1">
      <alignment horizontal="center" vertical="top" wrapText="1"/>
    </xf>
    <xf numFmtId="0" fontId="1" fillId="2" borderId="11" xfId="0" applyFont="1" applyFill="1" applyBorder="1" applyAlignment="1">
      <alignment horizontal="center" vertical="top" wrapText="1"/>
    </xf>
    <xf numFmtId="0" fontId="0" fillId="2" borderId="11" xfId="0" applyFont="1" applyFill="1" applyBorder="1" applyAlignment="1">
      <alignment horizontal="center" vertical="top" wrapText="1"/>
    </xf>
    <xf numFmtId="0" fontId="7" fillId="0" borderId="0" xfId="0" applyFont="1" applyAlignment="1">
      <alignment horizontal="center"/>
    </xf>
    <xf numFmtId="0" fontId="7" fillId="0" borderId="0" xfId="0" applyFont="1" applyBorder="1" applyAlignment="1">
      <alignment horizontal="center" vertical="center"/>
    </xf>
    <xf numFmtId="0" fontId="1" fillId="2" borderId="13" xfId="0" applyFont="1" applyFill="1" applyBorder="1" applyAlignment="1">
      <alignment horizontal="center" vertical="top" wrapText="1"/>
    </xf>
    <xf numFmtId="0" fontId="7" fillId="0" borderId="0" xfId="0" applyFont="1" applyFill="1" applyBorder="1" applyAlignment="1">
      <alignment horizontal="center" vertical="center" wrapText="1"/>
    </xf>
    <xf numFmtId="0" fontId="0" fillId="2" borderId="13" xfId="0" applyFont="1" applyFill="1" applyBorder="1" applyAlignment="1">
      <alignment horizontal="center" vertical="top" wrapText="1"/>
    </xf>
    <xf numFmtId="0" fontId="1" fillId="2" borderId="12" xfId="0" applyFont="1" applyFill="1" applyBorder="1" applyAlignment="1">
      <alignment horizontal="center" vertical="top" wrapText="1"/>
    </xf>
    <xf numFmtId="0" fontId="0" fillId="0" borderId="12" xfId="0" applyBorder="1" applyAlignment="1">
      <alignment vertical="center" wrapText="1"/>
    </xf>
    <xf numFmtId="0" fontId="0" fillId="0" borderId="0" xfId="0" applyFont="1" applyBorder="1" applyAlignment="1">
      <alignment horizontal="right" vertical="center"/>
    </xf>
    <xf numFmtId="0" fontId="39" fillId="0" borderId="0" xfId="0" applyFont="1" applyBorder="1" applyAlignment="1">
      <alignment horizontal="center" vertical="center" wrapText="1"/>
    </xf>
    <xf numFmtId="0" fontId="7" fillId="0" borderId="0" xfId="0" applyFont="1" applyFill="1" applyAlignment="1">
      <alignment horizontal="center" wrapText="1"/>
    </xf>
    <xf numFmtId="0" fontId="0" fillId="2" borderId="14" xfId="0" applyFont="1" applyFill="1" applyBorder="1" applyAlignment="1">
      <alignment horizontal="center" vertical="top" wrapText="1"/>
    </xf>
    <xf numFmtId="0" fontId="0" fillId="2" borderId="4" xfId="0" applyFont="1" applyFill="1" applyBorder="1" applyAlignment="1">
      <alignment horizontal="center" vertical="top" wrapText="1"/>
    </xf>
    <xf numFmtId="0" fontId="1" fillId="2" borderId="9" xfId="0" applyFont="1" applyFill="1" applyBorder="1" applyAlignment="1">
      <alignment horizontal="center" vertical="top" wrapText="1"/>
    </xf>
    <xf numFmtId="0" fontId="0" fillId="0" borderId="0" xfId="0" applyFill="1" applyAlignment="1">
      <alignment horizontal="center"/>
    </xf>
    <xf numFmtId="0" fontId="0" fillId="2" borderId="9" xfId="0" applyFont="1" applyFill="1" applyBorder="1" applyAlignment="1">
      <alignment horizontal="center" vertical="top" wrapText="1"/>
    </xf>
    <xf numFmtId="0" fontId="0" fillId="2" borderId="12" xfId="0" applyFont="1" applyFill="1" applyBorder="1" applyAlignment="1">
      <alignment horizontal="center" vertical="top" wrapText="1"/>
    </xf>
    <xf numFmtId="0" fontId="0" fillId="2" borderId="1" xfId="0" applyFont="1" applyFill="1" applyBorder="1" applyAlignment="1">
      <alignment horizontal="center" vertical="top" wrapText="1"/>
    </xf>
    <xf numFmtId="0" fontId="1" fillId="0" borderId="0" xfId="0" applyFont="1" applyFill="1"/>
    <xf numFmtId="0" fontId="43" fillId="0" borderId="0" xfId="0" applyFont="1" applyBorder="1"/>
    <xf numFmtId="0" fontId="1" fillId="2" borderId="11" xfId="0" applyFont="1" applyFill="1" applyBorder="1" applyAlignment="1">
      <alignment horizontal="center" vertical="top" wrapText="1"/>
    </xf>
    <xf numFmtId="0" fontId="0" fillId="2" borderId="9" xfId="0" applyFont="1" applyFill="1" applyBorder="1" applyAlignment="1">
      <alignment horizontal="center" vertical="top" wrapText="1"/>
    </xf>
    <xf numFmtId="0" fontId="33" fillId="0" borderId="0" xfId="0" applyFont="1" applyAlignment="1">
      <alignment horizontal="justify" vertical="center"/>
    </xf>
    <xf numFmtId="0" fontId="35" fillId="0" borderId="10" xfId="0" applyFont="1" applyBorder="1" applyAlignment="1">
      <alignment horizontal="right" indent="3"/>
    </xf>
    <xf numFmtId="0" fontId="35" fillId="0" borderId="12" xfId="0" applyFont="1" applyBorder="1" applyAlignment="1">
      <alignment horizontal="right" indent="3"/>
    </xf>
    <xf numFmtId="164" fontId="33" fillId="0" borderId="6" xfId="0" applyNumberFormat="1" applyFont="1" applyBorder="1" applyAlignment="1">
      <alignment horizontal="right" vertical="center" indent="2"/>
    </xf>
    <xf numFmtId="164" fontId="12" fillId="0" borderId="6" xfId="0" applyNumberFormat="1" applyFont="1" applyFill="1" applyBorder="1" applyAlignment="1">
      <alignment horizontal="right" wrapText="1" indent="1"/>
    </xf>
    <xf numFmtId="164" fontId="0" fillId="0" borderId="0" xfId="0" applyNumberFormat="1" applyFont="1" applyFill="1" applyBorder="1" applyAlignment="1">
      <alignment horizontal="left" indent="1"/>
    </xf>
    <xf numFmtId="0" fontId="35" fillId="0" borderId="10" xfId="0" applyFont="1" applyBorder="1" applyAlignment="1">
      <alignment horizontal="center"/>
    </xf>
    <xf numFmtId="164" fontId="33" fillId="0" borderId="12" xfId="0" applyNumberFormat="1" applyFont="1" applyBorder="1" applyAlignment="1">
      <alignment horizontal="right" vertical="center" indent="2"/>
    </xf>
    <xf numFmtId="164" fontId="33" fillId="0" borderId="12" xfId="0" applyNumberFormat="1" applyFont="1" applyBorder="1" applyAlignment="1">
      <alignment horizontal="right" wrapText="1" indent="2"/>
    </xf>
    <xf numFmtId="164" fontId="33" fillId="0" borderId="6" xfId="0" applyNumberFormat="1" applyFont="1" applyBorder="1" applyAlignment="1">
      <alignment horizontal="right" wrapText="1" indent="2"/>
    </xf>
    <xf numFmtId="0" fontId="33" fillId="0" borderId="6" xfId="0" applyFont="1" applyBorder="1" applyAlignment="1">
      <alignment horizontal="right" wrapText="1" indent="2"/>
    </xf>
    <xf numFmtId="164" fontId="33" fillId="0" borderId="12" xfId="0" applyNumberFormat="1" applyFont="1" applyBorder="1" applyAlignment="1">
      <alignment horizontal="right" indent="2"/>
    </xf>
    <xf numFmtId="164" fontId="33" fillId="0" borderId="6" xfId="0" applyNumberFormat="1" applyFont="1" applyBorder="1" applyAlignment="1">
      <alignment horizontal="right" indent="2"/>
    </xf>
    <xf numFmtId="0" fontId="35" fillId="0" borderId="12" xfId="0" applyFont="1" applyBorder="1" applyAlignment="1">
      <alignment horizontal="center"/>
    </xf>
    <xf numFmtId="164" fontId="33" fillId="0" borderId="12" xfId="0" applyNumberFormat="1" applyFont="1" applyBorder="1" applyAlignment="1">
      <alignment horizontal="right" vertical="center" wrapText="1" indent="2"/>
    </xf>
    <xf numFmtId="164" fontId="33" fillId="0" borderId="6" xfId="0" applyNumberFormat="1" applyFont="1" applyBorder="1" applyAlignment="1">
      <alignment horizontal="right" vertical="center" wrapText="1" indent="2"/>
    </xf>
    <xf numFmtId="164" fontId="33" fillId="0" borderId="9" xfId="0" applyNumberFormat="1" applyFont="1" applyBorder="1" applyAlignment="1">
      <alignment horizontal="right" wrapText="1" indent="2"/>
    </xf>
    <xf numFmtId="0" fontId="13" fillId="0" borderId="0" xfId="0" applyFont="1"/>
    <xf numFmtId="0" fontId="50" fillId="0" borderId="0" xfId="0" applyFont="1" applyFill="1"/>
    <xf numFmtId="164" fontId="0" fillId="0" borderId="9" xfId="0" applyNumberFormat="1" applyBorder="1" applyAlignment="1">
      <alignment horizontal="right" wrapText="1" indent="3"/>
    </xf>
    <xf numFmtId="0" fontId="0" fillId="0" borderId="10" xfId="0" applyBorder="1" applyAlignment="1">
      <alignment horizontal="center" vertical="top" wrapText="1"/>
    </xf>
    <xf numFmtId="2" fontId="0" fillId="0" borderId="11" xfId="0" applyNumberFormat="1" applyBorder="1" applyAlignment="1">
      <alignment horizontal="right" wrapText="1" indent="3"/>
    </xf>
    <xf numFmtId="164" fontId="0" fillId="0" borderId="0" xfId="0" applyNumberFormat="1" applyAlignment="1">
      <alignment horizontal="right" vertical="center" wrapText="1" indent="2"/>
    </xf>
    <xf numFmtId="164" fontId="0" fillId="0" borderId="0" xfId="0" applyNumberFormat="1" applyAlignment="1">
      <alignment horizontal="right" indent="4"/>
    </xf>
    <xf numFmtId="0" fontId="0" fillId="0" borderId="5" xfId="0" applyFont="1" applyBorder="1" applyAlignment="1">
      <alignment horizontal="left" vertical="center" wrapText="1" indent="1"/>
    </xf>
    <xf numFmtId="0" fontId="1" fillId="0" borderId="7" xfId="0" applyFont="1" applyBorder="1" applyAlignment="1">
      <alignment horizontal="left" vertical="center" wrapText="1" indent="1"/>
    </xf>
    <xf numFmtId="0" fontId="0" fillId="0" borderId="10" xfId="0" applyFont="1" applyBorder="1" applyAlignment="1">
      <alignment horizontal="right" indent="3"/>
    </xf>
    <xf numFmtId="164" fontId="0" fillId="0" borderId="12" xfId="0" applyNumberFormat="1" applyFont="1" applyFill="1" applyBorder="1" applyAlignment="1">
      <alignment horizontal="right" indent="4"/>
    </xf>
    <xf numFmtId="164" fontId="12" fillId="0" borderId="12" xfId="0" applyNumberFormat="1" applyFont="1" applyFill="1" applyBorder="1" applyAlignment="1">
      <alignment horizontal="right" indent="4"/>
    </xf>
    <xf numFmtId="164" fontId="0" fillId="0" borderId="12" xfId="0" applyNumberFormat="1" applyFont="1" applyFill="1" applyBorder="1" applyAlignment="1">
      <alignment horizontal="right" wrapText="1" indent="3"/>
    </xf>
    <xf numFmtId="164" fontId="0" fillId="0" borderId="12" xfId="0" quotePrefix="1" applyNumberFormat="1" applyFont="1" applyFill="1" applyBorder="1" applyAlignment="1">
      <alignment horizontal="right" wrapText="1" indent="3"/>
    </xf>
    <xf numFmtId="164" fontId="12" fillId="0" borderId="12" xfId="0" quotePrefix="1" applyNumberFormat="1" applyFont="1" applyFill="1" applyBorder="1" applyAlignment="1">
      <alignment horizontal="right" wrapText="1" indent="3"/>
    </xf>
    <xf numFmtId="0" fontId="0" fillId="0" borderId="12" xfId="0" applyFont="1" applyFill="1" applyBorder="1" applyAlignment="1">
      <alignment horizontal="right" indent="3"/>
    </xf>
    <xf numFmtId="0" fontId="0" fillId="0" borderId="11" xfId="0" applyFont="1" applyFill="1" applyBorder="1" applyAlignment="1">
      <alignment horizontal="right" indent="3"/>
    </xf>
    <xf numFmtId="0" fontId="33" fillId="0" borderId="0" xfId="0" applyFont="1" applyAlignment="1">
      <alignment horizontal="center"/>
    </xf>
    <xf numFmtId="0" fontId="0" fillId="2" borderId="11" xfId="0" applyFont="1" applyFill="1" applyBorder="1" applyAlignment="1">
      <alignment horizontal="center" vertical="top" wrapText="1"/>
    </xf>
    <xf numFmtId="0" fontId="0" fillId="2" borderId="9" xfId="0" applyFont="1" applyFill="1" applyBorder="1" applyAlignment="1">
      <alignment horizontal="center" vertical="top" wrapText="1"/>
    </xf>
    <xf numFmtId="0" fontId="1" fillId="0" borderId="12" xfId="0" applyFont="1" applyBorder="1" applyAlignment="1">
      <alignment horizontal="right" vertical="center" wrapText="1" indent="6"/>
    </xf>
    <xf numFmtId="164" fontId="1" fillId="0" borderId="12" xfId="0" applyNumberFormat="1" applyFont="1" applyFill="1" applyBorder="1" applyAlignment="1">
      <alignment horizontal="right" indent="4"/>
    </xf>
    <xf numFmtId="164" fontId="0" fillId="0" borderId="12" xfId="0" applyNumberFormat="1" applyFill="1" applyBorder="1" applyAlignment="1">
      <alignment horizontal="right" indent="4"/>
    </xf>
    <xf numFmtId="164" fontId="0" fillId="0" borderId="11" xfId="0" applyNumberFormat="1" applyFill="1" applyBorder="1" applyAlignment="1">
      <alignment horizontal="right" indent="4"/>
    </xf>
    <xf numFmtId="164" fontId="0" fillId="0" borderId="12" xfId="0" applyNumberFormat="1" applyFill="1" applyBorder="1" applyAlignment="1">
      <alignment horizontal="right" indent="2"/>
    </xf>
    <xf numFmtId="0" fontId="25" fillId="0" borderId="0" xfId="0" applyFont="1"/>
    <xf numFmtId="164" fontId="1" fillId="0" borderId="11" xfId="0" applyNumberFormat="1" applyFont="1" applyBorder="1" applyAlignment="1">
      <alignment horizontal="right" indent="1"/>
    </xf>
    <xf numFmtId="164" fontId="0" fillId="0" borderId="11" xfId="0" applyNumberFormat="1" applyBorder="1" applyAlignment="1">
      <alignment horizontal="right" indent="1"/>
    </xf>
    <xf numFmtId="0" fontId="1" fillId="0" borderId="11" xfId="0" applyFont="1" applyBorder="1" applyAlignment="1">
      <alignment horizontal="right" vertical="center" wrapText="1" indent="6"/>
    </xf>
    <xf numFmtId="0" fontId="1" fillId="0" borderId="11" xfId="0" applyNumberFormat="1" applyFont="1" applyBorder="1" applyAlignment="1">
      <alignment horizontal="right" vertical="center" wrapText="1" indent="6"/>
    </xf>
    <xf numFmtId="0" fontId="18" fillId="0" borderId="0" xfId="0" applyFont="1"/>
    <xf numFmtId="0" fontId="33" fillId="0" borderId="11" xfId="0" applyFont="1" applyFill="1" applyBorder="1" applyAlignment="1">
      <alignment wrapText="1"/>
    </xf>
    <xf numFmtId="0" fontId="1" fillId="0" borderId="0" xfId="0" applyFont="1" applyFill="1" applyBorder="1" applyAlignment="1">
      <alignment horizontal="center" vertical="center"/>
    </xf>
    <xf numFmtId="0" fontId="33" fillId="0" borderId="12" xfId="0" applyFont="1" applyFill="1" applyBorder="1" applyAlignment="1">
      <alignment horizontal="left" wrapText="1" indent="1"/>
    </xf>
    <xf numFmtId="0" fontId="35" fillId="0" borderId="12" xfId="0" applyFont="1" applyFill="1" applyBorder="1" applyAlignment="1">
      <alignment wrapText="1"/>
    </xf>
    <xf numFmtId="164" fontId="1" fillId="0" borderId="12" xfId="0" applyNumberFormat="1" applyFont="1" applyFill="1" applyBorder="1" applyAlignment="1">
      <alignment horizontal="right" wrapText="1" indent="6"/>
    </xf>
    <xf numFmtId="0" fontId="33" fillId="0" borderId="12" xfId="0" applyFont="1" applyFill="1" applyBorder="1" applyAlignment="1">
      <alignment horizontal="left" wrapText="1" indent="3"/>
    </xf>
    <xf numFmtId="0" fontId="33" fillId="0" borderId="12" xfId="0" applyFont="1" applyFill="1" applyBorder="1" applyAlignment="1">
      <alignment horizontal="left" wrapText="1" indent="2"/>
    </xf>
    <xf numFmtId="0" fontId="1" fillId="0" borderId="11" xfId="0" applyFont="1" applyBorder="1" applyAlignment="1">
      <alignment horizontal="left" wrapText="1" indent="2"/>
    </xf>
    <xf numFmtId="0" fontId="25" fillId="0" borderId="12" xfId="0" applyFont="1" applyFill="1" applyBorder="1" applyAlignment="1">
      <alignment horizontal="right" vertical="center" wrapText="1"/>
    </xf>
    <xf numFmtId="0" fontId="18" fillId="0" borderId="0" xfId="0" applyFont="1" applyFill="1"/>
    <xf numFmtId="164" fontId="18" fillId="0" borderId="0" xfId="0" applyNumberFormat="1" applyFont="1" applyFill="1"/>
    <xf numFmtId="164" fontId="9" fillId="0" borderId="0" xfId="0" applyNumberFormat="1" applyFont="1" applyFill="1"/>
    <xf numFmtId="0" fontId="9" fillId="0" borderId="0" xfId="0" applyFont="1" applyFill="1"/>
    <xf numFmtId="164" fontId="25" fillId="0" borderId="12" xfId="0" applyNumberFormat="1" applyFont="1" applyFill="1" applyBorder="1" applyAlignment="1">
      <alignment horizontal="right" wrapText="1" indent="6"/>
    </xf>
    <xf numFmtId="164" fontId="1" fillId="0" borderId="11" xfId="0" applyNumberFormat="1" applyFont="1" applyFill="1" applyBorder="1" applyAlignment="1">
      <alignment horizontal="right" wrapText="1" indent="6"/>
    </xf>
    <xf numFmtId="0" fontId="0" fillId="2" borderId="1" xfId="0" applyFont="1" applyFill="1" applyBorder="1" applyAlignment="1">
      <alignment horizontal="center" vertical="top" wrapText="1"/>
    </xf>
    <xf numFmtId="0" fontId="0" fillId="0" borderId="12" xfId="0" applyBorder="1" applyAlignment="1">
      <alignment vertical="center" wrapText="1"/>
    </xf>
    <xf numFmtId="0" fontId="0" fillId="0" borderId="12" xfId="0" applyBorder="1" applyAlignment="1">
      <alignment horizontal="center" vertical="top" wrapText="1"/>
    </xf>
    <xf numFmtId="0" fontId="0" fillId="0" borderId="6" xfId="0" applyBorder="1" applyAlignment="1">
      <alignment horizontal="center" vertical="top" wrapText="1"/>
    </xf>
    <xf numFmtId="164" fontId="0" fillId="0" borderId="12" xfId="0" applyNumberFormat="1" applyBorder="1" applyAlignment="1">
      <alignment horizontal="right" indent="1"/>
    </xf>
    <xf numFmtId="0" fontId="0" fillId="0" borderId="0" xfId="0" applyNumberFormat="1" applyFont="1" applyBorder="1" applyAlignment="1">
      <alignment horizontal="right" indent="5"/>
    </xf>
    <xf numFmtId="164" fontId="0" fillId="0" borderId="12" xfId="0" applyNumberFormat="1" applyFont="1" applyFill="1" applyBorder="1" applyAlignment="1">
      <alignment horizontal="right" indent="5"/>
    </xf>
    <xf numFmtId="164" fontId="0" fillId="0" borderId="10" xfId="0" applyNumberFormat="1" applyBorder="1" applyAlignment="1">
      <alignment horizontal="right" indent="2"/>
    </xf>
    <xf numFmtId="164" fontId="2" fillId="0" borderId="10" xfId="0" applyNumberFormat="1" applyFont="1" applyBorder="1" applyAlignment="1">
      <alignment horizontal="center" wrapText="1"/>
    </xf>
    <xf numFmtId="164" fontId="2" fillId="0" borderId="12" xfId="0" applyNumberFormat="1" applyFont="1" applyBorder="1" applyAlignment="1">
      <alignment horizontal="center" wrapText="1"/>
    </xf>
    <xf numFmtId="0" fontId="0" fillId="0" borderId="10" xfId="0" applyBorder="1" applyAlignment="1">
      <alignment horizontal="right" wrapText="1" indent="3"/>
    </xf>
    <xf numFmtId="0" fontId="0" fillId="0" borderId="12" xfId="0" applyBorder="1" applyAlignment="1">
      <alignment horizontal="right" wrapText="1" indent="3"/>
    </xf>
    <xf numFmtId="0" fontId="0" fillId="0" borderId="11" xfId="0" applyBorder="1" applyAlignment="1">
      <alignment horizontal="right" wrapText="1" indent="3"/>
    </xf>
    <xf numFmtId="0" fontId="0" fillId="0" borderId="10" xfId="0" applyBorder="1" applyAlignment="1">
      <alignment horizontal="right" indent="3"/>
    </xf>
    <xf numFmtId="164" fontId="0" fillId="0" borderId="10" xfId="0" applyNumberFormat="1" applyBorder="1" applyAlignment="1">
      <alignment horizontal="right" indent="3"/>
    </xf>
    <xf numFmtId="0" fontId="0" fillId="0" borderId="12" xfId="0" applyBorder="1"/>
    <xf numFmtId="0" fontId="0" fillId="0" borderId="5" xfId="0" applyBorder="1" applyAlignment="1">
      <alignment wrapText="1"/>
    </xf>
    <xf numFmtId="0" fontId="0" fillId="0" borderId="10" xfId="0" applyFont="1" applyBorder="1" applyAlignment="1">
      <alignment horizontal="right" indent="2"/>
    </xf>
    <xf numFmtId="164" fontId="0" fillId="0" borderId="12" xfId="0" applyNumberFormat="1" applyFont="1" applyBorder="1" applyAlignment="1">
      <alignment horizontal="right" wrapText="1" indent="2"/>
    </xf>
    <xf numFmtId="164" fontId="12" fillId="0" borderId="12" xfId="0" applyNumberFormat="1" applyFont="1" applyBorder="1" applyAlignment="1">
      <alignment horizontal="right" wrapText="1" indent="2"/>
    </xf>
    <xf numFmtId="164" fontId="12" fillId="0" borderId="6" xfId="0" applyNumberFormat="1" applyFont="1" applyBorder="1" applyAlignment="1">
      <alignment horizontal="right" wrapText="1" indent="2"/>
    </xf>
    <xf numFmtId="164" fontId="12" fillId="0" borderId="6" xfId="0" quotePrefix="1" applyNumberFormat="1" applyFont="1" applyBorder="1" applyAlignment="1">
      <alignment horizontal="right" wrapText="1" indent="2"/>
    </xf>
    <xf numFmtId="164" fontId="12" fillId="0" borderId="12" xfId="0" quotePrefix="1" applyNumberFormat="1" applyFont="1" applyBorder="1" applyAlignment="1">
      <alignment horizontal="right" wrapText="1" indent="2"/>
    </xf>
    <xf numFmtId="164" fontId="0" fillId="0" borderId="11" xfId="0" quotePrefix="1" applyNumberFormat="1" applyFont="1" applyBorder="1" applyAlignment="1">
      <alignment horizontal="right" wrapText="1" indent="2"/>
    </xf>
    <xf numFmtId="164" fontId="12" fillId="0" borderId="11" xfId="0" quotePrefix="1" applyNumberFormat="1" applyFont="1" applyBorder="1" applyAlignment="1">
      <alignment horizontal="right" wrapText="1" indent="2"/>
    </xf>
    <xf numFmtId="164" fontId="12" fillId="0" borderId="9" xfId="0" quotePrefix="1" applyNumberFormat="1" applyFont="1" applyBorder="1" applyAlignment="1">
      <alignment horizontal="right" wrapText="1" indent="2"/>
    </xf>
    <xf numFmtId="1" fontId="0" fillId="0" borderId="3" xfId="0" applyNumberFormat="1" applyFill="1" applyBorder="1" applyAlignment="1">
      <alignment horizontal="right" indent="1"/>
    </xf>
    <xf numFmtId="164" fontId="0" fillId="0" borderId="10" xfId="0" applyNumberFormat="1" applyBorder="1" applyAlignment="1">
      <alignment horizontal="right" indent="1"/>
    </xf>
    <xf numFmtId="1" fontId="0" fillId="0" borderId="0" xfId="0" applyNumberFormat="1" applyFill="1" applyBorder="1" applyAlignment="1">
      <alignment horizontal="right" indent="1"/>
    </xf>
    <xf numFmtId="164" fontId="0" fillId="0" borderId="0" xfId="0" applyNumberFormat="1" applyBorder="1" applyAlignment="1">
      <alignment horizontal="right" indent="1"/>
    </xf>
    <xf numFmtId="164" fontId="33" fillId="0" borderId="12" xfId="0" applyNumberFormat="1" applyFont="1" applyFill="1" applyBorder="1" applyAlignment="1">
      <alignment horizontal="right" indent="1"/>
    </xf>
    <xf numFmtId="164" fontId="33" fillId="0" borderId="0" xfId="0" applyNumberFormat="1" applyFont="1" applyFill="1" applyBorder="1" applyAlignment="1">
      <alignment horizontal="right" indent="1"/>
    </xf>
    <xf numFmtId="1" fontId="0" fillId="0" borderId="8" xfId="0" applyNumberFormat="1" applyFill="1" applyBorder="1" applyAlignment="1">
      <alignment horizontal="right" indent="1"/>
    </xf>
    <xf numFmtId="164" fontId="0" fillId="0" borderId="2" xfId="0" applyNumberFormat="1" applyBorder="1" applyAlignment="1">
      <alignment horizontal="right" indent="1"/>
    </xf>
    <xf numFmtId="164" fontId="0" fillId="0" borderId="5" xfId="0" applyNumberFormat="1" applyBorder="1" applyAlignment="1">
      <alignment horizontal="right" indent="1"/>
    </xf>
    <xf numFmtId="164" fontId="33" fillId="0" borderId="5" xfId="0" applyNumberFormat="1" applyFont="1" applyFill="1" applyBorder="1" applyAlignment="1">
      <alignment horizontal="right" indent="1"/>
    </xf>
    <xf numFmtId="164" fontId="0" fillId="0" borderId="7" xfId="0" applyNumberFormat="1" applyBorder="1" applyAlignment="1">
      <alignment horizontal="right" indent="1"/>
    </xf>
    <xf numFmtId="164" fontId="1" fillId="0" borderId="2" xfId="0" applyNumberFormat="1" applyFont="1" applyBorder="1" applyAlignment="1">
      <alignment horizontal="right" vertical="top" indent="3"/>
    </xf>
    <xf numFmtId="164" fontId="0" fillId="0" borderId="10" xfId="0" applyNumberFormat="1" applyFont="1" applyBorder="1" applyAlignment="1">
      <alignment horizontal="right" vertical="top" indent="3"/>
    </xf>
    <xf numFmtId="164" fontId="1" fillId="0" borderId="4" xfId="0" applyNumberFormat="1" applyFont="1" applyBorder="1" applyAlignment="1">
      <alignment horizontal="right" vertical="top" indent="3"/>
    </xf>
    <xf numFmtId="164" fontId="1" fillId="0" borderId="5" xfId="0" applyNumberFormat="1" applyFont="1" applyBorder="1" applyAlignment="1">
      <alignment horizontal="right" vertical="top" indent="3"/>
    </xf>
    <xf numFmtId="164" fontId="1" fillId="0" borderId="12" xfId="0" applyNumberFormat="1" applyFont="1" applyBorder="1" applyAlignment="1">
      <alignment horizontal="right" vertical="top" indent="3"/>
    </xf>
    <xf numFmtId="164" fontId="1" fillId="0" borderId="6" xfId="0" applyNumberFormat="1" applyFont="1" applyBorder="1" applyAlignment="1">
      <alignment horizontal="right" vertical="top" indent="3"/>
    </xf>
    <xf numFmtId="164" fontId="1" fillId="0" borderId="5" xfId="0" applyNumberFormat="1" applyFont="1" applyBorder="1" applyAlignment="1">
      <alignment horizontal="right" indent="3"/>
    </xf>
    <xf numFmtId="164" fontId="1" fillId="0" borderId="12" xfId="0" applyNumberFormat="1" applyFont="1" applyBorder="1" applyAlignment="1">
      <alignment horizontal="right" indent="3"/>
    </xf>
    <xf numFmtId="164" fontId="1" fillId="0" borderId="7" xfId="0" applyNumberFormat="1" applyFont="1" applyBorder="1" applyAlignment="1">
      <alignment horizontal="right" indent="3"/>
    </xf>
    <xf numFmtId="164" fontId="1" fillId="0" borderId="11" xfId="0" applyNumberFormat="1" applyFont="1" applyBorder="1" applyAlignment="1">
      <alignment horizontal="right" indent="3"/>
    </xf>
    <xf numFmtId="164" fontId="0" fillId="0" borderId="9" xfId="0" applyNumberFormat="1" applyBorder="1" applyAlignment="1">
      <alignment horizontal="right" indent="3"/>
    </xf>
    <xf numFmtId="0" fontId="0" fillId="2" borderId="12" xfId="0" applyFont="1" applyFill="1" applyBorder="1" applyAlignment="1">
      <alignment horizontal="center" vertical="top" wrapText="1"/>
    </xf>
    <xf numFmtId="0" fontId="1" fillId="0" borderId="6" xfId="0" applyNumberFormat="1" applyFont="1" applyFill="1" applyBorder="1" applyAlignment="1">
      <alignment horizontal="right" wrapText="1" indent="1"/>
    </xf>
    <xf numFmtId="0" fontId="1" fillId="0" borderId="12" xfId="0" applyNumberFormat="1" applyFont="1" applyFill="1" applyBorder="1" applyAlignment="1">
      <alignment horizontal="right" wrapText="1" indent="1"/>
    </xf>
    <xf numFmtId="0" fontId="1" fillId="0" borderId="6" xfId="0" quotePrefix="1" applyFont="1" applyFill="1" applyBorder="1" applyAlignment="1">
      <alignment horizontal="right" wrapText="1" indent="1"/>
    </xf>
    <xf numFmtId="164" fontId="1" fillId="0" borderId="6" xfId="0" applyNumberFormat="1" applyFont="1" applyFill="1" applyBorder="1" applyAlignment="1">
      <alignment horizontal="right" indent="1"/>
    </xf>
    <xf numFmtId="0" fontId="0" fillId="0" borderId="10" xfId="0" applyFill="1" applyBorder="1" applyAlignment="1">
      <alignment horizontal="right" indent="1"/>
    </xf>
    <xf numFmtId="0" fontId="0" fillId="0" borderId="12" xfId="0" applyFill="1" applyBorder="1" applyAlignment="1">
      <alignment horizontal="right" indent="1"/>
    </xf>
    <xf numFmtId="164" fontId="1" fillId="0" borderId="6" xfId="0" quotePrefix="1" applyNumberFormat="1" applyFont="1" applyFill="1" applyBorder="1" applyAlignment="1">
      <alignment horizontal="right" indent="1"/>
    </xf>
    <xf numFmtId="164" fontId="0" fillId="0" borderId="6" xfId="0" applyNumberFormat="1" applyFont="1" applyFill="1" applyBorder="1" applyAlignment="1">
      <alignment horizontal="right" indent="1"/>
    </xf>
    <xf numFmtId="164" fontId="1" fillId="0" borderId="9" xfId="0" applyNumberFormat="1" applyFont="1" applyFill="1" applyBorder="1" applyAlignment="1">
      <alignment horizontal="right" indent="1"/>
    </xf>
    <xf numFmtId="164" fontId="1" fillId="0" borderId="11" xfId="0" applyNumberFormat="1" applyFont="1" applyFill="1" applyBorder="1" applyAlignment="1">
      <alignment horizontal="right" indent="1"/>
    </xf>
    <xf numFmtId="1" fontId="1" fillId="0" borderId="6" xfId="0" applyNumberFormat="1" applyFont="1" applyFill="1" applyBorder="1" applyAlignment="1">
      <alignment horizontal="right" indent="1"/>
    </xf>
    <xf numFmtId="0" fontId="1" fillId="0" borderId="5" xfId="0" applyFont="1" applyFill="1" applyBorder="1" applyAlignment="1">
      <alignment wrapText="1"/>
    </xf>
    <xf numFmtId="0" fontId="33" fillId="0" borderId="5" xfId="0" applyFont="1" applyBorder="1" applyAlignment="1">
      <alignment wrapText="1"/>
    </xf>
    <xf numFmtId="0" fontId="0" fillId="0" borderId="7" xfId="0" applyFont="1" applyBorder="1" applyAlignment="1">
      <alignment wrapText="1"/>
    </xf>
    <xf numFmtId="0" fontId="0" fillId="0" borderId="2" xfId="0" applyFont="1" applyBorder="1" applyAlignment="1">
      <alignment horizontal="right" indent="1"/>
    </xf>
    <xf numFmtId="164" fontId="1" fillId="0" borderId="10" xfId="0" applyNumberFormat="1" applyFont="1" applyFill="1" applyBorder="1" applyAlignment="1">
      <alignment horizontal="right" wrapText="1" indent="1"/>
    </xf>
    <xf numFmtId="164" fontId="1" fillId="0" borderId="3" xfId="0" applyNumberFormat="1" applyFont="1" applyFill="1" applyBorder="1" applyAlignment="1">
      <alignment horizontal="right" wrapText="1" indent="1"/>
    </xf>
    <xf numFmtId="164" fontId="1" fillId="0" borderId="10" xfId="0" applyNumberFormat="1" applyFont="1" applyFill="1" applyBorder="1" applyAlignment="1">
      <alignment horizontal="right" indent="1"/>
    </xf>
    <xf numFmtId="164" fontId="1" fillId="0" borderId="4" xfId="0" applyNumberFormat="1" applyFont="1" applyFill="1" applyBorder="1" applyAlignment="1">
      <alignment horizontal="right" indent="1"/>
    </xf>
    <xf numFmtId="164" fontId="0" fillId="0" borderId="5" xfId="0" applyNumberFormat="1" applyFont="1" applyFill="1" applyBorder="1" applyAlignment="1">
      <alignment horizontal="right" indent="1"/>
    </xf>
    <xf numFmtId="164" fontId="0" fillId="0" borderId="12" xfId="0" applyNumberFormat="1" applyFont="1" applyFill="1" applyBorder="1" applyAlignment="1">
      <alignment horizontal="right" indent="1"/>
    </xf>
    <xf numFmtId="164" fontId="0" fillId="0" borderId="0" xfId="0" applyNumberFormat="1" applyFont="1" applyFill="1" applyBorder="1" applyAlignment="1">
      <alignment horizontal="right" indent="1"/>
    </xf>
    <xf numFmtId="164" fontId="0" fillId="0" borderId="6" xfId="0" applyNumberFormat="1" applyFill="1" applyBorder="1" applyAlignment="1">
      <alignment horizontal="right" indent="1"/>
    </xf>
    <xf numFmtId="1" fontId="0" fillId="0" borderId="5" xfId="0" applyNumberFormat="1" applyFont="1" applyFill="1" applyBorder="1" applyAlignment="1">
      <alignment horizontal="right" indent="1"/>
    </xf>
    <xf numFmtId="1" fontId="0" fillId="0" borderId="0" xfId="0" applyNumberFormat="1" applyFont="1" applyFill="1" applyBorder="1" applyAlignment="1">
      <alignment horizontal="right" indent="1"/>
    </xf>
    <xf numFmtId="164" fontId="1" fillId="0" borderId="5" xfId="0" applyNumberFormat="1" applyFont="1" applyFill="1" applyBorder="1" applyAlignment="1">
      <alignment horizontal="right" indent="1"/>
    </xf>
    <xf numFmtId="164" fontId="1" fillId="0" borderId="0" xfId="0" applyNumberFormat="1" applyFont="1" applyFill="1" applyBorder="1" applyAlignment="1">
      <alignment horizontal="right" wrapText="1" indent="1"/>
    </xf>
    <xf numFmtId="0" fontId="0" fillId="0" borderId="5" xfId="0" applyBorder="1" applyAlignment="1">
      <alignment horizontal="right" indent="1"/>
    </xf>
    <xf numFmtId="164" fontId="0" fillId="0" borderId="6" xfId="4" applyNumberFormat="1" applyFont="1" applyBorder="1" applyAlignment="1">
      <alignment horizontal="right" indent="1"/>
    </xf>
    <xf numFmtId="164" fontId="33" fillId="0" borderId="12" xfId="0" applyNumberFormat="1" applyFont="1" applyBorder="1" applyAlignment="1" applyProtection="1">
      <alignment horizontal="right" indent="1"/>
    </xf>
    <xf numFmtId="164" fontId="33" fillId="0" borderId="12" xfId="0" applyNumberFormat="1" applyFont="1" applyBorder="1" applyAlignment="1">
      <alignment horizontal="right" indent="1"/>
    </xf>
    <xf numFmtId="164" fontId="33" fillId="0" borderId="6" xfId="0" applyNumberFormat="1" applyFont="1" applyBorder="1" applyAlignment="1" applyProtection="1">
      <alignment horizontal="right" indent="1"/>
    </xf>
    <xf numFmtId="164" fontId="0" fillId="0" borderId="6" xfId="0" applyNumberFormat="1" applyBorder="1" applyAlignment="1">
      <alignment horizontal="right" indent="1"/>
    </xf>
    <xf numFmtId="165" fontId="33" fillId="0" borderId="12" xfId="0" applyNumberFormat="1" applyFont="1" applyBorder="1" applyAlignment="1">
      <alignment horizontal="right" indent="1"/>
    </xf>
    <xf numFmtId="164" fontId="33" fillId="0" borderId="0" xfId="0" applyNumberFormat="1" applyFont="1" applyBorder="1" applyAlignment="1">
      <alignment horizontal="right" indent="1"/>
    </xf>
    <xf numFmtId="164" fontId="33" fillId="0" borderId="6" xfId="0" applyNumberFormat="1" applyFont="1" applyBorder="1" applyAlignment="1">
      <alignment horizontal="right" indent="1"/>
    </xf>
    <xf numFmtId="0" fontId="0" fillId="0" borderId="5" xfId="0" applyFont="1" applyFill="1" applyBorder="1" applyAlignment="1">
      <alignment horizontal="right" indent="1"/>
    </xf>
    <xf numFmtId="0" fontId="0" fillId="0" borderId="12" xfId="0" applyFont="1" applyFill="1" applyBorder="1" applyAlignment="1">
      <alignment horizontal="right" indent="1"/>
    </xf>
    <xf numFmtId="0" fontId="0" fillId="0" borderId="0" xfId="0" applyFont="1" applyFill="1" applyBorder="1" applyAlignment="1">
      <alignment horizontal="right" indent="1"/>
    </xf>
    <xf numFmtId="0" fontId="0" fillId="0" borderId="6" xfId="0" applyFill="1" applyBorder="1" applyAlignment="1">
      <alignment horizontal="right" indent="1"/>
    </xf>
    <xf numFmtId="0" fontId="0" fillId="0" borderId="5" xfId="0" applyFont="1" applyBorder="1" applyAlignment="1">
      <alignment horizontal="right" indent="1"/>
    </xf>
    <xf numFmtId="0" fontId="0" fillId="0" borderId="12" xfId="0" applyFont="1" applyBorder="1" applyAlignment="1">
      <alignment horizontal="right" indent="1"/>
    </xf>
    <xf numFmtId="1" fontId="0" fillId="0" borderId="0" xfId="0" applyNumberFormat="1" applyFont="1" applyBorder="1" applyAlignment="1">
      <alignment horizontal="right" indent="1"/>
    </xf>
    <xf numFmtId="0" fontId="0" fillId="0" borderId="12" xfId="0" applyBorder="1" applyAlignment="1">
      <alignment horizontal="right" indent="1"/>
    </xf>
    <xf numFmtId="0" fontId="0" fillId="0" borderId="6" xfId="0" applyBorder="1" applyAlignment="1">
      <alignment horizontal="right" indent="1"/>
    </xf>
    <xf numFmtId="0" fontId="0" fillId="0" borderId="5" xfId="0" quotePrefix="1" applyFont="1" applyBorder="1" applyAlignment="1">
      <alignment horizontal="right" indent="1"/>
    </xf>
    <xf numFmtId="0" fontId="1" fillId="0" borderId="0" xfId="0" quotePrefix="1" applyFont="1" applyBorder="1" applyAlignment="1">
      <alignment horizontal="right" indent="1"/>
    </xf>
    <xf numFmtId="164" fontId="0" fillId="0" borderId="7" xfId="0" applyNumberFormat="1" applyFont="1" applyBorder="1" applyAlignment="1">
      <alignment horizontal="right" indent="1"/>
    </xf>
    <xf numFmtId="164" fontId="1" fillId="0" borderId="8" xfId="0" applyNumberFormat="1" applyFont="1" applyBorder="1" applyAlignment="1">
      <alignment horizontal="right" indent="1"/>
    </xf>
    <xf numFmtId="164" fontId="0" fillId="0" borderId="9" xfId="0" applyNumberFormat="1" applyBorder="1" applyAlignment="1">
      <alignment horizontal="right" indent="1"/>
    </xf>
    <xf numFmtId="0" fontId="52" fillId="0" borderId="0" xfId="0" applyFont="1"/>
    <xf numFmtId="164" fontId="0" fillId="0" borderId="12" xfId="0" applyNumberFormat="1" applyFill="1" applyBorder="1" applyAlignment="1">
      <alignment horizontal="right" wrapText="1" indent="4"/>
    </xf>
    <xf numFmtId="0" fontId="12" fillId="0" borderId="12" xfId="0" applyNumberFormat="1" applyFont="1" applyFill="1" applyBorder="1" applyAlignment="1">
      <alignment horizontal="right" wrapText="1" indent="1"/>
    </xf>
    <xf numFmtId="0" fontId="12" fillId="0" borderId="6" xfId="0" applyNumberFormat="1" applyFont="1" applyFill="1" applyBorder="1" applyAlignment="1">
      <alignment horizontal="right" wrapText="1" indent="1"/>
    </xf>
    <xf numFmtId="164" fontId="0" fillId="0" borderId="6" xfId="0" applyNumberFormat="1" applyFont="1" applyFill="1" applyBorder="1" applyAlignment="1">
      <alignment horizontal="right" wrapText="1" indent="1"/>
    </xf>
    <xf numFmtId="0" fontId="1" fillId="0" borderId="11" xfId="0" applyNumberFormat="1" applyFont="1" applyFill="1" applyBorder="1" applyAlignment="1">
      <alignment horizontal="right" wrapText="1" indent="1"/>
    </xf>
    <xf numFmtId="0" fontId="1" fillId="0" borderId="9" xfId="0" applyNumberFormat="1" applyFont="1" applyFill="1" applyBorder="1" applyAlignment="1">
      <alignment horizontal="right" wrapText="1" indent="1"/>
    </xf>
    <xf numFmtId="164" fontId="1" fillId="0" borderId="10" xfId="0" applyNumberFormat="1" applyFont="1" applyFill="1" applyBorder="1" applyAlignment="1">
      <alignment horizontal="right" indent="4"/>
    </xf>
    <xf numFmtId="164" fontId="1" fillId="0" borderId="4" xfId="0" applyNumberFormat="1" applyFont="1" applyFill="1" applyBorder="1" applyAlignment="1">
      <alignment horizontal="right" indent="4"/>
    </xf>
    <xf numFmtId="164" fontId="1" fillId="0" borderId="6" xfId="0" applyNumberFormat="1" applyFont="1" applyFill="1" applyBorder="1" applyAlignment="1">
      <alignment horizontal="right" indent="4"/>
    </xf>
    <xf numFmtId="164" fontId="0" fillId="0" borderId="6" xfId="0" applyNumberFormat="1" applyFill="1" applyBorder="1" applyAlignment="1">
      <alignment horizontal="right" indent="4"/>
    </xf>
    <xf numFmtId="164" fontId="0" fillId="0" borderId="0" xfId="0" applyNumberFormat="1" applyFill="1" applyAlignment="1">
      <alignment horizontal="right" vertical="center" wrapText="1" indent="3"/>
    </xf>
    <xf numFmtId="164" fontId="0" fillId="0" borderId="11" xfId="0" applyNumberFormat="1" applyFill="1" applyBorder="1" applyAlignment="1">
      <alignment horizontal="right" vertical="center" wrapText="1" indent="3"/>
    </xf>
    <xf numFmtId="164" fontId="0" fillId="0" borderId="12" xfId="0" quotePrefix="1" applyNumberFormat="1" applyFill="1" applyBorder="1" applyAlignment="1">
      <alignment horizontal="right" indent="4"/>
    </xf>
    <xf numFmtId="164" fontId="0" fillId="0" borderId="17" xfId="0" applyNumberFormat="1" applyFill="1" applyBorder="1" applyAlignment="1">
      <alignment horizontal="right" wrapText="1" indent="4"/>
    </xf>
    <xf numFmtId="164" fontId="33" fillId="0" borderId="17" xfId="0" applyNumberFormat="1" applyFont="1" applyFill="1" applyBorder="1" applyAlignment="1">
      <alignment horizontal="right" wrapText="1" indent="4"/>
    </xf>
    <xf numFmtId="0" fontId="33" fillId="0" borderId="18" xfId="0" applyFont="1" applyFill="1" applyBorder="1" applyAlignment="1">
      <alignment horizontal="right" wrapText="1" indent="4"/>
    </xf>
    <xf numFmtId="164" fontId="0" fillId="0" borderId="0" xfId="0" applyNumberFormat="1" applyFill="1" applyAlignment="1">
      <alignment horizontal="right" indent="3"/>
    </xf>
    <xf numFmtId="0" fontId="0" fillId="2" borderId="11" xfId="0" applyFont="1" applyFill="1" applyBorder="1" applyAlignment="1">
      <alignment horizontal="center" vertical="top" wrapText="1"/>
    </xf>
    <xf numFmtId="0" fontId="33" fillId="0" borderId="12" xfId="0" applyFont="1" applyBorder="1" applyAlignment="1">
      <alignment horizontal="right" indent="3"/>
    </xf>
    <xf numFmtId="164" fontId="0" fillId="0" borderId="3" xfId="0" applyNumberFormat="1" applyFill="1" applyBorder="1" applyAlignment="1">
      <alignment horizontal="right" indent="1"/>
    </xf>
    <xf numFmtId="1" fontId="0" fillId="0" borderId="10" xfId="0" applyNumberFormat="1" applyFill="1" applyBorder="1" applyAlignment="1">
      <alignment horizontal="right" indent="1"/>
    </xf>
    <xf numFmtId="164" fontId="0" fillId="0" borderId="0" xfId="0" applyNumberFormat="1" applyFill="1" applyBorder="1" applyAlignment="1">
      <alignment horizontal="right" indent="1"/>
    </xf>
    <xf numFmtId="1" fontId="0" fillId="0" borderId="12" xfId="0" applyNumberFormat="1" applyFill="1" applyBorder="1" applyAlignment="1">
      <alignment horizontal="right" indent="1"/>
    </xf>
    <xf numFmtId="1" fontId="33" fillId="0" borderId="12" xfId="0" applyNumberFormat="1" applyFont="1" applyFill="1" applyBorder="1" applyAlignment="1">
      <alignment horizontal="right" indent="1"/>
    </xf>
    <xf numFmtId="164" fontId="0" fillId="0" borderId="8" xfId="0" applyNumberFormat="1" applyFill="1" applyBorder="1" applyAlignment="1">
      <alignment horizontal="right" indent="1"/>
    </xf>
    <xf numFmtId="1" fontId="0" fillId="0" borderId="11" xfId="0" applyNumberFormat="1" applyFill="1" applyBorder="1" applyAlignment="1">
      <alignment horizontal="right" indent="1"/>
    </xf>
    <xf numFmtId="164" fontId="0" fillId="0" borderId="6" xfId="0" quotePrefix="1" applyNumberFormat="1" applyFont="1" applyFill="1" applyBorder="1" applyAlignment="1">
      <alignment horizontal="right" indent="1"/>
    </xf>
    <xf numFmtId="0" fontId="1" fillId="0" borderId="0" xfId="0" applyFont="1" applyAlignment="1">
      <alignment horizontal="left" wrapText="1"/>
    </xf>
    <xf numFmtId="0" fontId="1" fillId="0" borderId="0" xfId="0" applyFont="1" applyAlignment="1">
      <alignment vertical="center" wrapText="1"/>
    </xf>
    <xf numFmtId="0" fontId="8" fillId="0" borderId="0" xfId="0" applyFont="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left" vertical="center" wrapText="1"/>
    </xf>
    <xf numFmtId="0" fontId="0" fillId="0" borderId="0" xfId="0" applyFont="1" applyAlignment="1">
      <alignment vertical="center" wrapText="1"/>
    </xf>
    <xf numFmtId="0" fontId="0" fillId="0" borderId="0" xfId="0" applyAlignment="1">
      <alignment horizontal="left" vertical="center" wrapText="1"/>
    </xf>
    <xf numFmtId="0" fontId="7" fillId="0" borderId="0" xfId="0" applyFont="1" applyAlignment="1">
      <alignment horizontal="center" vertical="center"/>
    </xf>
    <xf numFmtId="0" fontId="13" fillId="0" borderId="0" xfId="0" applyFont="1" applyBorder="1" applyAlignment="1">
      <alignment horizontal="justify" vertical="top" wrapText="1"/>
    </xf>
    <xf numFmtId="0" fontId="7" fillId="0" borderId="0" xfId="0" applyFont="1" applyAlignment="1">
      <alignment horizontal="center" vertical="top" wrapText="1"/>
    </xf>
    <xf numFmtId="0" fontId="0" fillId="2" borderId="10" xfId="0" applyFont="1" applyFill="1" applyBorder="1" applyAlignment="1">
      <alignment horizontal="center" vertical="top" wrapText="1"/>
    </xf>
    <xf numFmtId="0" fontId="1" fillId="2" borderId="12" xfId="0" applyFont="1" applyFill="1" applyBorder="1" applyAlignment="1">
      <alignment horizontal="center" vertical="top" wrapText="1"/>
    </xf>
    <xf numFmtId="0" fontId="15" fillId="0" borderId="0" xfId="0" applyFont="1" applyBorder="1" applyAlignment="1">
      <alignment horizontal="left"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0" fillId="2" borderId="12" xfId="0" applyFont="1" applyFill="1" applyBorder="1" applyAlignment="1">
      <alignment horizontal="center" vertical="top" wrapText="1"/>
    </xf>
    <xf numFmtId="0" fontId="15" fillId="0" borderId="0" xfId="0" applyFont="1" applyBorder="1" applyAlignment="1">
      <alignment horizontal="justify" vertical="center" wrapText="1"/>
    </xf>
    <xf numFmtId="0" fontId="7" fillId="0" borderId="0" xfId="0" applyFont="1" applyAlignment="1">
      <alignment horizontal="center"/>
    </xf>
    <xf numFmtId="0" fontId="13" fillId="0" borderId="0" xfId="0" applyFont="1" applyFill="1" applyBorder="1" applyAlignment="1">
      <alignment horizontal="justify" wrapText="1"/>
    </xf>
    <xf numFmtId="0" fontId="7" fillId="0" borderId="0" xfId="0" applyFont="1" applyBorder="1" applyAlignment="1">
      <alignment horizontal="center" vertical="center" wrapText="1"/>
    </xf>
    <xf numFmtId="0" fontId="7" fillId="0" borderId="0" xfId="0" applyFont="1" applyFill="1" applyBorder="1" applyAlignment="1">
      <alignment horizontal="center" vertical="top"/>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0" fillId="2" borderId="13" xfId="0" applyFont="1" applyFill="1" applyBorder="1" applyAlignment="1">
      <alignment horizontal="center" vertical="center" wrapText="1"/>
    </xf>
    <xf numFmtId="0" fontId="0" fillId="2" borderId="14" xfId="0" applyFont="1" applyFill="1" applyBorder="1" applyAlignment="1">
      <alignment horizontal="center" vertical="center" wrapText="1"/>
    </xf>
    <xf numFmtId="0" fontId="7" fillId="0" borderId="0" xfId="0" applyFont="1" applyBorder="1" applyAlignment="1">
      <alignment horizontal="center" vertical="top" wrapText="1"/>
    </xf>
    <xf numFmtId="0" fontId="0" fillId="0" borderId="8" xfId="0" applyFont="1" applyBorder="1" applyAlignment="1">
      <alignment horizontal="right"/>
    </xf>
    <xf numFmtId="0" fontId="7" fillId="0" borderId="0" xfId="0" applyFont="1" applyBorder="1" applyAlignment="1">
      <alignment horizontal="center" vertical="center"/>
    </xf>
    <xf numFmtId="0" fontId="0" fillId="2" borderId="11" xfId="0" applyFont="1" applyFill="1" applyBorder="1" applyAlignment="1">
      <alignment horizontal="center" vertical="top" wrapText="1"/>
    </xf>
    <xf numFmtId="0" fontId="2" fillId="2" borderId="10" xfId="0" applyFont="1" applyFill="1" applyBorder="1" applyAlignment="1">
      <alignment vertical="center" wrapText="1"/>
    </xf>
    <xf numFmtId="0" fontId="2" fillId="2" borderId="11" xfId="0" applyFont="1" applyFill="1" applyBorder="1" applyAlignment="1">
      <alignment vertical="center" wrapText="1"/>
    </xf>
    <xf numFmtId="0" fontId="1" fillId="2" borderId="13" xfId="0" applyFont="1" applyFill="1" applyBorder="1" applyAlignment="1">
      <alignment horizontal="center" vertical="top" wrapText="1"/>
    </xf>
    <xf numFmtId="0" fontId="1" fillId="2" borderId="14" xfId="0" applyFont="1" applyFill="1" applyBorder="1" applyAlignment="1">
      <alignment horizontal="center" vertical="top" wrapText="1"/>
    </xf>
    <xf numFmtId="0" fontId="7" fillId="0" borderId="0" xfId="0" applyFont="1" applyBorder="1" applyAlignment="1">
      <alignment horizontal="center"/>
    </xf>
    <xf numFmtId="0" fontId="2" fillId="0" borderId="0" xfId="0" applyFont="1" applyFill="1" applyAlignment="1">
      <alignment horizontal="center" vertical="center" wrapText="1"/>
    </xf>
    <xf numFmtId="0" fontId="2" fillId="0" borderId="0" xfId="0" applyFont="1" applyFill="1" applyAlignment="1">
      <alignment horizontal="center" vertical="center"/>
    </xf>
    <xf numFmtId="0" fontId="1" fillId="2" borderId="1" xfId="0" applyFont="1" applyFill="1" applyBorder="1" applyAlignment="1">
      <alignment horizontal="right" vertical="center" wrapText="1"/>
    </xf>
    <xf numFmtId="0" fontId="0" fillId="2"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8" fillId="2" borderId="1" xfId="0" applyFont="1" applyFill="1" applyBorder="1" applyAlignment="1">
      <alignment horizontal="center" vertical="top" wrapText="1"/>
    </xf>
    <xf numFmtId="0" fontId="2" fillId="0" borderId="0" xfId="0" applyFont="1" applyAlignment="1">
      <alignment horizontal="center" vertical="center" wrapText="1"/>
    </xf>
    <xf numFmtId="0" fontId="7" fillId="0" borderId="0" xfId="0" applyFont="1" applyFill="1" applyBorder="1" applyAlignment="1">
      <alignment horizontal="center" vertical="center" wrapText="1"/>
    </xf>
    <xf numFmtId="0" fontId="33" fillId="0" borderId="0" xfId="0" applyFont="1" applyFill="1" applyAlignment="1">
      <alignment horizontal="left" vertical="top" wrapText="1"/>
    </xf>
    <xf numFmtId="0" fontId="1" fillId="2" borderId="10" xfId="0" applyFont="1" applyFill="1" applyBorder="1" applyAlignment="1">
      <alignment vertical="center" wrapText="1"/>
    </xf>
    <xf numFmtId="0" fontId="0" fillId="0" borderId="11" xfId="0" applyBorder="1" applyAlignment="1">
      <alignment vertical="center" wrapText="1"/>
    </xf>
    <xf numFmtId="0" fontId="0" fillId="2" borderId="13" xfId="0" applyFont="1" applyFill="1" applyBorder="1" applyAlignment="1">
      <alignment horizontal="center" vertical="top" wrapText="1"/>
    </xf>
    <xf numFmtId="0" fontId="13" fillId="0" borderId="0" xfId="0" applyFont="1" applyFill="1" applyBorder="1" applyAlignment="1">
      <alignment wrapText="1"/>
    </xf>
    <xf numFmtId="0" fontId="7" fillId="0" borderId="0" xfId="0" applyFont="1" applyBorder="1" applyAlignment="1">
      <alignment horizontal="center" vertical="top"/>
    </xf>
    <xf numFmtId="0" fontId="20" fillId="0" borderId="0" xfId="0" applyFont="1" applyBorder="1" applyAlignment="1">
      <alignment horizontal="center" vertical="top" wrapText="1"/>
    </xf>
    <xf numFmtId="0" fontId="33" fillId="2" borderId="10" xfId="0" applyFont="1" applyFill="1" applyBorder="1" applyAlignment="1">
      <alignment horizontal="center" vertical="top" wrapText="1"/>
    </xf>
    <xf numFmtId="0" fontId="0" fillId="0" borderId="11" xfId="0" applyBorder="1" applyAlignment="1">
      <alignment horizontal="center" vertical="top" wrapText="1"/>
    </xf>
    <xf numFmtId="0" fontId="7" fillId="0" borderId="0" xfId="0" applyFont="1" applyAlignment="1">
      <alignment horizontal="center" vertical="center" wrapText="1"/>
    </xf>
    <xf numFmtId="0" fontId="1" fillId="2" borderId="10" xfId="0" applyFont="1" applyFill="1" applyBorder="1" applyAlignment="1">
      <alignment horizontal="center" vertical="top" wrapText="1"/>
    </xf>
    <xf numFmtId="0" fontId="1" fillId="2" borderId="11" xfId="0" applyFont="1" applyFill="1" applyBorder="1" applyAlignment="1">
      <alignment horizontal="center" vertical="top" wrapText="1"/>
    </xf>
    <xf numFmtId="0" fontId="1" fillId="2" borderId="10" xfId="0" applyFont="1" applyFill="1" applyBorder="1" applyAlignment="1">
      <alignment horizontal="center" wrapText="1"/>
    </xf>
    <xf numFmtId="0" fontId="1" fillId="2" borderId="11" xfId="0" applyFont="1" applyFill="1" applyBorder="1" applyAlignment="1">
      <alignment horizontal="center" wrapText="1"/>
    </xf>
    <xf numFmtId="0" fontId="1" fillId="2" borderId="15" xfId="0" applyFont="1" applyFill="1" applyBorder="1" applyAlignment="1">
      <alignment horizontal="center" vertical="top" wrapText="1"/>
    </xf>
    <xf numFmtId="0" fontId="20" fillId="0" borderId="0" xfId="0" applyFont="1" applyAlignment="1">
      <alignment horizontal="center"/>
    </xf>
    <xf numFmtId="0" fontId="33" fillId="2" borderId="11" xfId="0" applyFont="1" applyFill="1" applyBorder="1" applyAlignment="1">
      <alignment horizontal="center" vertical="top" wrapText="1"/>
    </xf>
    <xf numFmtId="0" fontId="7" fillId="0" borderId="0" xfId="0" applyFont="1" applyFill="1" applyBorder="1" applyAlignment="1">
      <alignment horizontal="center" vertical="center"/>
    </xf>
    <xf numFmtId="0" fontId="1" fillId="0" borderId="0" xfId="0" applyFont="1" applyBorder="1" applyAlignment="1">
      <alignment horizontal="right" vertical="center"/>
    </xf>
    <xf numFmtId="0" fontId="0" fillId="0" borderId="12" xfId="0" applyBorder="1" applyAlignment="1">
      <alignment vertical="center" wrapText="1"/>
    </xf>
    <xf numFmtId="0" fontId="0" fillId="0" borderId="12" xfId="0" applyBorder="1" applyAlignment="1">
      <alignment horizontal="center" vertical="top" wrapText="1"/>
    </xf>
    <xf numFmtId="0" fontId="1" fillId="2" borderId="15" xfId="0" applyFont="1" applyFill="1" applyBorder="1" applyAlignment="1">
      <alignment horizontal="center" vertical="center" wrapText="1"/>
    </xf>
    <xf numFmtId="0" fontId="1" fillId="0" borderId="8" xfId="0" applyFont="1" applyBorder="1" applyAlignment="1">
      <alignment horizontal="right" vertical="center"/>
    </xf>
    <xf numFmtId="0" fontId="0" fillId="2" borderId="15" xfId="0" applyFont="1" applyFill="1" applyBorder="1" applyAlignment="1">
      <alignment horizontal="center" vertical="center" wrapText="1"/>
    </xf>
    <xf numFmtId="0" fontId="0" fillId="0" borderId="11" xfId="0" applyBorder="1" applyAlignment="1">
      <alignment horizontal="center" vertical="center" wrapText="1"/>
    </xf>
    <xf numFmtId="0" fontId="0" fillId="2" borderId="11" xfId="0" applyFill="1" applyBorder="1" applyAlignment="1">
      <alignment horizontal="center" vertical="center" wrapText="1"/>
    </xf>
    <xf numFmtId="0" fontId="1" fillId="2" borderId="10" xfId="0" applyFont="1" applyFill="1" applyBorder="1" applyAlignment="1">
      <alignment horizontal="right" vertical="center" wrapText="1"/>
    </xf>
    <xf numFmtId="0" fontId="0" fillId="0" borderId="11" xfId="0" applyBorder="1" applyAlignment="1">
      <alignment horizontal="right" vertical="center" wrapText="1"/>
    </xf>
    <xf numFmtId="0" fontId="7" fillId="0" borderId="0" xfId="0" applyFont="1" applyFill="1" applyAlignment="1">
      <alignment horizontal="center" vertical="center" wrapText="1"/>
    </xf>
    <xf numFmtId="0" fontId="0" fillId="0" borderId="8" xfId="0" applyFont="1" applyFill="1" applyBorder="1" applyAlignment="1">
      <alignment horizontal="right" vertical="top"/>
    </xf>
    <xf numFmtId="0" fontId="0" fillId="2" borderId="13" xfId="0" applyFill="1" applyBorder="1" applyAlignment="1">
      <alignment horizontal="center" vertical="top"/>
    </xf>
    <xf numFmtId="0" fontId="0" fillId="2" borderId="14" xfId="0" applyFill="1" applyBorder="1" applyAlignment="1">
      <alignment horizontal="center" vertical="top"/>
    </xf>
    <xf numFmtId="0" fontId="25" fillId="2" borderId="10" xfId="0" applyFont="1" applyFill="1" applyBorder="1" applyAlignment="1">
      <alignment vertical="center" wrapText="1"/>
    </xf>
    <xf numFmtId="0" fontId="7" fillId="0" borderId="0" xfId="0" applyFont="1" applyFill="1" applyBorder="1" applyAlignment="1">
      <alignment horizontal="center" vertical="top" wrapText="1"/>
    </xf>
    <xf numFmtId="0" fontId="0" fillId="2" borderId="10" xfId="0" applyFont="1" applyFill="1" applyBorder="1" applyAlignment="1">
      <alignment horizontal="center" vertical="top"/>
    </xf>
    <xf numFmtId="0" fontId="0" fillId="2" borderId="11" xfId="0" applyFont="1" applyFill="1" applyBorder="1" applyAlignment="1">
      <alignment horizontal="center" vertical="top"/>
    </xf>
    <xf numFmtId="0" fontId="44" fillId="2" borderId="10" xfId="0" applyFont="1" applyFill="1" applyBorder="1" applyAlignment="1">
      <alignment vertical="center" wrapText="1"/>
    </xf>
    <xf numFmtId="0" fontId="43" fillId="0" borderId="11" xfId="0" applyFont="1" applyBorder="1" applyAlignment="1">
      <alignment vertical="center" wrapText="1"/>
    </xf>
    <xf numFmtId="0" fontId="0" fillId="0" borderId="8" xfId="0" applyFont="1" applyBorder="1" applyAlignment="1">
      <alignment horizontal="right" vertical="center"/>
    </xf>
    <xf numFmtId="0" fontId="13" fillId="0" borderId="0" xfId="0" applyFont="1" applyBorder="1" applyAlignment="1">
      <alignment horizontal="justify" vertical="center" wrapText="1"/>
    </xf>
    <xf numFmtId="0" fontId="0" fillId="0" borderId="0" xfId="0" applyFont="1" applyBorder="1" applyAlignment="1">
      <alignment horizontal="right" vertical="center"/>
    </xf>
    <xf numFmtId="0" fontId="39" fillId="0" borderId="0" xfId="0" applyFont="1" applyBorder="1" applyAlignment="1">
      <alignment horizontal="center" vertical="center" wrapText="1"/>
    </xf>
    <xf numFmtId="0" fontId="33" fillId="0" borderId="8" xfId="0" applyFont="1" applyBorder="1" applyAlignment="1">
      <alignment horizontal="right" vertical="center"/>
    </xf>
    <xf numFmtId="0" fontId="1" fillId="2" borderId="11" xfId="0" applyFont="1" applyFill="1" applyBorder="1" applyAlignment="1">
      <alignment vertical="center" wrapText="1"/>
    </xf>
    <xf numFmtId="0" fontId="41" fillId="0" borderId="0" xfId="0" applyFont="1" applyBorder="1" applyAlignment="1">
      <alignment horizontal="justify" vertical="center" wrapText="1"/>
    </xf>
    <xf numFmtId="0" fontId="10" fillId="2" borderId="10" xfId="0" applyFont="1" applyFill="1" applyBorder="1" applyAlignment="1">
      <alignment horizontal="center" vertical="center" wrapText="1"/>
    </xf>
    <xf numFmtId="0" fontId="0" fillId="0" borderId="12" xfId="0" applyBorder="1" applyAlignment="1">
      <alignment horizontal="center" vertical="center" wrapText="1"/>
    </xf>
    <xf numFmtId="0" fontId="7" fillId="0" borderId="0" xfId="0" applyFont="1" applyFill="1" applyAlignment="1">
      <alignment horizontal="center" wrapText="1"/>
    </xf>
    <xf numFmtId="0" fontId="0" fillId="2" borderId="10" xfId="0" applyFont="1" applyFill="1" applyBorder="1" applyAlignment="1">
      <alignment vertical="top" wrapText="1"/>
    </xf>
    <xf numFmtId="0" fontId="0" fillId="2" borderId="12" xfId="0" applyFill="1" applyBorder="1" applyAlignment="1">
      <alignment vertical="top" wrapText="1"/>
    </xf>
    <xf numFmtId="0" fontId="0" fillId="2" borderId="15" xfId="0" applyFont="1" applyFill="1" applyBorder="1" applyAlignment="1">
      <alignment horizontal="center" vertical="top" wrapText="1"/>
    </xf>
    <xf numFmtId="0" fontId="0" fillId="2" borderId="14" xfId="0" applyFont="1" applyFill="1" applyBorder="1" applyAlignment="1">
      <alignment horizontal="center" vertical="top" wrapText="1"/>
    </xf>
    <xf numFmtId="0" fontId="0" fillId="2" borderId="11" xfId="0" applyFill="1" applyBorder="1" applyAlignment="1">
      <alignment vertical="top" wrapText="1"/>
    </xf>
    <xf numFmtId="0" fontId="0" fillId="2" borderId="11" xfId="0" applyFill="1" applyBorder="1" applyAlignment="1">
      <alignment horizontal="center" vertical="top" wrapText="1"/>
    </xf>
    <xf numFmtId="0" fontId="0" fillId="2" borderId="4" xfId="0" applyFont="1" applyFill="1" applyBorder="1" applyAlignment="1">
      <alignment horizontal="center" vertical="top" wrapText="1"/>
    </xf>
    <xf numFmtId="0" fontId="1" fillId="2" borderId="9" xfId="0" applyFont="1" applyFill="1" applyBorder="1" applyAlignment="1">
      <alignment horizontal="center" vertical="top" wrapText="1"/>
    </xf>
    <xf numFmtId="0" fontId="7" fillId="0" borderId="0" xfId="0" applyFont="1" applyFill="1" applyAlignment="1">
      <alignment horizontal="center"/>
    </xf>
    <xf numFmtId="0" fontId="18" fillId="0" borderId="0" xfId="0" applyFont="1" applyFill="1" applyAlignment="1">
      <alignment horizontal="center"/>
    </xf>
    <xf numFmtId="0" fontId="0" fillId="2" borderId="12" xfId="0" applyFill="1" applyBorder="1" applyAlignment="1">
      <alignment vertical="center" wrapText="1"/>
    </xf>
    <xf numFmtId="0" fontId="0" fillId="2" borderId="11" xfId="0" applyFill="1" applyBorder="1" applyAlignment="1">
      <alignment vertical="center" wrapText="1"/>
    </xf>
    <xf numFmtId="0" fontId="0" fillId="2" borderId="2" xfId="0" applyFont="1" applyFill="1" applyBorder="1" applyAlignment="1">
      <alignment horizontal="center" vertical="top" wrapText="1"/>
    </xf>
    <xf numFmtId="0" fontId="0" fillId="2" borderId="7" xfId="0" applyFont="1" applyFill="1" applyBorder="1" applyAlignment="1">
      <alignment horizontal="center" vertical="top" wrapText="1"/>
    </xf>
    <xf numFmtId="0" fontId="0" fillId="2" borderId="9" xfId="0" applyFont="1" applyFill="1" applyBorder="1" applyAlignment="1">
      <alignment horizontal="center" vertical="top" wrapText="1"/>
    </xf>
    <xf numFmtId="0" fontId="1" fillId="2" borderId="4" xfId="0" applyFont="1" applyFill="1"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9" xfId="0" applyBorder="1" applyAlignment="1">
      <alignment horizontal="center" vertical="top" wrapText="1"/>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9" xfId="0" applyBorder="1" applyAlignment="1">
      <alignment horizontal="center" wrapText="1"/>
    </xf>
    <xf numFmtId="0" fontId="1" fillId="2" borderId="12" xfId="0" applyFont="1" applyFill="1" applyBorder="1" applyAlignment="1">
      <alignment vertical="center" wrapText="1"/>
    </xf>
    <xf numFmtId="0" fontId="0" fillId="2" borderId="10" xfId="0" applyFont="1" applyFill="1" applyBorder="1" applyAlignment="1">
      <alignment horizontal="center" vertical="center" wrapText="1"/>
    </xf>
    <xf numFmtId="0" fontId="0" fillId="2" borderId="12" xfId="0" applyFont="1" applyFill="1" applyBorder="1" applyAlignment="1">
      <alignment horizontal="center" vertical="center" wrapText="1"/>
    </xf>
    <xf numFmtId="0" fontId="0" fillId="0" borderId="0" xfId="0" applyFont="1" applyBorder="1" applyAlignment="1">
      <alignment horizontal="center" vertical="center" wrapText="1"/>
    </xf>
    <xf numFmtId="164" fontId="0" fillId="0" borderId="12" xfId="0" applyNumberFormat="1" applyFill="1" applyBorder="1" applyAlignment="1">
      <alignment horizontal="right" vertical="center" wrapText="1" indent="2"/>
    </xf>
    <xf numFmtId="164" fontId="0" fillId="0" borderId="0" xfId="0" applyNumberFormat="1" applyFill="1" applyAlignment="1">
      <alignment horizontal="right" vertical="center" wrapText="1" indent="2"/>
    </xf>
  </cellXfs>
  <cellStyles count="10">
    <cellStyle name="Normal" xfId="4"/>
    <cellStyle name="Гиперссылка" xfId="1" builtinId="8"/>
    <cellStyle name="Обычный" xfId="0" builtinId="0"/>
    <cellStyle name="Обычный 2" xfId="2"/>
    <cellStyle name="Обычный 2 2" xfId="9"/>
    <cellStyle name="Обычный 3" xfId="3"/>
    <cellStyle name="Обычный 3 3" xfId="6"/>
    <cellStyle name="Обычный 4" xfId="7"/>
    <cellStyle name="Обычный 6" xfId="8"/>
    <cellStyle name="Обычный 9" xf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2499360</xdr:colOff>
      <xdr:row>8</xdr:row>
      <xdr:rowOff>38100</xdr:rowOff>
    </xdr:from>
    <xdr:to>
      <xdr:col>0</xdr:col>
      <xdr:colOff>3471674</xdr:colOff>
      <xdr:row>16</xdr:row>
      <xdr:rowOff>190504</xdr:rowOff>
    </xdr:to>
    <xdr:pic>
      <xdr:nvPicPr>
        <xdr:cNvPr id="2" name="Рисунок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99360" y="1562100"/>
          <a:ext cx="972314" cy="1737364"/>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42"/>
  <sheetViews>
    <sheetView topLeftCell="A10" zoomScale="80" zoomScaleNormal="80" workbookViewId="0">
      <selection activeCell="D6" sqref="D6"/>
    </sheetView>
  </sheetViews>
  <sheetFormatPr defaultRowHeight="13.2" x14ac:dyDescent="0.25"/>
  <cols>
    <col min="1" max="1" width="87.6640625" customWidth="1"/>
  </cols>
  <sheetData>
    <row r="1" spans="1:1" ht="15" x14ac:dyDescent="0.25">
      <c r="A1" s="1" t="s">
        <v>0</v>
      </c>
    </row>
    <row r="2" spans="1:1" ht="15" x14ac:dyDescent="0.25">
      <c r="A2" s="1"/>
    </row>
    <row r="3" spans="1:1" ht="15" x14ac:dyDescent="0.25">
      <c r="A3" s="1" t="s">
        <v>1</v>
      </c>
    </row>
    <row r="4" spans="1:1" ht="15" x14ac:dyDescent="0.25">
      <c r="A4" s="1" t="s">
        <v>2</v>
      </c>
    </row>
    <row r="5" spans="1:1" ht="15" x14ac:dyDescent="0.25">
      <c r="A5" s="1" t="s">
        <v>3</v>
      </c>
    </row>
    <row r="6" spans="1:1" ht="15" x14ac:dyDescent="0.25">
      <c r="A6" s="1" t="s">
        <v>4</v>
      </c>
    </row>
    <row r="7" spans="1:1" ht="15" x14ac:dyDescent="0.25">
      <c r="A7" s="1" t="s">
        <v>487</v>
      </c>
    </row>
    <row r="8" spans="1:1" ht="15" x14ac:dyDescent="0.25">
      <c r="A8" s="1"/>
    </row>
    <row r="9" spans="1:1" ht="15.6" x14ac:dyDescent="0.25">
      <c r="A9" s="2"/>
    </row>
    <row r="10" spans="1:1" ht="15.6" x14ac:dyDescent="0.25">
      <c r="A10" s="2"/>
    </row>
    <row r="11" spans="1:1" ht="15.6" x14ac:dyDescent="0.25">
      <c r="A11" s="2"/>
    </row>
    <row r="12" spans="1:1" ht="15.6" x14ac:dyDescent="0.25">
      <c r="A12" s="2"/>
    </row>
    <row r="13" spans="1:1" ht="15.6" x14ac:dyDescent="0.25">
      <c r="A13" s="2"/>
    </row>
    <row r="14" spans="1:1" ht="15.6" x14ac:dyDescent="0.25">
      <c r="A14" s="2"/>
    </row>
    <row r="15" spans="1:1" ht="15.6" x14ac:dyDescent="0.25">
      <c r="A15" s="2"/>
    </row>
    <row r="16" spans="1:1" ht="15.6" x14ac:dyDescent="0.25">
      <c r="A16" s="2"/>
    </row>
    <row r="17" spans="1:1" ht="15.6" x14ac:dyDescent="0.25">
      <c r="A17" s="2"/>
    </row>
    <row r="18" spans="1:1" ht="15.6" x14ac:dyDescent="0.25">
      <c r="A18" s="2"/>
    </row>
    <row r="19" spans="1:1" ht="15.6" x14ac:dyDescent="0.25">
      <c r="A19" s="2"/>
    </row>
    <row r="20" spans="1:1" ht="25.95" customHeight="1" x14ac:dyDescent="0.25">
      <c r="A20" s="53" t="s">
        <v>5</v>
      </c>
    </row>
    <row r="21" spans="1:1" ht="61.95" customHeight="1" x14ac:dyDescent="0.4">
      <c r="A21" s="109" t="s">
        <v>333</v>
      </c>
    </row>
    <row r="22" spans="1:1" ht="28.95" customHeight="1" x14ac:dyDescent="0.3">
      <c r="A22" s="59" t="s">
        <v>628</v>
      </c>
    </row>
    <row r="23" spans="1:1" ht="15.6" x14ac:dyDescent="0.25">
      <c r="A23" s="2"/>
    </row>
    <row r="24" spans="1:1" ht="15" x14ac:dyDescent="0.25">
      <c r="A24" s="1" t="s">
        <v>6</v>
      </c>
    </row>
    <row r="25" spans="1:1" ht="15" x14ac:dyDescent="0.25">
      <c r="A25" s="1" t="s">
        <v>7</v>
      </c>
    </row>
    <row r="26" spans="1:1" ht="15.6" x14ac:dyDescent="0.25">
      <c r="A26" s="2"/>
    </row>
    <row r="27" spans="1:1" ht="15.6" x14ac:dyDescent="0.25">
      <c r="A27" s="2"/>
    </row>
    <row r="28" spans="1:1" ht="15.6" x14ac:dyDescent="0.25">
      <c r="A28" s="2"/>
    </row>
    <row r="29" spans="1:1" ht="15.6" x14ac:dyDescent="0.25">
      <c r="A29" s="2"/>
    </row>
    <row r="30" spans="1:1" ht="17.399999999999999" x14ac:dyDescent="0.25">
      <c r="A30" s="3">
        <v>25007</v>
      </c>
    </row>
    <row r="31" spans="1:1" ht="15.6" x14ac:dyDescent="0.25">
      <c r="A31" s="2"/>
    </row>
    <row r="32" spans="1:1" ht="15.6" x14ac:dyDescent="0.25">
      <c r="A32" s="2"/>
    </row>
    <row r="33" spans="1:1" ht="15.6" x14ac:dyDescent="0.25">
      <c r="A33" s="2"/>
    </row>
    <row r="34" spans="1:1" ht="15.6" x14ac:dyDescent="0.25">
      <c r="A34" s="2"/>
    </row>
    <row r="35" spans="1:1" ht="15.6" x14ac:dyDescent="0.25">
      <c r="A35" s="2"/>
    </row>
    <row r="36" spans="1:1" ht="15" x14ac:dyDescent="0.25">
      <c r="A36" s="4"/>
    </row>
    <row r="37" spans="1:1" x14ac:dyDescent="0.25">
      <c r="A37" s="5"/>
    </row>
    <row r="38" spans="1:1" x14ac:dyDescent="0.25">
      <c r="A38" s="5"/>
    </row>
    <row r="39" spans="1:1" x14ac:dyDescent="0.25">
      <c r="A39" s="5"/>
    </row>
    <row r="40" spans="1:1" x14ac:dyDescent="0.25">
      <c r="A40" s="5"/>
    </row>
    <row r="41" spans="1:1" ht="15" x14ac:dyDescent="0.25">
      <c r="A41" s="1" t="s">
        <v>8</v>
      </c>
    </row>
    <row r="42" spans="1:1" ht="15" x14ac:dyDescent="0.25">
      <c r="A42" s="1">
        <v>2025</v>
      </c>
    </row>
  </sheetData>
  <pageMargins left="0.7" right="0.7" top="0.75" bottom="0.75" header="0.3" footer="0.3"/>
  <pageSetup paperSize="9"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46"/>
  <sheetViews>
    <sheetView zoomScale="80" zoomScaleNormal="80" zoomScalePageLayoutView="110" workbookViewId="0">
      <selection activeCell="D6" sqref="D6"/>
    </sheetView>
  </sheetViews>
  <sheetFormatPr defaultRowHeight="13.2" x14ac:dyDescent="0.25"/>
  <cols>
    <col min="1" max="1" width="88.6640625" customWidth="1"/>
  </cols>
  <sheetData>
    <row r="1" spans="1:1" x14ac:dyDescent="0.25">
      <c r="A1" s="6" t="s">
        <v>9</v>
      </c>
    </row>
    <row r="2" spans="1:1" x14ac:dyDescent="0.25">
      <c r="A2" s="5"/>
    </row>
    <row r="3" spans="1:1" x14ac:dyDescent="0.25">
      <c r="A3" s="7" t="s">
        <v>10</v>
      </c>
    </row>
    <row r="4" spans="1:1" x14ac:dyDescent="0.25">
      <c r="A4" s="256" t="s">
        <v>449</v>
      </c>
    </row>
    <row r="5" spans="1:1" x14ac:dyDescent="0.25">
      <c r="A5" s="8"/>
    </row>
    <row r="6" spans="1:1" x14ac:dyDescent="0.25">
      <c r="A6" s="5"/>
    </row>
    <row r="7" spans="1:1" x14ac:dyDescent="0.25">
      <c r="A7" s="5"/>
    </row>
    <row r="8" spans="1:1" x14ac:dyDescent="0.25">
      <c r="A8" s="5"/>
    </row>
    <row r="9" spans="1:1" ht="66" x14ac:dyDescent="0.25">
      <c r="A9" s="11" t="s">
        <v>629</v>
      </c>
    </row>
    <row r="10" spans="1:1" x14ac:dyDescent="0.25">
      <c r="A10" s="9"/>
    </row>
    <row r="11" spans="1:1" x14ac:dyDescent="0.25">
      <c r="A11" s="5"/>
    </row>
    <row r="12" spans="1:1" x14ac:dyDescent="0.25">
      <c r="A12" s="5"/>
    </row>
    <row r="13" spans="1:1" x14ac:dyDescent="0.25">
      <c r="A13" s="5"/>
    </row>
    <row r="14" spans="1:1" x14ac:dyDescent="0.25">
      <c r="A14" s="5"/>
    </row>
    <row r="15" spans="1:1" x14ac:dyDescent="0.25">
      <c r="A15" s="5"/>
    </row>
    <row r="16" spans="1:1" x14ac:dyDescent="0.25">
      <c r="A16" s="5"/>
    </row>
    <row r="17" spans="1:1" x14ac:dyDescent="0.25">
      <c r="A17" s="5"/>
    </row>
    <row r="18" spans="1:1" x14ac:dyDescent="0.25">
      <c r="A18" s="5"/>
    </row>
    <row r="19" spans="1:1" x14ac:dyDescent="0.25">
      <c r="A19" s="5"/>
    </row>
    <row r="20" spans="1:1" x14ac:dyDescent="0.25">
      <c r="A20" s="5"/>
    </row>
    <row r="21" spans="1:1" x14ac:dyDescent="0.25">
      <c r="A21" s="9"/>
    </row>
    <row r="22" spans="1:1" ht="79.2" x14ac:dyDescent="0.25">
      <c r="A22" s="60" t="s">
        <v>334</v>
      </c>
    </row>
    <row r="23" spans="1:1" x14ac:dyDescent="0.25">
      <c r="A23" s="12"/>
    </row>
    <row r="24" spans="1:1" x14ac:dyDescent="0.25">
      <c r="A24" s="9"/>
    </row>
    <row r="25" spans="1:1" x14ac:dyDescent="0.25">
      <c r="A25" s="9"/>
    </row>
    <row r="26" spans="1:1" x14ac:dyDescent="0.25">
      <c r="A26" s="10"/>
    </row>
    <row r="27" spans="1:1" x14ac:dyDescent="0.25">
      <c r="A27" s="10"/>
    </row>
    <row r="28" spans="1:1" x14ac:dyDescent="0.25">
      <c r="A28" s="10"/>
    </row>
    <row r="29" spans="1:1" x14ac:dyDescent="0.25">
      <c r="A29" s="10"/>
    </row>
    <row r="30" spans="1:1" x14ac:dyDescent="0.25">
      <c r="A30" s="10"/>
    </row>
    <row r="31" spans="1:1" x14ac:dyDescent="0.25">
      <c r="A31" s="10"/>
    </row>
    <row r="32" spans="1:1" x14ac:dyDescent="0.25">
      <c r="A32" s="10"/>
    </row>
    <row r="33" spans="1:1" x14ac:dyDescent="0.25">
      <c r="A33" s="10"/>
    </row>
    <row r="34" spans="1:1" x14ac:dyDescent="0.25">
      <c r="A34" s="10"/>
    </row>
    <row r="35" spans="1:1" x14ac:dyDescent="0.25">
      <c r="A35" s="10"/>
    </row>
    <row r="36" spans="1:1" x14ac:dyDescent="0.25">
      <c r="A36" s="10"/>
    </row>
    <row r="37" spans="1:1" x14ac:dyDescent="0.25">
      <c r="A37" s="10"/>
    </row>
    <row r="38" spans="1:1" x14ac:dyDescent="0.25">
      <c r="A38" s="10"/>
    </row>
    <row r="39" spans="1:1" x14ac:dyDescent="0.25">
      <c r="A39" s="61"/>
    </row>
    <row r="40" spans="1:1" x14ac:dyDescent="0.25">
      <c r="A40" s="62"/>
    </row>
    <row r="41" spans="1:1" ht="79.8" customHeight="1" x14ac:dyDescent="0.25">
      <c r="A41" s="255" t="s">
        <v>448</v>
      </c>
    </row>
    <row r="42" spans="1:1" ht="26.4" customHeight="1" x14ac:dyDescent="0.25">
      <c r="A42" s="180" t="s">
        <v>418</v>
      </c>
    </row>
    <row r="43" spans="1:1" x14ac:dyDescent="0.25">
      <c r="A43" s="181"/>
    </row>
    <row r="44" spans="1:1" x14ac:dyDescent="0.25">
      <c r="A44" s="15"/>
    </row>
    <row r="45" spans="1:1" x14ac:dyDescent="0.25">
      <c r="A45" s="13"/>
    </row>
    <row r="46" spans="1:1" x14ac:dyDescent="0.25">
      <c r="A46" s="14"/>
    </row>
  </sheetData>
  <pageMargins left="0.7" right="0.7" top="0.75" bottom="0.75" header="0.3" footer="0.3"/>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9"/>
  <sheetViews>
    <sheetView view="pageLayout" zoomScale="80" zoomScaleNormal="100" zoomScalePageLayoutView="80" workbookViewId="0">
      <selection activeCell="D6" sqref="D6"/>
    </sheetView>
  </sheetViews>
  <sheetFormatPr defaultRowHeight="13.2" x14ac:dyDescent="0.25"/>
  <cols>
    <col min="1" max="1" width="89.33203125" customWidth="1"/>
  </cols>
  <sheetData>
    <row r="1" spans="1:1" x14ac:dyDescent="0.25">
      <c r="A1" s="16" t="s">
        <v>11</v>
      </c>
    </row>
    <row r="2" spans="1:1" x14ac:dyDescent="0.25">
      <c r="A2" s="9"/>
    </row>
    <row r="3" spans="1:1" ht="60" customHeight="1" x14ac:dyDescent="0.25">
      <c r="A3" s="11" t="s">
        <v>335</v>
      </c>
    </row>
    <row r="4" spans="1:1" ht="66" x14ac:dyDescent="0.25">
      <c r="A4" s="444" t="s">
        <v>617</v>
      </c>
    </row>
    <row r="5" spans="1:1" ht="52.8" x14ac:dyDescent="0.25">
      <c r="A5" s="11" t="s">
        <v>336</v>
      </c>
    </row>
    <row r="6" spans="1:1" ht="66" x14ac:dyDescent="0.25">
      <c r="A6" s="11" t="s">
        <v>416</v>
      </c>
    </row>
    <row r="7" spans="1:1" ht="26.4" x14ac:dyDescent="0.25">
      <c r="A7" s="11" t="s">
        <v>337</v>
      </c>
    </row>
    <row r="8" spans="1:1" ht="26.4" x14ac:dyDescent="0.25">
      <c r="A8" s="11" t="s">
        <v>338</v>
      </c>
    </row>
    <row r="9" spans="1:1" x14ac:dyDescent="0.25">
      <c r="A9" s="9"/>
    </row>
  </sheetData>
  <pageMargins left="0.7" right="0.7" top="0.75" bottom="0.75" header="0.3" footer="0.3"/>
  <pageSetup paperSize="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4"/>
  <sheetViews>
    <sheetView view="pageLayout" zoomScale="80" zoomScaleNormal="80" zoomScalePageLayoutView="80" workbookViewId="0">
      <selection activeCell="D6" sqref="D6"/>
    </sheetView>
  </sheetViews>
  <sheetFormatPr defaultRowHeight="13.2" x14ac:dyDescent="0.25"/>
  <cols>
    <col min="1" max="1" width="36.5546875" customWidth="1"/>
    <col min="2" max="2" width="18.33203125" customWidth="1"/>
    <col min="3" max="3" width="11.33203125" customWidth="1"/>
    <col min="4" max="4" width="19.5546875" style="95" customWidth="1"/>
  </cols>
  <sheetData>
    <row r="1" spans="1:4" ht="13.8" x14ac:dyDescent="0.25">
      <c r="A1" s="641" t="s">
        <v>12</v>
      </c>
      <c r="B1" s="641"/>
      <c r="C1" s="641"/>
      <c r="D1" s="641"/>
    </row>
    <row r="2" spans="1:4" x14ac:dyDescent="0.25">
      <c r="A2" s="133"/>
    </row>
    <row r="3" spans="1:4" ht="13.2" customHeight="1" x14ac:dyDescent="0.25">
      <c r="A3" s="635" t="s">
        <v>394</v>
      </c>
      <c r="B3" s="639" t="s">
        <v>428</v>
      </c>
      <c r="C3" s="636" t="s">
        <v>13</v>
      </c>
      <c r="D3" s="189" t="s">
        <v>321</v>
      </c>
    </row>
    <row r="4" spans="1:4" x14ac:dyDescent="0.25">
      <c r="A4" s="635"/>
      <c r="B4" s="635"/>
      <c r="C4" s="636"/>
      <c r="D4" s="190" t="s">
        <v>426</v>
      </c>
    </row>
    <row r="5" spans="1:4" x14ac:dyDescent="0.25">
      <c r="A5" s="635" t="s">
        <v>14</v>
      </c>
      <c r="B5" s="341" t="s">
        <v>522</v>
      </c>
      <c r="C5" s="636" t="s">
        <v>13</v>
      </c>
      <c r="D5" s="189" t="s">
        <v>322</v>
      </c>
    </row>
    <row r="6" spans="1:4" x14ac:dyDescent="0.25">
      <c r="A6" s="635"/>
      <c r="B6" s="57"/>
      <c r="C6" s="636"/>
      <c r="D6" s="190" t="s">
        <v>613</v>
      </c>
    </row>
    <row r="7" spans="1:4" x14ac:dyDescent="0.25">
      <c r="A7" s="635"/>
      <c r="B7" s="183" t="s">
        <v>318</v>
      </c>
      <c r="C7" s="636" t="s">
        <v>13</v>
      </c>
      <c r="D7" s="189" t="s">
        <v>323</v>
      </c>
    </row>
    <row r="8" spans="1:4" x14ac:dyDescent="0.25">
      <c r="A8" s="635"/>
      <c r="B8" s="57"/>
      <c r="C8" s="636"/>
      <c r="D8" s="190" t="s">
        <v>324</v>
      </c>
    </row>
    <row r="9" spans="1:4" x14ac:dyDescent="0.25">
      <c r="A9" s="635"/>
      <c r="B9" s="183" t="s">
        <v>15</v>
      </c>
      <c r="C9" s="636" t="s">
        <v>13</v>
      </c>
      <c r="D9" s="189" t="s">
        <v>325</v>
      </c>
    </row>
    <row r="10" spans="1:4" x14ac:dyDescent="0.25">
      <c r="A10" s="635"/>
      <c r="B10" s="57"/>
      <c r="C10" s="636"/>
      <c r="D10" s="190" t="s">
        <v>326</v>
      </c>
    </row>
    <row r="11" spans="1:4" x14ac:dyDescent="0.25">
      <c r="A11" s="635"/>
      <c r="B11" s="183" t="s">
        <v>16</v>
      </c>
      <c r="C11" s="636" t="s">
        <v>13</v>
      </c>
      <c r="D11" s="189" t="s">
        <v>327</v>
      </c>
    </row>
    <row r="12" spans="1:4" x14ac:dyDescent="0.25">
      <c r="A12" s="635"/>
      <c r="B12" s="58"/>
      <c r="C12" s="636"/>
      <c r="D12" s="190" t="s">
        <v>328</v>
      </c>
    </row>
    <row r="13" spans="1:4" x14ac:dyDescent="0.25">
      <c r="A13" s="635" t="s">
        <v>17</v>
      </c>
      <c r="B13" s="635" t="s">
        <v>16</v>
      </c>
      <c r="C13" s="636" t="s">
        <v>13</v>
      </c>
      <c r="D13" s="189" t="s">
        <v>327</v>
      </c>
    </row>
    <row r="14" spans="1:4" x14ac:dyDescent="0.25">
      <c r="A14" s="635"/>
      <c r="B14" s="635"/>
      <c r="C14" s="636"/>
      <c r="D14" s="190" t="s">
        <v>328</v>
      </c>
    </row>
    <row r="15" spans="1:4" x14ac:dyDescent="0.25">
      <c r="A15" s="635" t="s">
        <v>18</v>
      </c>
      <c r="B15" s="635" t="s">
        <v>19</v>
      </c>
      <c r="C15" s="636" t="s">
        <v>13</v>
      </c>
      <c r="D15" s="189" t="s">
        <v>329</v>
      </c>
    </row>
    <row r="16" spans="1:4" x14ac:dyDescent="0.25">
      <c r="A16" s="635"/>
      <c r="B16" s="635"/>
      <c r="C16" s="636"/>
      <c r="D16" s="190" t="s">
        <v>330</v>
      </c>
    </row>
    <row r="17" spans="1:4" x14ac:dyDescent="0.25">
      <c r="A17" s="639" t="s">
        <v>492</v>
      </c>
      <c r="B17" s="635" t="s">
        <v>19</v>
      </c>
      <c r="C17" s="636" t="s">
        <v>13</v>
      </c>
      <c r="D17" s="189" t="s">
        <v>329</v>
      </c>
    </row>
    <row r="18" spans="1:4" x14ac:dyDescent="0.25">
      <c r="A18" s="635"/>
      <c r="B18" s="635"/>
      <c r="C18" s="636"/>
      <c r="D18" s="190" t="s">
        <v>330</v>
      </c>
    </row>
    <row r="19" spans="1:4" x14ac:dyDescent="0.25">
      <c r="A19" s="640" t="s">
        <v>320</v>
      </c>
      <c r="B19" s="640" t="s">
        <v>20</v>
      </c>
      <c r="C19" s="636" t="s">
        <v>13</v>
      </c>
      <c r="D19" s="404" t="s">
        <v>331</v>
      </c>
    </row>
    <row r="20" spans="1:4" ht="13.8" customHeight="1" x14ac:dyDescent="0.25">
      <c r="A20" s="640"/>
      <c r="B20" s="640"/>
      <c r="C20" s="636"/>
      <c r="D20" s="405" t="s">
        <v>332</v>
      </c>
    </row>
    <row r="21" spans="1:4" x14ac:dyDescent="0.25">
      <c r="A21" s="635" t="s">
        <v>21</v>
      </c>
      <c r="B21" s="635" t="s">
        <v>20</v>
      </c>
      <c r="C21" s="636" t="s">
        <v>13</v>
      </c>
      <c r="D21" s="189" t="s">
        <v>331</v>
      </c>
    </row>
    <row r="22" spans="1:4" x14ac:dyDescent="0.25">
      <c r="A22" s="635"/>
      <c r="B22" s="635"/>
      <c r="C22" s="636"/>
      <c r="D22" s="190" t="s">
        <v>332</v>
      </c>
    </row>
    <row r="23" spans="1:4" x14ac:dyDescent="0.25">
      <c r="A23" s="635" t="s">
        <v>22</v>
      </c>
      <c r="B23" s="639" t="s">
        <v>428</v>
      </c>
      <c r="C23" s="636" t="s">
        <v>13</v>
      </c>
      <c r="D23" s="189" t="s">
        <v>321</v>
      </c>
    </row>
    <row r="24" spans="1:4" x14ac:dyDescent="0.25">
      <c r="A24" s="635"/>
      <c r="B24" s="635"/>
      <c r="C24" s="636"/>
      <c r="D24" s="190" t="s">
        <v>426</v>
      </c>
    </row>
    <row r="25" spans="1:4" x14ac:dyDescent="0.25">
      <c r="A25" s="178"/>
      <c r="B25" s="178"/>
      <c r="C25" s="179"/>
      <c r="D25" s="190"/>
    </row>
    <row r="26" spans="1:4" x14ac:dyDescent="0.25">
      <c r="A26" s="192"/>
      <c r="B26" s="192"/>
      <c r="C26" s="193"/>
      <c r="D26" s="190"/>
    </row>
    <row r="28" spans="1:4" x14ac:dyDescent="0.25">
      <c r="A28" s="637" t="s">
        <v>363</v>
      </c>
      <c r="B28" s="637"/>
      <c r="C28" s="637"/>
      <c r="D28" s="637"/>
    </row>
    <row r="29" spans="1:4" x14ac:dyDescent="0.25">
      <c r="A29" s="5"/>
    </row>
    <row r="30" spans="1:4" ht="15.6" x14ac:dyDescent="0.25">
      <c r="A30" s="135" t="s">
        <v>364</v>
      </c>
      <c r="B30" s="134" t="s">
        <v>365</v>
      </c>
      <c r="C30" s="114" t="s">
        <v>366</v>
      </c>
      <c r="D30" s="191" t="s">
        <v>367</v>
      </c>
    </row>
    <row r="31" spans="1:4" x14ac:dyDescent="0.25">
      <c r="A31" s="135" t="s">
        <v>368</v>
      </c>
      <c r="B31" s="134" t="s">
        <v>369</v>
      </c>
      <c r="C31" s="114" t="s">
        <v>370</v>
      </c>
      <c r="D31" s="191" t="s">
        <v>371</v>
      </c>
    </row>
    <row r="32" spans="1:4" x14ac:dyDescent="0.25">
      <c r="A32" s="135" t="s">
        <v>372</v>
      </c>
      <c r="B32" s="134" t="s">
        <v>373</v>
      </c>
      <c r="C32" s="114" t="s">
        <v>374</v>
      </c>
      <c r="D32" s="191" t="s">
        <v>375</v>
      </c>
    </row>
    <row r="33" spans="1:4" x14ac:dyDescent="0.25">
      <c r="A33" s="135" t="s">
        <v>376</v>
      </c>
      <c r="B33" s="134" t="s">
        <v>377</v>
      </c>
      <c r="C33" s="114" t="s">
        <v>378</v>
      </c>
      <c r="D33" s="191" t="s">
        <v>379</v>
      </c>
    </row>
    <row r="34" spans="1:4" x14ac:dyDescent="0.25">
      <c r="A34" s="135" t="s">
        <v>380</v>
      </c>
      <c r="B34" s="134" t="s">
        <v>381</v>
      </c>
      <c r="C34" s="114" t="s">
        <v>382</v>
      </c>
      <c r="D34" s="191" t="s">
        <v>383</v>
      </c>
    </row>
    <row r="35" spans="1:4" x14ac:dyDescent="0.25">
      <c r="A35" s="135" t="s">
        <v>384</v>
      </c>
      <c r="B35" s="134" t="s">
        <v>385</v>
      </c>
      <c r="C35" s="114" t="s">
        <v>264</v>
      </c>
      <c r="D35" s="191" t="s">
        <v>386</v>
      </c>
    </row>
    <row r="36" spans="1:4" ht="15.6" x14ac:dyDescent="0.25">
      <c r="A36" s="135" t="s">
        <v>387</v>
      </c>
      <c r="B36" s="134" t="s">
        <v>388</v>
      </c>
      <c r="C36" s="114"/>
      <c r="D36" s="191"/>
    </row>
    <row r="37" spans="1:4" x14ac:dyDescent="0.25">
      <c r="A37" s="134"/>
      <c r="B37" s="134"/>
      <c r="C37" s="134"/>
      <c r="D37" s="191"/>
    </row>
    <row r="38" spans="1:4" x14ac:dyDescent="0.25">
      <c r="A38" s="115"/>
    </row>
    <row r="39" spans="1:4" x14ac:dyDescent="0.25">
      <c r="A39" s="115"/>
    </row>
    <row r="40" spans="1:4" ht="25.2" customHeight="1" x14ac:dyDescent="0.25">
      <c r="A40" s="637" t="s">
        <v>389</v>
      </c>
      <c r="B40" s="637"/>
      <c r="C40" s="637"/>
      <c r="D40" s="637"/>
    </row>
    <row r="41" spans="1:4" ht="18" customHeight="1" x14ac:dyDescent="0.25">
      <c r="A41" s="115"/>
    </row>
    <row r="42" spans="1:4" ht="12.75" customHeight="1" x14ac:dyDescent="0.25">
      <c r="A42" s="113" t="s">
        <v>347</v>
      </c>
      <c r="B42" s="638" t="s">
        <v>390</v>
      </c>
      <c r="C42" s="638"/>
      <c r="D42" s="638"/>
    </row>
    <row r="43" spans="1:4" x14ac:dyDescent="0.25">
      <c r="A43" s="113" t="s">
        <v>341</v>
      </c>
      <c r="B43" s="638" t="s">
        <v>391</v>
      </c>
      <c r="C43" s="638"/>
    </row>
    <row r="44" spans="1:4" x14ac:dyDescent="0.25">
      <c r="A44" s="116">
        <v>0</v>
      </c>
      <c r="B44" s="634" t="s">
        <v>392</v>
      </c>
      <c r="C44" s="634"/>
      <c r="D44" s="634"/>
    </row>
  </sheetData>
  <mergeCells count="32">
    <mergeCell ref="C7:C8"/>
    <mergeCell ref="C11:C12"/>
    <mergeCell ref="C9:C10"/>
    <mergeCell ref="B19:B20"/>
    <mergeCell ref="C19:C20"/>
    <mergeCell ref="A19:A20"/>
    <mergeCell ref="A1:D1"/>
    <mergeCell ref="A15:A16"/>
    <mergeCell ref="B15:B16"/>
    <mergeCell ref="C15:C16"/>
    <mergeCell ref="A17:A18"/>
    <mergeCell ref="B17:B18"/>
    <mergeCell ref="C17:C18"/>
    <mergeCell ref="A3:A4"/>
    <mergeCell ref="B3:B4"/>
    <mergeCell ref="C3:C4"/>
    <mergeCell ref="A5:A12"/>
    <mergeCell ref="A13:A14"/>
    <mergeCell ref="C5:C6"/>
    <mergeCell ref="B13:B14"/>
    <mergeCell ref="C13:C14"/>
    <mergeCell ref="B44:D44"/>
    <mergeCell ref="A21:A22"/>
    <mergeCell ref="B21:B22"/>
    <mergeCell ref="C21:C22"/>
    <mergeCell ref="A28:D28"/>
    <mergeCell ref="A40:D40"/>
    <mergeCell ref="B43:C43"/>
    <mergeCell ref="A23:A24"/>
    <mergeCell ref="B23:B24"/>
    <mergeCell ref="B42:D42"/>
    <mergeCell ref="C23:C24"/>
  </mergeCells>
  <pageMargins left="0.7" right="0.7" top="0.75" bottom="0.75" header="0.3" footer="0.3"/>
  <pageSetup paperSize="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71"/>
  <sheetViews>
    <sheetView zoomScale="80" zoomScaleNormal="80" zoomScalePageLayoutView="80" workbookViewId="0">
      <selection activeCell="B33" sqref="B33"/>
    </sheetView>
  </sheetViews>
  <sheetFormatPr defaultRowHeight="13.2" x14ac:dyDescent="0.25"/>
  <cols>
    <col min="1" max="1" width="5.5546875" style="196" customWidth="1"/>
    <col min="2" max="2" width="83" style="93" customWidth="1"/>
    <col min="3" max="5" width="8.88671875" style="184"/>
    <col min="6" max="16384" width="8.88671875" style="171"/>
  </cols>
  <sheetData>
    <row r="2" spans="1:2" ht="13.8" x14ac:dyDescent="0.25">
      <c r="B2" s="197" t="s">
        <v>23</v>
      </c>
    </row>
    <row r="3" spans="1:2" x14ac:dyDescent="0.25">
      <c r="B3" s="198"/>
    </row>
    <row r="4" spans="1:2" x14ac:dyDescent="0.25">
      <c r="A4" s="160"/>
      <c r="B4" s="157" t="s">
        <v>11</v>
      </c>
    </row>
    <row r="5" spans="1:2" x14ac:dyDescent="0.25">
      <c r="A5" s="160">
        <v>1</v>
      </c>
      <c r="B5" s="249" t="s">
        <v>342</v>
      </c>
    </row>
    <row r="6" spans="1:2" x14ac:dyDescent="0.25">
      <c r="A6" s="160"/>
      <c r="B6" s="157" t="s">
        <v>315</v>
      </c>
    </row>
    <row r="7" spans="1:2" x14ac:dyDescent="0.25">
      <c r="A7" s="160"/>
      <c r="B7" s="158" t="s">
        <v>282</v>
      </c>
    </row>
    <row r="8" spans="1:2" x14ac:dyDescent="0.25">
      <c r="A8" s="160">
        <v>2</v>
      </c>
      <c r="B8" s="159" t="s">
        <v>345</v>
      </c>
    </row>
    <row r="9" spans="1:2" x14ac:dyDescent="0.25">
      <c r="A9" s="160">
        <v>3</v>
      </c>
      <c r="B9" s="159" t="s">
        <v>55</v>
      </c>
    </row>
    <row r="10" spans="1:2" ht="26.4" x14ac:dyDescent="0.25">
      <c r="A10" s="160">
        <v>4</v>
      </c>
      <c r="B10" s="159" t="s">
        <v>439</v>
      </c>
    </row>
    <row r="11" spans="1:2" x14ac:dyDescent="0.25">
      <c r="A11" s="160">
        <v>5</v>
      </c>
      <c r="B11" s="159" t="s">
        <v>424</v>
      </c>
    </row>
    <row r="12" spans="1:2" ht="17.399999999999999" customHeight="1" x14ac:dyDescent="0.25">
      <c r="A12" s="160"/>
      <c r="B12" s="366" t="s">
        <v>268</v>
      </c>
    </row>
    <row r="13" spans="1:2" x14ac:dyDescent="0.25">
      <c r="A13" s="160">
        <v>6</v>
      </c>
      <c r="B13" s="159" t="str">
        <f>'6'!A3</f>
        <v xml:space="preserve">Валовые сборы основных сельскохозяйственных культур в хозяйствах всех категорий </v>
      </c>
    </row>
    <row r="14" spans="1:2" ht="14.4" customHeight="1" x14ac:dyDescent="0.25">
      <c r="A14" s="160">
        <v>7</v>
      </c>
      <c r="B14" s="411" t="str">
        <f>'7'!A1</f>
        <v>Уборка зерновых и зернобобовых культур сельскохозяйственными организациями</v>
      </c>
    </row>
    <row r="15" spans="1:2" ht="14.4" customHeight="1" x14ac:dyDescent="0.25">
      <c r="A15" s="160">
        <v>8</v>
      </c>
      <c r="B15" s="411" t="str">
        <f>'8'!A1</f>
        <v>Динамика поголовья основных видов скота в сельскохозяйственных организациях</v>
      </c>
    </row>
    <row r="16" spans="1:2" ht="27.6" customHeight="1" x14ac:dyDescent="0.25">
      <c r="A16" s="160">
        <v>9</v>
      </c>
      <c r="B16" s="411" t="s">
        <v>612</v>
      </c>
    </row>
    <row r="17" spans="1:2" x14ac:dyDescent="0.25">
      <c r="A17" s="160"/>
      <c r="B17" s="411" t="s">
        <v>129</v>
      </c>
    </row>
    <row r="18" spans="1:2" x14ac:dyDescent="0.25">
      <c r="A18" s="160">
        <v>10</v>
      </c>
      <c r="B18" s="412" t="str">
        <f>'10'!A3</f>
        <v>Объем работ, выполненных по виду экономической деятельности «строительство»</v>
      </c>
    </row>
    <row r="19" spans="1:2" ht="26.4" x14ac:dyDescent="0.25">
      <c r="A19" s="160">
        <v>11</v>
      </c>
      <c r="B19" s="413" t="str">
        <f>'11'!A1</f>
        <v>Динамика ввода в действие жилых домов (с учетом жилых домов, построенных на земельных участках, предназначенных для ведения гражданами садоводства)</v>
      </c>
    </row>
    <row r="20" spans="1:2" x14ac:dyDescent="0.25">
      <c r="A20" s="160"/>
      <c r="B20" s="413" t="s">
        <v>269</v>
      </c>
    </row>
    <row r="21" spans="1:2" ht="26.4" x14ac:dyDescent="0.25">
      <c r="A21" s="160">
        <v>12</v>
      </c>
      <c r="B21" s="159" t="str">
        <f>'12'!A3</f>
        <v>Динамика грузооборота автомобильного транспорта организаций 
(без субъектов малого предпринимательства) всех видов экономической деятельности</v>
      </c>
    </row>
    <row r="22" spans="1:2" ht="26.4" x14ac:dyDescent="0.25">
      <c r="A22" s="160">
        <v>13</v>
      </c>
      <c r="B22" s="413" t="str">
        <f>'13'!A1</f>
        <v>Динамика пассажирооборота автомобильного транспорта общего пользования (c учетом физических лиц, осуществляющих перевозки пассажиров на коммерческой основе)</v>
      </c>
    </row>
    <row r="23" spans="1:2" ht="16.2" customHeight="1" x14ac:dyDescent="0.25">
      <c r="A23" s="160"/>
      <c r="B23" s="410" t="s">
        <v>316</v>
      </c>
    </row>
    <row r="24" spans="1:2" x14ac:dyDescent="0.25">
      <c r="A24" s="160"/>
      <c r="B24" s="414" t="s">
        <v>137</v>
      </c>
    </row>
    <row r="25" spans="1:2" x14ac:dyDescent="0.25">
      <c r="A25" s="160">
        <v>14</v>
      </c>
      <c r="B25" s="411" t="str">
        <f>'14'!A5</f>
        <v>Динамика оборота розничной торговли</v>
      </c>
    </row>
    <row r="26" spans="1:2" ht="26.4" x14ac:dyDescent="0.25">
      <c r="A26" s="160">
        <v>15</v>
      </c>
      <c r="B26" s="413" t="str">
        <f>'15'!A1</f>
        <v>Оборот розничной торговли торгующих организаций и продажа товаров на розничных рынках и ярмарках</v>
      </c>
    </row>
    <row r="27" spans="1:2" ht="26.4" x14ac:dyDescent="0.25">
      <c r="A27" s="160">
        <v>16</v>
      </c>
      <c r="B27" s="413" t="str">
        <f>'16'!A1</f>
        <v>Динамика оборота розничной торговли пищевыми продуктами, включая напитки, и табачными изделиями, непродовольственными товарами</v>
      </c>
    </row>
    <row r="28" spans="1:2" ht="18.600000000000001" customHeight="1" x14ac:dyDescent="0.25">
      <c r="A28" s="160"/>
      <c r="B28" s="413" t="s">
        <v>147</v>
      </c>
    </row>
    <row r="29" spans="1:2" x14ac:dyDescent="0.25">
      <c r="A29" s="160">
        <v>17</v>
      </c>
      <c r="B29" s="411" t="str">
        <f>'17'!A3</f>
        <v>Динамика объема платных услуг населению</v>
      </c>
    </row>
    <row r="30" spans="1:2" x14ac:dyDescent="0.25">
      <c r="A30" s="160">
        <v>18</v>
      </c>
      <c r="B30" s="411" t="str">
        <f>'18'!A1</f>
        <v>Объем платных услуг населению по видам</v>
      </c>
    </row>
    <row r="31" spans="1:2" x14ac:dyDescent="0.25">
      <c r="A31" s="160"/>
      <c r="B31" s="410" t="s">
        <v>317</v>
      </c>
    </row>
    <row r="32" spans="1:2" x14ac:dyDescent="0.25">
      <c r="A32" s="160"/>
      <c r="B32" s="415" t="s">
        <v>149</v>
      </c>
    </row>
    <row r="33" spans="1:2" x14ac:dyDescent="0.25">
      <c r="A33" s="160">
        <v>19</v>
      </c>
      <c r="B33" s="416" t="str">
        <f>'19'!A5</f>
        <v>Динамика индексов потребительских цен и тарифов на товары и услуги населению</v>
      </c>
    </row>
    <row r="34" spans="1:2" x14ac:dyDescent="0.25">
      <c r="A34" s="160">
        <v>20</v>
      </c>
      <c r="B34" s="413" t="str">
        <f>'20'!A1</f>
        <v>Индексы потребительских цен на отдельные группы и виды продовольственных товаров</v>
      </c>
    </row>
    <row r="35" spans="1:2" x14ac:dyDescent="0.25">
      <c r="A35" s="160">
        <v>21</v>
      </c>
      <c r="B35" s="413" t="str">
        <f>'21'!A1</f>
        <v>Индексы потребительских цен на отдельные группы непродовольственных товаров</v>
      </c>
    </row>
    <row r="36" spans="1:2" x14ac:dyDescent="0.25">
      <c r="A36" s="160">
        <v>22</v>
      </c>
      <c r="B36" s="413" t="str">
        <f>'22'!A1</f>
        <v>Индексы потребительских цен и тарифов на отдельные группы услуг</v>
      </c>
    </row>
    <row r="37" spans="1:2" x14ac:dyDescent="0.25">
      <c r="A37" s="160">
        <v>23</v>
      </c>
      <c r="B37" s="413" t="str">
        <f>'23'!A1</f>
        <v>Индексы цен на жилищные и коммунальные услуги</v>
      </c>
    </row>
    <row r="38" spans="1:2" x14ac:dyDescent="0.25">
      <c r="A38" s="160">
        <v>24</v>
      </c>
      <c r="B38" s="413" t="str">
        <f>'24'!A1</f>
        <v xml:space="preserve">Динамика стоимости фиксированного набора потребительских товаров и услуг </v>
      </c>
    </row>
    <row r="39" spans="1:2" x14ac:dyDescent="0.25">
      <c r="A39" s="160">
        <v>25</v>
      </c>
      <c r="B39" s="413" t="str">
        <f>'25'!A1</f>
        <v>Средние потребительские цены на бензин автомобильный и топливо моторное</v>
      </c>
    </row>
    <row r="40" spans="1:2" ht="21.6" customHeight="1" x14ac:dyDescent="0.25">
      <c r="A40" s="160">
        <v>26</v>
      </c>
      <c r="B40" s="416" t="str">
        <f>'26'!A1</f>
        <v>Индексы потребительских цен на бензин автомобильный и топливо моторное</v>
      </c>
    </row>
    <row r="41" spans="1:2" x14ac:dyDescent="0.25">
      <c r="A41" s="160"/>
      <c r="B41" s="413" t="s">
        <v>207</v>
      </c>
    </row>
    <row r="42" spans="1:2" ht="26.4" x14ac:dyDescent="0.25">
      <c r="A42" s="160">
        <v>27</v>
      </c>
      <c r="B42" s="159" t="str">
        <f>'27'!A3</f>
        <v>Динамика индексов цен производителей промышленных товаров, реализованных на внутреннем рынке</v>
      </c>
    </row>
    <row r="43" spans="1:2" ht="26.4" x14ac:dyDescent="0.25">
      <c r="A43" s="160">
        <v>28</v>
      </c>
      <c r="B43" s="413" t="str">
        <f>'28'!A1</f>
        <v>Индексы цен производителей промышленных товаров, реализованных 
на внутреннем рынке, по отдельным видам экономической деятельности</v>
      </c>
    </row>
    <row r="44" spans="1:2" ht="26.4" x14ac:dyDescent="0.25">
      <c r="A44" s="160">
        <v>29</v>
      </c>
      <c r="B44" s="413" t="str">
        <f>'29'!A1</f>
        <v>Индексы цен производителей отдельных видов промышленных товаров, реализованных на внутреннем рынке</v>
      </c>
    </row>
    <row r="45" spans="1:2" ht="26.4" x14ac:dyDescent="0.25">
      <c r="A45" s="160">
        <v>30</v>
      </c>
      <c r="B45" s="413" t="str">
        <f>'30'!A1</f>
        <v>Динамика индексов цен производителей сельскохозяйственной продукции, реализованной сельскохозяйственными организациями</v>
      </c>
    </row>
    <row r="46" spans="1:2" ht="26.4" x14ac:dyDescent="0.25">
      <c r="A46" s="478">
        <v>31</v>
      </c>
      <c r="B46" s="413" t="str">
        <f>'31'!A1</f>
        <v>Динамика индексов цен на продукцию (затраты, услуги) инвестиционного назначения по элементам технологической структуры</v>
      </c>
    </row>
    <row r="47" spans="1:2" x14ac:dyDescent="0.25">
      <c r="A47" s="478">
        <v>32</v>
      </c>
      <c r="B47" s="413" t="str">
        <f>'32'!A1</f>
        <v xml:space="preserve">Динамика индексов тарифов на грузовые перевозки отдельными видами транспорта </v>
      </c>
    </row>
    <row r="48" spans="1:2" x14ac:dyDescent="0.25">
      <c r="A48" s="160"/>
      <c r="B48" s="417" t="s">
        <v>482</v>
      </c>
    </row>
    <row r="49" spans="1:2" ht="26.4" x14ac:dyDescent="0.25">
      <c r="A49" s="160">
        <v>33</v>
      </c>
      <c r="B49" s="413" t="str">
        <f>'33'!A4</f>
        <v>Просроченная кредиторская задолженность организаций по видам экономической деятельности в июле 2025 года</v>
      </c>
    </row>
    <row r="50" spans="1:2" ht="26.4" x14ac:dyDescent="0.25">
      <c r="A50" s="160">
        <v>34</v>
      </c>
      <c r="B50" s="413" t="str">
        <f>'34'!A1</f>
        <v>Просроченная дебиторская задолженность организаций по видам экономической деятельности в июле 2025 года</v>
      </c>
    </row>
    <row r="51" spans="1:2" x14ac:dyDescent="0.25">
      <c r="A51" s="160"/>
      <c r="B51" s="418" t="s">
        <v>344</v>
      </c>
    </row>
    <row r="52" spans="1:2" x14ac:dyDescent="0.25">
      <c r="A52" s="160"/>
      <c r="B52" s="158" t="s">
        <v>25</v>
      </c>
    </row>
    <row r="53" spans="1:2" ht="26.4" x14ac:dyDescent="0.25">
      <c r="A53" s="160">
        <v>35</v>
      </c>
      <c r="B53" s="413" t="str">
        <f>'35'!A5</f>
        <v xml:space="preserve">Динамика среднемесячной номинальной и реальной начисленной заработной платы одного работника </v>
      </c>
    </row>
    <row r="54" spans="1:2" ht="26.4" x14ac:dyDescent="0.25">
      <c r="A54" s="160">
        <v>36</v>
      </c>
      <c r="B54" s="413" t="str">
        <f>'36'!A1</f>
        <v>Среднемесячная номинальная начисленная заработная плата (без выплат социального характера) одного работника по видам экономической деятельности</v>
      </c>
    </row>
    <row r="55" spans="1:2" ht="26.4" x14ac:dyDescent="0.25">
      <c r="A55" s="160">
        <v>37</v>
      </c>
      <c r="B55" s="413" t="str">
        <f>'37'!A1</f>
        <v>Динамика просроченной задолженности по заработной плате организаций
 (без субъектов малого предпринимательства)</v>
      </c>
    </row>
    <row r="56" spans="1:2" x14ac:dyDescent="0.25">
      <c r="A56" s="160"/>
      <c r="B56" s="419" t="s">
        <v>348</v>
      </c>
    </row>
    <row r="57" spans="1:2" ht="14.4" customHeight="1" x14ac:dyDescent="0.25">
      <c r="A57" s="160">
        <v>38</v>
      </c>
      <c r="B57" s="412" t="s">
        <v>524</v>
      </c>
    </row>
    <row r="58" spans="1:2" ht="26.4" customHeight="1" x14ac:dyDescent="0.25">
      <c r="A58" s="160">
        <v>39</v>
      </c>
      <c r="B58" s="411" t="str">
        <f>'39'!A1</f>
        <v xml:space="preserve">Динамика численности незанятых трудовой деятельностью граждан, зарегистрированных в органах службы занятости населения 
</v>
      </c>
    </row>
    <row r="59" spans="1:2" x14ac:dyDescent="0.25">
      <c r="A59" s="160">
        <v>40</v>
      </c>
      <c r="B59" s="410" t="s">
        <v>618</v>
      </c>
    </row>
    <row r="64" spans="1:2" x14ac:dyDescent="0.25">
      <c r="B64" s="365"/>
    </row>
    <row r="65" spans="2:2" x14ac:dyDescent="0.25">
      <c r="B65" s="365"/>
    </row>
    <row r="66" spans="2:2" x14ac:dyDescent="0.25">
      <c r="B66" s="365"/>
    </row>
    <row r="67" spans="2:2" x14ac:dyDescent="0.25">
      <c r="B67" s="365"/>
    </row>
    <row r="68" spans="2:2" x14ac:dyDescent="0.25">
      <c r="B68" s="365"/>
    </row>
    <row r="69" spans="2:2" x14ac:dyDescent="0.25">
      <c r="B69" s="365"/>
    </row>
    <row r="70" spans="2:2" x14ac:dyDescent="0.25">
      <c r="B70" s="365"/>
    </row>
    <row r="71" spans="2:2" x14ac:dyDescent="0.25">
      <c r="B71" s="365"/>
    </row>
  </sheetData>
  <hyperlinks>
    <hyperlink ref="B8" location="'2'!A1" display="Динамика индекса промышленного производства"/>
    <hyperlink ref="B9" location="'3'!A1" display="'3'!A1"/>
    <hyperlink ref="B10" location="'4'!A1" display="'4'!A1"/>
    <hyperlink ref="B11" location="'5'!A1" display="'5'!A1"/>
    <hyperlink ref="B5" location="'1'!A1" display="I. ОСНОВНЫЕ ЭКОНОМИЧЕСКИЕ И СОЦИАЛЬНЫЕ ПОКАЗАТЕЛИ "/>
    <hyperlink ref="B53" location="'35'!A1" display="'35'!A1"/>
    <hyperlink ref="B55" location="'37'!A1" display="'37'!A1"/>
    <hyperlink ref="B14" location="'7'!A1" display="Производство основных видов продукции животноводства в сельскохозяйственных организациях"/>
    <hyperlink ref="B13" location="'6'!A1" display="'6'!A1"/>
    <hyperlink ref="B58" location="'39'!A1" display="'39'!A1"/>
    <hyperlink ref="B59" location="'40'!A1" display="VIII. МЕТОДОЛОГИЧЕСКИЕ ПОЯСНЕНИЯ"/>
    <hyperlink ref="B18" location="'10'!A1" display="'10'!A1"/>
    <hyperlink ref="B19" location="'11'!A1" display="'11'!A1"/>
    <hyperlink ref="B21" location="'12'!A1" display="'12'!A1"/>
    <hyperlink ref="B22" location="'13'!A1" display="'13'!A1"/>
    <hyperlink ref="B25" location="'14'!A1" display="'14'!A1"/>
    <hyperlink ref="B26" location="'15'!A1" display="'15'!A1"/>
    <hyperlink ref="B29" location="'17'!A1" display="'17'!A1"/>
    <hyperlink ref="B33" location="'19'!A1" display="'19'!A1"/>
    <hyperlink ref="B34" location="'20'!A1" display="'20'!A1"/>
    <hyperlink ref="B35" location="'21'!A1" display="'21'!A1"/>
    <hyperlink ref="B36" location="'22'!A1" display="'22'!A1"/>
    <hyperlink ref="B37" location="'23'!A1" display="'23'!A1"/>
    <hyperlink ref="B38" location="'24'!A1" display="'24'!A1"/>
    <hyperlink ref="B39" location="'25'!A1" display="'25'!A1"/>
    <hyperlink ref="B40" location="'26'!A1" display="'26'!A1"/>
    <hyperlink ref="B42" location="'27'!A1" display="'27'!A1"/>
    <hyperlink ref="B43" location="'28'!A1" display="'28'!A1"/>
    <hyperlink ref="B44" location="'29'!A1" display="'29'!A1"/>
    <hyperlink ref="B45" location="'30'!A1" display="'30'!A1"/>
    <hyperlink ref="B46" location="'31'!A1" display="'31'!A1"/>
    <hyperlink ref="B49" location="'33'!A1" display="'33'!A1"/>
    <hyperlink ref="B50" location="'34'!A1" display="'34'!A1"/>
    <hyperlink ref="B57" location="'38'!A1" display="Число замещенных рабочих мест в организациях (без субъектов малого предпринимательства) "/>
    <hyperlink ref="B54" location="'36'!A1" display="'36'!A1"/>
    <hyperlink ref="B47" location="'32'!A1" display="'32'!A1"/>
    <hyperlink ref="B30" location="'18'!A1" display="'18'!A1"/>
    <hyperlink ref="B27" location="'16'!A1" display="'16'!A1"/>
    <hyperlink ref="B16" location="'9'!A1" display="Производство основных видов продукции животноводства в сельскохозяйственных организациях"/>
    <hyperlink ref="B15" location="'8'!A1" display="'8'!A1"/>
  </hyperlinks>
  <pageMargins left="0.7" right="0.7" top="0.75" bottom="0.75" header="0.3" footer="0.3"/>
  <pageSetup paperSize="9"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2"/>
  <sheetViews>
    <sheetView tabSelected="1" zoomScale="80" zoomScaleNormal="80" zoomScalePageLayoutView="90" workbookViewId="0">
      <selection activeCell="M8" sqref="M8"/>
    </sheetView>
  </sheetViews>
  <sheetFormatPr defaultRowHeight="13.2" x14ac:dyDescent="0.25"/>
  <cols>
    <col min="1" max="1" width="40.6640625" customWidth="1"/>
    <col min="2" max="2" width="16.44140625" customWidth="1"/>
    <col min="3" max="3" width="17" customWidth="1"/>
    <col min="4" max="4" width="14.6640625" customWidth="1"/>
    <col min="5" max="5" width="16.44140625" customWidth="1"/>
    <col min="6" max="6" width="18.44140625" customWidth="1"/>
  </cols>
  <sheetData>
    <row r="1" spans="1:6" ht="13.8" customHeight="1" x14ac:dyDescent="0.25">
      <c r="A1" s="643" t="s">
        <v>314</v>
      </c>
      <c r="B1" s="643"/>
      <c r="C1" s="643"/>
      <c r="D1" s="643"/>
      <c r="E1" s="643"/>
      <c r="F1" s="643"/>
    </row>
    <row r="2" spans="1:6" x14ac:dyDescent="0.25">
      <c r="A2" s="17"/>
      <c r="B2" s="17"/>
      <c r="C2" s="17"/>
    </row>
    <row r="3" spans="1:6" ht="16.2" customHeight="1" x14ac:dyDescent="0.25">
      <c r="A3" s="647"/>
      <c r="B3" s="644" t="s">
        <v>631</v>
      </c>
      <c r="C3" s="644" t="s">
        <v>355</v>
      </c>
      <c r="D3" s="644" t="s">
        <v>630</v>
      </c>
      <c r="E3" s="644" t="s">
        <v>506</v>
      </c>
      <c r="F3" s="283" t="s">
        <v>497</v>
      </c>
    </row>
    <row r="4" spans="1:6" ht="77.400000000000006" customHeight="1" x14ac:dyDescent="0.25">
      <c r="A4" s="648"/>
      <c r="B4" s="649"/>
      <c r="C4" s="649"/>
      <c r="D4" s="649"/>
      <c r="E4" s="645"/>
      <c r="F4" s="555" t="s">
        <v>671</v>
      </c>
    </row>
    <row r="5" spans="1:6" ht="21.6" customHeight="1" x14ac:dyDescent="0.25">
      <c r="A5" s="567" t="s">
        <v>27</v>
      </c>
      <c r="B5" s="570"/>
      <c r="C5" s="571">
        <v>98.5</v>
      </c>
      <c r="D5" s="572"/>
      <c r="E5" s="573">
        <v>97.7</v>
      </c>
      <c r="F5" s="574">
        <v>100.9</v>
      </c>
    </row>
    <row r="6" spans="1:6" ht="43.2" customHeight="1" x14ac:dyDescent="0.25">
      <c r="A6" s="66" t="s">
        <v>28</v>
      </c>
      <c r="B6" s="575">
        <v>25744.5</v>
      </c>
      <c r="C6" s="576">
        <v>118.2</v>
      </c>
      <c r="D6" s="577">
        <v>175279.3</v>
      </c>
      <c r="E6" s="246">
        <v>129.9</v>
      </c>
      <c r="F6" s="578">
        <v>82.4</v>
      </c>
    </row>
    <row r="7" spans="1:6" ht="70.2" customHeight="1" x14ac:dyDescent="0.25">
      <c r="A7" s="568" t="s">
        <v>343</v>
      </c>
      <c r="B7" s="579">
        <v>194852</v>
      </c>
      <c r="C7" s="576">
        <v>101.9</v>
      </c>
      <c r="D7" s="580">
        <v>1538724</v>
      </c>
      <c r="E7" s="246">
        <v>90.1</v>
      </c>
      <c r="F7" s="578">
        <v>119</v>
      </c>
    </row>
    <row r="8" spans="1:6" ht="39.6" x14ac:dyDescent="0.25">
      <c r="A8" s="245" t="s">
        <v>360</v>
      </c>
      <c r="B8" s="581">
        <v>180.8</v>
      </c>
      <c r="C8" s="108">
        <v>99.3</v>
      </c>
      <c r="D8" s="582">
        <v>1383.2</v>
      </c>
      <c r="E8" s="340">
        <v>116.8</v>
      </c>
      <c r="F8" s="559">
        <v>113</v>
      </c>
    </row>
    <row r="9" spans="1:6" x14ac:dyDescent="0.25">
      <c r="A9" s="245" t="s">
        <v>361</v>
      </c>
      <c r="B9" s="575">
        <v>61894.6</v>
      </c>
      <c r="C9" s="576">
        <v>103.6</v>
      </c>
      <c r="D9" s="577">
        <v>465118.2</v>
      </c>
      <c r="E9" s="246">
        <v>102</v>
      </c>
      <c r="F9" s="578">
        <v>114.2</v>
      </c>
    </row>
    <row r="10" spans="1:6" ht="15.6" customHeight="1" x14ac:dyDescent="0.25">
      <c r="A10" s="245" t="s">
        <v>356</v>
      </c>
      <c r="B10" s="575">
        <v>19929.7</v>
      </c>
      <c r="C10" s="576">
        <v>101.9</v>
      </c>
      <c r="D10" s="577">
        <v>150317.20000000001</v>
      </c>
      <c r="E10" s="561">
        <v>104.8</v>
      </c>
      <c r="F10" s="578">
        <v>106.5</v>
      </c>
    </row>
    <row r="11" spans="1:6" ht="26.4" x14ac:dyDescent="0.25">
      <c r="A11" s="66" t="s">
        <v>30</v>
      </c>
      <c r="B11" s="583"/>
      <c r="C11" s="511">
        <v>108.36</v>
      </c>
      <c r="D11" s="536"/>
      <c r="E11" s="511">
        <v>108.58</v>
      </c>
      <c r="F11" s="584">
        <v>106.8</v>
      </c>
    </row>
    <row r="12" spans="1:6" ht="42" x14ac:dyDescent="0.25">
      <c r="A12" s="66" t="s">
        <v>31</v>
      </c>
      <c r="B12" s="583"/>
      <c r="C12" s="585">
        <v>84.6</v>
      </c>
      <c r="D12" s="536"/>
      <c r="E12" s="586">
        <v>96.61</v>
      </c>
      <c r="F12" s="587">
        <v>114.34</v>
      </c>
    </row>
    <row r="13" spans="1:6" ht="55.8" customHeight="1" x14ac:dyDescent="0.25">
      <c r="A13" s="101" t="s">
        <v>419</v>
      </c>
      <c r="B13" s="583"/>
      <c r="C13" s="586">
        <v>104.74</v>
      </c>
      <c r="D13" s="536"/>
      <c r="E13" s="586">
        <v>104.76</v>
      </c>
      <c r="F13" s="588">
        <v>110.82</v>
      </c>
    </row>
    <row r="14" spans="1:6" ht="40.200000000000003" customHeight="1" x14ac:dyDescent="0.25">
      <c r="A14" s="245" t="s">
        <v>266</v>
      </c>
      <c r="B14" s="583"/>
      <c r="C14" s="589">
        <v>108.4</v>
      </c>
      <c r="D14" s="590"/>
      <c r="E14" s="589">
        <v>108.1</v>
      </c>
      <c r="F14" s="591">
        <v>108.1</v>
      </c>
    </row>
    <row r="15" spans="1:6" ht="26.4" x14ac:dyDescent="0.25">
      <c r="A15" s="245" t="s">
        <v>267</v>
      </c>
      <c r="B15" s="583"/>
      <c r="C15" s="585">
        <v>109.93</v>
      </c>
      <c r="D15" s="590"/>
      <c r="E15" s="585">
        <v>109.9</v>
      </c>
      <c r="F15" s="591">
        <v>107.4</v>
      </c>
    </row>
    <row r="16" spans="1:6" ht="28.8" x14ac:dyDescent="0.25">
      <c r="A16" s="167" t="s">
        <v>35</v>
      </c>
      <c r="B16" s="592"/>
      <c r="C16" s="593"/>
      <c r="D16" s="594"/>
      <c r="E16" s="561"/>
      <c r="F16" s="595"/>
    </row>
    <row r="17" spans="1:6" x14ac:dyDescent="0.25">
      <c r="A17" s="99" t="s">
        <v>32</v>
      </c>
      <c r="B17" s="596">
        <v>93419</v>
      </c>
      <c r="C17" s="597">
        <v>113.2</v>
      </c>
      <c r="D17" s="598">
        <v>90213</v>
      </c>
      <c r="E17" s="599">
        <v>111.8</v>
      </c>
      <c r="F17" s="600">
        <v>115.8</v>
      </c>
    </row>
    <row r="18" spans="1:6" x14ac:dyDescent="0.25">
      <c r="A18" s="99" t="s">
        <v>33</v>
      </c>
      <c r="B18" s="601"/>
      <c r="C18" s="597">
        <v>103.8</v>
      </c>
      <c r="D18" s="602"/>
      <c r="E18" s="599">
        <v>102.9</v>
      </c>
      <c r="F18" s="600">
        <v>108.6</v>
      </c>
    </row>
    <row r="19" spans="1:6" ht="28.2" customHeight="1" x14ac:dyDescent="0.25">
      <c r="A19" s="569" t="s">
        <v>36</v>
      </c>
      <c r="B19" s="603">
        <v>2.5</v>
      </c>
      <c r="C19" s="487">
        <v>122.1</v>
      </c>
      <c r="D19" s="604"/>
      <c r="E19" s="488"/>
      <c r="F19" s="605"/>
    </row>
    <row r="20" spans="1:6" x14ac:dyDescent="0.25">
      <c r="A20" s="650"/>
      <c r="B20" s="650"/>
      <c r="C20" s="650"/>
      <c r="D20" s="650"/>
    </row>
    <row r="21" spans="1:6" s="95" customFormat="1" ht="43.2" customHeight="1" x14ac:dyDescent="0.25">
      <c r="A21" s="646" t="s">
        <v>34</v>
      </c>
      <c r="B21" s="646"/>
      <c r="C21" s="646"/>
      <c r="D21" s="646"/>
      <c r="E21" s="646"/>
      <c r="F21" s="646"/>
    </row>
    <row r="22" spans="1:6" ht="18.600000000000001" customHeight="1" x14ac:dyDescent="0.25">
      <c r="A22" s="642" t="s">
        <v>666</v>
      </c>
      <c r="B22" s="642"/>
      <c r="C22" s="642"/>
      <c r="D22" s="642"/>
      <c r="E22" s="642"/>
      <c r="F22" s="642"/>
    </row>
  </sheetData>
  <mergeCells count="9">
    <mergeCell ref="A22:F22"/>
    <mergeCell ref="A1:F1"/>
    <mergeCell ref="E3:E4"/>
    <mergeCell ref="A21:F21"/>
    <mergeCell ref="A3:A4"/>
    <mergeCell ref="B3:B4"/>
    <mergeCell ref="C3:C4"/>
    <mergeCell ref="A20:D20"/>
    <mergeCell ref="D3:D4"/>
  </mergeCells>
  <pageMargins left="0.7" right="0.7" top="0.75" bottom="0.75" header="0.3" footer="0.3"/>
  <pageSetup paperSize="9" scale="72"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
  <sheetViews>
    <sheetView zoomScale="80" zoomScaleNormal="80" workbookViewId="0">
      <selection activeCell="D6" sqref="D6"/>
    </sheetView>
  </sheetViews>
  <sheetFormatPr defaultRowHeight="13.2" x14ac:dyDescent="0.25"/>
  <cols>
    <col min="1" max="1" width="33.33203125" customWidth="1"/>
    <col min="2" max="2" width="26.6640625" customWidth="1"/>
    <col min="3" max="3" width="27.109375" customWidth="1"/>
  </cols>
  <sheetData>
    <row r="1" spans="1:3" ht="13.8" x14ac:dyDescent="0.25">
      <c r="A1" s="651" t="s">
        <v>315</v>
      </c>
      <c r="B1" s="651"/>
      <c r="C1" s="651"/>
    </row>
    <row r="3" spans="1:3" ht="13.8" x14ac:dyDescent="0.25">
      <c r="A3" s="653" t="s">
        <v>282</v>
      </c>
      <c r="B3" s="653"/>
      <c r="C3" s="653"/>
    </row>
    <row r="4" spans="1:3" ht="13.8" x14ac:dyDescent="0.25">
      <c r="A4" s="21"/>
      <c r="B4" s="22"/>
      <c r="C4" s="20"/>
    </row>
    <row r="5" spans="1:3" ht="16.2" x14ac:dyDescent="0.25">
      <c r="A5" s="654" t="s">
        <v>667</v>
      </c>
      <c r="B5" s="654"/>
      <c r="C5" s="654"/>
    </row>
    <row r="6" spans="1:3" ht="15.6" x14ac:dyDescent="0.25">
      <c r="A6" s="71"/>
      <c r="B6" s="56"/>
      <c r="C6" s="56"/>
    </row>
    <row r="7" spans="1:3" x14ac:dyDescent="0.25">
      <c r="A7" s="647"/>
      <c r="B7" s="655" t="s">
        <v>37</v>
      </c>
      <c r="C7" s="656"/>
    </row>
    <row r="8" spans="1:3" ht="33.6" customHeight="1" x14ac:dyDescent="0.25">
      <c r="A8" s="657"/>
      <c r="B8" s="215" t="s">
        <v>173</v>
      </c>
      <c r="C8" s="206" t="s">
        <v>39</v>
      </c>
    </row>
    <row r="9" spans="1:3" x14ac:dyDescent="0.25">
      <c r="A9" s="257" t="s">
        <v>485</v>
      </c>
      <c r="B9" s="119"/>
      <c r="C9" s="119"/>
    </row>
    <row r="10" spans="1:3" x14ac:dyDescent="0.25">
      <c r="A10" s="139" t="s">
        <v>40</v>
      </c>
      <c r="B10" s="481">
        <v>94.6</v>
      </c>
      <c r="C10" s="375">
        <v>98</v>
      </c>
    </row>
    <row r="11" spans="1:3" x14ac:dyDescent="0.25">
      <c r="A11" s="18" t="s">
        <v>41</v>
      </c>
      <c r="B11" s="481">
        <v>95.8</v>
      </c>
      <c r="C11" s="481">
        <v>95.3</v>
      </c>
    </row>
    <row r="12" spans="1:3" x14ac:dyDescent="0.25">
      <c r="A12" s="70" t="s">
        <v>42</v>
      </c>
      <c r="B12" s="481">
        <v>110.1</v>
      </c>
      <c r="C12" s="481">
        <v>96.4</v>
      </c>
    </row>
    <row r="13" spans="1:3" x14ac:dyDescent="0.25">
      <c r="A13" s="77" t="s">
        <v>43</v>
      </c>
      <c r="B13" s="481"/>
      <c r="C13" s="481">
        <v>96.5</v>
      </c>
    </row>
    <row r="14" spans="1:3" x14ac:dyDescent="0.25">
      <c r="A14" s="372" t="s">
        <v>44</v>
      </c>
      <c r="B14" s="481">
        <v>90.2</v>
      </c>
      <c r="C14" s="481">
        <v>92.6</v>
      </c>
    </row>
    <row r="15" spans="1:3" x14ac:dyDescent="0.25">
      <c r="A15" s="18" t="s">
        <v>45</v>
      </c>
      <c r="B15" s="481">
        <v>96.1</v>
      </c>
      <c r="C15" s="481">
        <v>91.1</v>
      </c>
    </row>
    <row r="16" spans="1:3" x14ac:dyDescent="0.25">
      <c r="A16" s="18" t="s">
        <v>46</v>
      </c>
      <c r="B16" s="481">
        <v>101</v>
      </c>
      <c r="C16" s="481">
        <v>102.9</v>
      </c>
    </row>
    <row r="17" spans="1:4" x14ac:dyDescent="0.25">
      <c r="A17" s="24" t="s">
        <v>47</v>
      </c>
      <c r="B17" s="481"/>
      <c r="C17" s="481">
        <v>95.9</v>
      </c>
    </row>
    <row r="18" spans="1:4" x14ac:dyDescent="0.25">
      <c r="A18" s="70" t="s">
        <v>48</v>
      </c>
      <c r="B18" s="343">
        <v>116.6</v>
      </c>
      <c r="C18" s="343">
        <v>107.5</v>
      </c>
    </row>
    <row r="19" spans="1:4" x14ac:dyDescent="0.25">
      <c r="A19" s="70" t="s">
        <v>26</v>
      </c>
      <c r="B19" s="343">
        <v>100.4</v>
      </c>
      <c r="C19" s="343">
        <v>98.5</v>
      </c>
    </row>
    <row r="20" spans="1:4" x14ac:dyDescent="0.25">
      <c r="A20" s="24" t="s">
        <v>632</v>
      </c>
      <c r="B20" s="481"/>
      <c r="C20" s="481">
        <v>97.7</v>
      </c>
    </row>
    <row r="21" spans="1:4" x14ac:dyDescent="0.25">
      <c r="A21" s="126" t="s">
        <v>432</v>
      </c>
      <c r="B21" s="481"/>
      <c r="C21" s="481"/>
    </row>
    <row r="22" spans="1:4" x14ac:dyDescent="0.25">
      <c r="A22" s="139" t="s">
        <v>40</v>
      </c>
      <c r="B22" s="375">
        <v>93.9</v>
      </c>
      <c r="C22" s="375">
        <v>102.6</v>
      </c>
      <c r="D22" s="267"/>
    </row>
    <row r="23" spans="1:4" x14ac:dyDescent="0.25">
      <c r="A23" s="18" t="s">
        <v>41</v>
      </c>
      <c r="B23" s="375">
        <v>98.5</v>
      </c>
      <c r="C23" s="375">
        <v>105.2</v>
      </c>
      <c r="D23" s="267"/>
    </row>
    <row r="24" spans="1:4" x14ac:dyDescent="0.25">
      <c r="A24" s="70" t="s">
        <v>42</v>
      </c>
      <c r="B24" s="375">
        <v>108.9</v>
      </c>
      <c r="C24" s="375">
        <v>101.8</v>
      </c>
      <c r="D24" s="267"/>
    </row>
    <row r="25" spans="1:4" x14ac:dyDescent="0.25">
      <c r="A25" s="77" t="s">
        <v>43</v>
      </c>
      <c r="B25" s="375"/>
      <c r="C25" s="375">
        <v>103.1</v>
      </c>
      <c r="D25" s="267"/>
    </row>
    <row r="26" spans="1:4" x14ac:dyDescent="0.25">
      <c r="A26" s="18" t="s">
        <v>44</v>
      </c>
      <c r="B26" s="375">
        <v>93.8</v>
      </c>
      <c r="C26" s="375">
        <v>102.2</v>
      </c>
      <c r="D26" s="267"/>
    </row>
    <row r="27" spans="1:4" x14ac:dyDescent="0.25">
      <c r="A27" s="18" t="s">
        <v>45</v>
      </c>
      <c r="B27" s="375">
        <v>97.7</v>
      </c>
      <c r="C27" s="375">
        <v>102.7</v>
      </c>
      <c r="D27" s="267"/>
    </row>
    <row r="28" spans="1:4" x14ac:dyDescent="0.25">
      <c r="A28" s="18" t="s">
        <v>46</v>
      </c>
      <c r="B28" s="375">
        <v>89.4</v>
      </c>
      <c r="C28" s="375">
        <v>92</v>
      </c>
      <c r="D28" s="267"/>
    </row>
    <row r="29" spans="1:4" x14ac:dyDescent="0.25">
      <c r="A29" s="24" t="s">
        <v>47</v>
      </c>
      <c r="B29" s="375"/>
      <c r="C29" s="375">
        <v>101.1</v>
      </c>
      <c r="D29" s="267"/>
    </row>
    <row r="30" spans="1:4" x14ac:dyDescent="0.25">
      <c r="A30" s="70" t="s">
        <v>48</v>
      </c>
      <c r="B30" s="375">
        <v>111.6</v>
      </c>
      <c r="C30" s="375">
        <v>97.4</v>
      </c>
      <c r="D30" s="267"/>
    </row>
    <row r="31" spans="1:4" x14ac:dyDescent="0.25">
      <c r="A31" s="70" t="s">
        <v>26</v>
      </c>
      <c r="B31" s="375">
        <v>109.4</v>
      </c>
      <c r="C31" s="375">
        <v>103.4</v>
      </c>
      <c r="D31" s="267"/>
    </row>
    <row r="32" spans="1:4" x14ac:dyDescent="0.25">
      <c r="A32" s="70" t="s">
        <v>49</v>
      </c>
      <c r="B32" s="375">
        <v>94.1</v>
      </c>
      <c r="C32" s="375">
        <v>98.3</v>
      </c>
      <c r="D32" s="267"/>
    </row>
    <row r="33" spans="1:4" x14ac:dyDescent="0.25">
      <c r="A33" s="77" t="s">
        <v>50</v>
      </c>
      <c r="B33" s="375"/>
      <c r="C33" s="375">
        <v>100.6</v>
      </c>
      <c r="D33" s="267"/>
    </row>
    <row r="34" spans="1:4" x14ac:dyDescent="0.25">
      <c r="A34" s="19" t="s">
        <v>51</v>
      </c>
      <c r="B34" s="375">
        <v>102.6</v>
      </c>
      <c r="C34" s="375">
        <v>96.1</v>
      </c>
      <c r="D34" s="267"/>
    </row>
    <row r="35" spans="1:4" x14ac:dyDescent="0.25">
      <c r="A35" s="140" t="s">
        <v>52</v>
      </c>
      <c r="B35" s="375">
        <v>93.1</v>
      </c>
      <c r="C35" s="375">
        <v>93.8</v>
      </c>
      <c r="D35" s="267"/>
    </row>
    <row r="36" spans="1:4" x14ac:dyDescent="0.25">
      <c r="A36" s="18" t="s">
        <v>53</v>
      </c>
      <c r="B36" s="375">
        <v>107.3</v>
      </c>
      <c r="C36" s="375">
        <v>97.2</v>
      </c>
      <c r="D36" s="267"/>
    </row>
    <row r="37" spans="1:4" x14ac:dyDescent="0.25">
      <c r="A37" s="131" t="s">
        <v>54</v>
      </c>
      <c r="B37" s="489"/>
      <c r="C37" s="490">
        <v>99.3</v>
      </c>
      <c r="D37" s="267"/>
    </row>
    <row r="38" spans="1:4" x14ac:dyDescent="0.25">
      <c r="A38" s="154"/>
      <c r="B38" s="258"/>
      <c r="C38" s="258"/>
    </row>
    <row r="39" spans="1:4" ht="48.6" customHeight="1" x14ac:dyDescent="0.25">
      <c r="A39" s="652" t="s">
        <v>34</v>
      </c>
      <c r="B39" s="652"/>
      <c r="C39" s="652"/>
    </row>
  </sheetData>
  <mergeCells count="6">
    <mergeCell ref="A1:C1"/>
    <mergeCell ref="A39:C39"/>
    <mergeCell ref="A3:C3"/>
    <mergeCell ref="A5:C5"/>
    <mergeCell ref="B7:C7"/>
    <mergeCell ref="A7:A8"/>
  </mergeCells>
  <pageMargins left="0.7" right="0.7" top="0.75" bottom="0.75" header="0.3" footer="0.3"/>
  <pageSetup paperSize="9"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zoomScale="80" zoomScaleNormal="80" workbookViewId="0">
      <selection activeCell="D6" sqref="D6"/>
    </sheetView>
  </sheetViews>
  <sheetFormatPr defaultRowHeight="13.2" x14ac:dyDescent="0.25"/>
  <cols>
    <col min="1" max="1" width="42.88671875" customWidth="1"/>
    <col min="2" max="3" width="21.109375" customWidth="1"/>
    <col min="4" max="4" width="6.77734375" customWidth="1"/>
  </cols>
  <sheetData>
    <row r="1" spans="1:3" ht="21.6" customHeight="1" x14ac:dyDescent="0.25">
      <c r="A1" s="643" t="s">
        <v>55</v>
      </c>
      <c r="B1" s="643"/>
      <c r="C1" s="643"/>
    </row>
    <row r="2" spans="1:3" x14ac:dyDescent="0.25">
      <c r="A2" s="25"/>
      <c r="B2" s="25"/>
    </row>
    <row r="3" spans="1:3" ht="79.2" x14ac:dyDescent="0.25">
      <c r="A3" s="326"/>
      <c r="B3" s="327" t="s">
        <v>634</v>
      </c>
      <c r="C3" s="327" t="s">
        <v>633</v>
      </c>
    </row>
    <row r="4" spans="1:3" x14ac:dyDescent="0.25">
      <c r="A4" s="315" t="s">
        <v>56</v>
      </c>
      <c r="B4" s="613">
        <v>100.8</v>
      </c>
      <c r="C4" s="614">
        <v>100.4</v>
      </c>
    </row>
    <row r="5" spans="1:3" x14ac:dyDescent="0.25">
      <c r="A5" s="271" t="s">
        <v>57</v>
      </c>
      <c r="B5" s="482">
        <v>105.4</v>
      </c>
      <c r="C5" s="615">
        <v>96.9</v>
      </c>
    </row>
    <row r="6" spans="1:3" ht="26.4" x14ac:dyDescent="0.25">
      <c r="A6" s="84" t="s">
        <v>58</v>
      </c>
      <c r="B6" s="482">
        <v>143.4</v>
      </c>
      <c r="C6" s="615">
        <v>139.6</v>
      </c>
    </row>
    <row r="7" spans="1:3" x14ac:dyDescent="0.25">
      <c r="A7" s="236" t="s">
        <v>59</v>
      </c>
      <c r="B7" s="482">
        <v>98</v>
      </c>
      <c r="C7" s="615">
        <v>96.8</v>
      </c>
    </row>
    <row r="8" spans="1:3" x14ac:dyDescent="0.25">
      <c r="A8" s="200" t="s">
        <v>60</v>
      </c>
      <c r="B8" s="482">
        <v>94.8</v>
      </c>
      <c r="C8" s="615">
        <v>95.4</v>
      </c>
    </row>
    <row r="9" spans="1:3" x14ac:dyDescent="0.25">
      <c r="A9" s="200" t="s">
        <v>61</v>
      </c>
      <c r="B9" s="482">
        <v>114.6</v>
      </c>
      <c r="C9" s="615">
        <v>105.5</v>
      </c>
    </row>
    <row r="10" spans="1:3" x14ac:dyDescent="0.25">
      <c r="A10" s="200" t="s">
        <v>76</v>
      </c>
      <c r="B10" s="482">
        <v>182.3</v>
      </c>
      <c r="C10" s="615">
        <v>98.9</v>
      </c>
    </row>
    <row r="11" spans="1:3" x14ac:dyDescent="0.25">
      <c r="A11" s="200" t="s">
        <v>77</v>
      </c>
      <c r="B11" s="482">
        <v>93.2</v>
      </c>
      <c r="C11" s="615">
        <v>100.2</v>
      </c>
    </row>
    <row r="12" spans="1:3" s="95" customFormat="1" x14ac:dyDescent="0.25">
      <c r="A12" s="200" t="s">
        <v>78</v>
      </c>
      <c r="B12" s="482" t="s">
        <v>673</v>
      </c>
      <c r="C12" s="615">
        <v>95.2</v>
      </c>
    </row>
    <row r="13" spans="1:3" ht="52.8" x14ac:dyDescent="0.25">
      <c r="A13" s="316" t="s">
        <v>62</v>
      </c>
      <c r="B13" s="482">
        <v>91.1</v>
      </c>
      <c r="C13" s="615">
        <v>97.1</v>
      </c>
    </row>
    <row r="14" spans="1:3" x14ac:dyDescent="0.25">
      <c r="A14" s="317" t="s">
        <v>63</v>
      </c>
      <c r="B14" s="482">
        <v>81.099999999999994</v>
      </c>
      <c r="C14" s="615">
        <v>90.9</v>
      </c>
    </row>
    <row r="15" spans="1:3" ht="26.4" x14ac:dyDescent="0.25">
      <c r="A15" s="200" t="s">
        <v>64</v>
      </c>
      <c r="B15" s="482">
        <v>93.1</v>
      </c>
      <c r="C15" s="615">
        <v>104.5</v>
      </c>
    </row>
    <row r="16" spans="1:3" x14ac:dyDescent="0.25">
      <c r="A16" s="200" t="s">
        <v>65</v>
      </c>
      <c r="B16" s="482">
        <v>103</v>
      </c>
      <c r="C16" s="615">
        <v>100.8</v>
      </c>
    </row>
    <row r="17" spans="1:3" ht="26.4" x14ac:dyDescent="0.25">
      <c r="A17" s="200" t="s">
        <v>66</v>
      </c>
      <c r="B17" s="482">
        <v>96.3</v>
      </c>
      <c r="C17" s="615">
        <v>94.4</v>
      </c>
    </row>
    <row r="18" spans="1:3" ht="39.6" x14ac:dyDescent="0.25">
      <c r="A18" s="271" t="s">
        <v>435</v>
      </c>
      <c r="B18" s="482">
        <v>120.6</v>
      </c>
      <c r="C18" s="615">
        <v>104</v>
      </c>
    </row>
    <row r="19" spans="1:3" ht="26.4" x14ac:dyDescent="0.25">
      <c r="A19" s="316" t="s">
        <v>67</v>
      </c>
      <c r="B19" s="482">
        <v>94.7</v>
      </c>
      <c r="C19" s="615">
        <v>92.3</v>
      </c>
    </row>
    <row r="20" spans="1:3" ht="26.4" x14ac:dyDescent="0.25">
      <c r="A20" s="316" t="s">
        <v>68</v>
      </c>
      <c r="B20" s="482">
        <v>96.5</v>
      </c>
      <c r="C20" s="615">
        <v>98.7</v>
      </c>
    </row>
    <row r="21" spans="1:3" x14ac:dyDescent="0.25">
      <c r="A21" s="200" t="s">
        <v>79</v>
      </c>
      <c r="B21" s="483">
        <v>99.9</v>
      </c>
      <c r="C21" s="616">
        <v>93.9</v>
      </c>
    </row>
    <row r="22" spans="1:3" ht="26.4" x14ac:dyDescent="0.25">
      <c r="A22" s="316" t="s">
        <v>69</v>
      </c>
      <c r="B22" s="483">
        <v>78.599999999999994</v>
      </c>
      <c r="C22" s="616">
        <v>80.2</v>
      </c>
    </row>
    <row r="23" spans="1:3" ht="26.4" x14ac:dyDescent="0.25">
      <c r="A23" s="200" t="s">
        <v>70</v>
      </c>
      <c r="B23" s="483">
        <v>90.3</v>
      </c>
      <c r="C23" s="616">
        <v>106.7</v>
      </c>
    </row>
    <row r="24" spans="1:3" x14ac:dyDescent="0.25">
      <c r="A24" s="200" t="s">
        <v>80</v>
      </c>
      <c r="B24" s="483">
        <v>86.9</v>
      </c>
      <c r="C24" s="616">
        <v>84.9</v>
      </c>
    </row>
    <row r="25" spans="1:3" ht="26.4" x14ac:dyDescent="0.25">
      <c r="A25" s="200" t="s">
        <v>71</v>
      </c>
      <c r="B25" s="483">
        <v>119.8</v>
      </c>
      <c r="C25" s="483">
        <v>154.9</v>
      </c>
    </row>
    <row r="26" spans="1:3" ht="26.4" x14ac:dyDescent="0.25">
      <c r="A26" s="200" t="s">
        <v>81</v>
      </c>
      <c r="B26" s="483">
        <v>94.7</v>
      </c>
      <c r="C26" s="483">
        <v>84.2</v>
      </c>
    </row>
    <row r="27" spans="1:3" ht="26.4" x14ac:dyDescent="0.25">
      <c r="A27" s="316" t="s">
        <v>82</v>
      </c>
      <c r="B27" s="483">
        <v>105.8</v>
      </c>
      <c r="C27" s="483">
        <v>136.1</v>
      </c>
    </row>
    <row r="28" spans="1:3" x14ac:dyDescent="0.25">
      <c r="A28" s="200" t="s">
        <v>72</v>
      </c>
      <c r="B28" s="483">
        <v>99.5</v>
      </c>
      <c r="C28" s="483">
        <v>90.8</v>
      </c>
    </row>
    <row r="29" spans="1:3" x14ac:dyDescent="0.25">
      <c r="A29" s="271" t="s">
        <v>436</v>
      </c>
      <c r="B29" s="483">
        <v>112.9</v>
      </c>
      <c r="C29" s="483">
        <v>104.7</v>
      </c>
    </row>
    <row r="30" spans="1:3" x14ac:dyDescent="0.25">
      <c r="A30" s="200" t="s">
        <v>73</v>
      </c>
      <c r="B30" s="483">
        <v>108</v>
      </c>
      <c r="C30" s="483">
        <v>128.6</v>
      </c>
    </row>
    <row r="31" spans="1:3" ht="26.4" x14ac:dyDescent="0.25">
      <c r="A31" s="318" t="s">
        <v>74</v>
      </c>
      <c r="B31" s="483">
        <v>95</v>
      </c>
      <c r="C31" s="483">
        <v>97.3</v>
      </c>
    </row>
    <row r="32" spans="1:3" ht="39.6" x14ac:dyDescent="0.25">
      <c r="A32" s="319" t="s">
        <v>75</v>
      </c>
      <c r="B32" s="484">
        <v>99.1</v>
      </c>
      <c r="C32" s="484">
        <v>91.6</v>
      </c>
    </row>
    <row r="33" spans="2:3" x14ac:dyDescent="0.25">
      <c r="B33" s="95"/>
      <c r="C33" s="95"/>
    </row>
  </sheetData>
  <mergeCells count="1">
    <mergeCell ref="A1:C1"/>
  </mergeCells>
  <pageMargins left="0.7" right="0.7" top="0.75" bottom="0.75" header="0.3" footer="0.3"/>
  <pageSetup paperSize="9"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zoomScale="80" zoomScaleNormal="80" workbookViewId="0">
      <selection activeCell="D6" sqref="D6"/>
    </sheetView>
  </sheetViews>
  <sheetFormatPr defaultRowHeight="13.2" x14ac:dyDescent="0.25"/>
  <cols>
    <col min="1" max="1" width="42.88671875" customWidth="1"/>
    <col min="2" max="2" width="16" style="90" customWidth="1"/>
    <col min="3" max="3" width="14.5546875" style="90" customWidth="1"/>
    <col min="4" max="5" width="16" customWidth="1"/>
  </cols>
  <sheetData>
    <row r="1" spans="1:6" ht="32.25" customHeight="1" x14ac:dyDescent="0.25">
      <c r="A1" s="660" t="s">
        <v>439</v>
      </c>
      <c r="B1" s="660"/>
      <c r="C1" s="660"/>
      <c r="D1" s="660"/>
      <c r="E1" s="660"/>
    </row>
    <row r="2" spans="1:6" ht="13.8" x14ac:dyDescent="0.25">
      <c r="A2" s="28"/>
      <c r="B2" s="238"/>
      <c r="C2" s="238"/>
      <c r="D2" s="20"/>
    </row>
    <row r="3" spans="1:6" x14ac:dyDescent="0.25">
      <c r="A3" s="661" t="s">
        <v>83</v>
      </c>
      <c r="B3" s="661"/>
      <c r="C3" s="661"/>
      <c r="D3" s="661"/>
      <c r="E3" s="661"/>
    </row>
    <row r="4" spans="1:6" ht="13.2" customHeight="1" x14ac:dyDescent="0.25">
      <c r="A4" s="647"/>
      <c r="B4" s="658" t="s">
        <v>636</v>
      </c>
      <c r="C4" s="659"/>
      <c r="D4" s="658" t="s">
        <v>635</v>
      </c>
      <c r="E4" s="659"/>
    </row>
    <row r="5" spans="1:6" ht="79.2" customHeight="1" x14ac:dyDescent="0.25">
      <c r="A5" s="648"/>
      <c r="B5" s="442" t="s">
        <v>29</v>
      </c>
      <c r="C5" s="443" t="s">
        <v>507</v>
      </c>
      <c r="D5" s="442" t="s">
        <v>29</v>
      </c>
      <c r="E5" s="439" t="s">
        <v>508</v>
      </c>
    </row>
    <row r="6" spans="1:6" x14ac:dyDescent="0.25">
      <c r="A6" s="24" t="s">
        <v>56</v>
      </c>
      <c r="B6" s="557">
        <v>23539.7</v>
      </c>
      <c r="C6" s="338">
        <v>75</v>
      </c>
      <c r="D6" s="556">
        <v>198354.2</v>
      </c>
      <c r="E6" s="338">
        <v>82.1</v>
      </c>
      <c r="F6" s="56"/>
    </row>
    <row r="7" spans="1:6" x14ac:dyDescent="0.25">
      <c r="A7" s="27" t="s">
        <v>357</v>
      </c>
      <c r="B7" s="557">
        <v>20682.8</v>
      </c>
      <c r="C7" s="338">
        <v>71.599999999999994</v>
      </c>
      <c r="D7" s="556">
        <v>177670.2</v>
      </c>
      <c r="E7" s="338">
        <v>79</v>
      </c>
      <c r="F7" s="56"/>
    </row>
    <row r="8" spans="1:6" x14ac:dyDescent="0.25">
      <c r="A8" s="78" t="s">
        <v>57</v>
      </c>
      <c r="B8" s="557">
        <v>454.7</v>
      </c>
      <c r="C8" s="338">
        <v>118.5</v>
      </c>
      <c r="D8" s="556">
        <v>2378.1</v>
      </c>
      <c r="E8" s="338">
        <v>127.9</v>
      </c>
      <c r="F8" s="440"/>
    </row>
    <row r="9" spans="1:6" ht="26.4" x14ac:dyDescent="0.25">
      <c r="A9" s="78" t="s">
        <v>58</v>
      </c>
      <c r="B9" s="557">
        <v>2402.1999999999998</v>
      </c>
      <c r="C9" s="338">
        <v>113.3</v>
      </c>
      <c r="D9" s="556">
        <v>18305.8</v>
      </c>
      <c r="E9" s="338">
        <v>122.6</v>
      </c>
      <c r="F9" s="440"/>
    </row>
    <row r="10" spans="1:6" x14ac:dyDescent="0.25">
      <c r="A10" s="77" t="s">
        <v>59</v>
      </c>
      <c r="B10" s="557">
        <v>106141.3</v>
      </c>
      <c r="C10" s="338">
        <v>87.2</v>
      </c>
      <c r="D10" s="556">
        <v>912087.2</v>
      </c>
      <c r="E10" s="338">
        <v>95.8</v>
      </c>
      <c r="F10" s="56"/>
    </row>
    <row r="11" spans="1:6" x14ac:dyDescent="0.25">
      <c r="A11" s="85" t="s">
        <v>60</v>
      </c>
      <c r="B11" s="608">
        <v>6287.5</v>
      </c>
      <c r="C11" s="448">
        <v>109.6</v>
      </c>
      <c r="D11" s="609">
        <v>49275.4</v>
      </c>
      <c r="E11" s="338">
        <v>108.3</v>
      </c>
      <c r="F11" s="56"/>
    </row>
    <row r="12" spans="1:6" x14ac:dyDescent="0.25">
      <c r="A12" s="85" t="s">
        <v>61</v>
      </c>
      <c r="B12" s="557">
        <v>203.8</v>
      </c>
      <c r="C12" s="610">
        <v>121.6</v>
      </c>
      <c r="D12" s="556">
        <v>1824.5</v>
      </c>
      <c r="E12" s="338">
        <v>96.4</v>
      </c>
      <c r="F12" s="440"/>
    </row>
    <row r="13" spans="1:6" x14ac:dyDescent="0.25">
      <c r="A13" s="85" t="s">
        <v>76</v>
      </c>
      <c r="B13" s="557">
        <v>21.6</v>
      </c>
      <c r="C13" s="338">
        <v>74.400000000000006</v>
      </c>
      <c r="D13" s="556">
        <v>220.3</v>
      </c>
      <c r="E13" s="338">
        <v>138.19999999999999</v>
      </c>
      <c r="F13" s="440"/>
    </row>
    <row r="14" spans="1:6" x14ac:dyDescent="0.25">
      <c r="A14" s="85" t="s">
        <v>77</v>
      </c>
      <c r="B14" s="557">
        <v>17.399999999999999</v>
      </c>
      <c r="C14" s="338">
        <v>36.700000000000003</v>
      </c>
      <c r="D14" s="556">
        <v>231.9</v>
      </c>
      <c r="E14" s="338">
        <v>51.3</v>
      </c>
      <c r="F14" s="440"/>
    </row>
    <row r="15" spans="1:6" s="95" customFormat="1" x14ac:dyDescent="0.25">
      <c r="A15" s="85" t="s">
        <v>78</v>
      </c>
      <c r="B15" s="557">
        <v>2.2999999999999998</v>
      </c>
      <c r="C15" s="338" t="s">
        <v>444</v>
      </c>
      <c r="D15" s="556">
        <v>11.5</v>
      </c>
      <c r="E15" s="338">
        <v>17.2</v>
      </c>
      <c r="F15" s="56"/>
    </row>
    <row r="16" spans="1:6" ht="52.8" x14ac:dyDescent="0.25">
      <c r="A16" s="85" t="s">
        <v>62</v>
      </c>
      <c r="B16" s="557">
        <v>415.4</v>
      </c>
      <c r="C16" s="338">
        <v>79.099999999999994</v>
      </c>
      <c r="D16" s="556">
        <v>3429.6</v>
      </c>
      <c r="E16" s="338">
        <v>114.8</v>
      </c>
      <c r="F16" s="440"/>
    </row>
    <row r="17" spans="1:6" x14ac:dyDescent="0.25">
      <c r="A17" s="85" t="s">
        <v>63</v>
      </c>
      <c r="B17" s="557">
        <v>307.8</v>
      </c>
      <c r="C17" s="338">
        <v>93.3</v>
      </c>
      <c r="D17" s="556">
        <v>3065.8</v>
      </c>
      <c r="E17" s="338">
        <v>101.5</v>
      </c>
      <c r="F17" s="56"/>
    </row>
    <row r="18" spans="1:6" ht="26.4" x14ac:dyDescent="0.25">
      <c r="A18" s="85" t="s">
        <v>64</v>
      </c>
      <c r="B18" s="557">
        <v>110.8</v>
      </c>
      <c r="C18" s="338">
        <v>125.9</v>
      </c>
      <c r="D18" s="556">
        <v>743.3</v>
      </c>
      <c r="E18" s="338">
        <v>127.5</v>
      </c>
      <c r="F18" s="56"/>
    </row>
    <row r="19" spans="1:6" x14ac:dyDescent="0.25">
      <c r="A19" s="85" t="s">
        <v>65</v>
      </c>
      <c r="B19" s="557">
        <v>44280.6</v>
      </c>
      <c r="C19" s="338">
        <v>100.1</v>
      </c>
      <c r="D19" s="556">
        <v>377424.5</v>
      </c>
      <c r="E19" s="338">
        <v>115.2</v>
      </c>
      <c r="F19" s="56"/>
    </row>
    <row r="20" spans="1:6" ht="26.4" x14ac:dyDescent="0.25">
      <c r="A20" s="85" t="s">
        <v>66</v>
      </c>
      <c r="B20" s="557">
        <v>33868.1</v>
      </c>
      <c r="C20" s="338">
        <v>71</v>
      </c>
      <c r="D20" s="556">
        <v>285869</v>
      </c>
      <c r="E20" s="338">
        <v>71.5</v>
      </c>
      <c r="F20" s="56"/>
    </row>
    <row r="21" spans="1:6" ht="39.6" x14ac:dyDescent="0.25">
      <c r="A21" s="78" t="s">
        <v>435</v>
      </c>
      <c r="B21" s="557">
        <v>752.4</v>
      </c>
      <c r="C21" s="338">
        <v>100.6</v>
      </c>
      <c r="D21" s="556">
        <v>7375.5</v>
      </c>
      <c r="E21" s="338">
        <v>125.2</v>
      </c>
      <c r="F21" s="56"/>
    </row>
    <row r="22" spans="1:6" ht="26.4" x14ac:dyDescent="0.25">
      <c r="A22" s="85" t="s">
        <v>67</v>
      </c>
      <c r="B22" s="557">
        <v>4900.7</v>
      </c>
      <c r="C22" s="338">
        <v>82.7</v>
      </c>
      <c r="D22" s="556">
        <v>41320.800000000003</v>
      </c>
      <c r="E22" s="338">
        <v>95.4</v>
      </c>
      <c r="F22" s="56"/>
    </row>
    <row r="23" spans="1:6" ht="30.6" customHeight="1" x14ac:dyDescent="0.25">
      <c r="A23" s="199" t="s">
        <v>68</v>
      </c>
      <c r="B23" s="557">
        <v>3549.3</v>
      </c>
      <c r="C23" s="338">
        <v>104.5</v>
      </c>
      <c r="D23" s="556">
        <v>26352.3</v>
      </c>
      <c r="E23" s="338">
        <v>104.8</v>
      </c>
      <c r="F23" s="56"/>
    </row>
    <row r="24" spans="1:6" ht="13.95" customHeight="1" x14ac:dyDescent="0.25">
      <c r="A24" s="199" t="s">
        <v>525</v>
      </c>
      <c r="B24" s="557">
        <v>3130</v>
      </c>
      <c r="C24" s="338">
        <v>88.3</v>
      </c>
      <c r="D24" s="556">
        <v>22583.1</v>
      </c>
      <c r="E24" s="338">
        <v>84.8</v>
      </c>
      <c r="F24" s="56"/>
    </row>
    <row r="25" spans="1:6" ht="27" customHeight="1" x14ac:dyDescent="0.25">
      <c r="A25" s="85" t="s">
        <v>69</v>
      </c>
      <c r="B25" s="557">
        <v>2386.9</v>
      </c>
      <c r="C25" s="338">
        <v>105.5</v>
      </c>
      <c r="D25" s="556">
        <v>20464.099999999999</v>
      </c>
      <c r="E25" s="338">
        <v>106.9</v>
      </c>
      <c r="F25" s="56"/>
    </row>
    <row r="26" spans="1:6" ht="26.4" x14ac:dyDescent="0.25">
      <c r="A26" s="85" t="s">
        <v>70</v>
      </c>
      <c r="B26" s="557">
        <v>136.6</v>
      </c>
      <c r="C26" s="338">
        <v>79.8</v>
      </c>
      <c r="D26" s="556">
        <v>2155.1</v>
      </c>
      <c r="E26" s="338">
        <v>102.3</v>
      </c>
      <c r="F26" s="440"/>
    </row>
    <row r="27" spans="1:6" x14ac:dyDescent="0.25">
      <c r="A27" s="85" t="s">
        <v>80</v>
      </c>
      <c r="B27" s="557">
        <v>1461.7</v>
      </c>
      <c r="C27" s="338">
        <v>87.3</v>
      </c>
      <c r="D27" s="556">
        <v>10665</v>
      </c>
      <c r="E27" s="338">
        <v>84.4</v>
      </c>
      <c r="F27" s="56"/>
    </row>
    <row r="28" spans="1:6" ht="26.4" x14ac:dyDescent="0.25">
      <c r="A28" s="85" t="s">
        <v>71</v>
      </c>
      <c r="B28" s="557">
        <v>1626.8</v>
      </c>
      <c r="C28" s="338">
        <v>68.900000000000006</v>
      </c>
      <c r="D28" s="556">
        <v>36060.5</v>
      </c>
      <c r="E28" s="338" t="s">
        <v>489</v>
      </c>
      <c r="F28" s="440"/>
    </row>
    <row r="29" spans="1:6" ht="26.4" x14ac:dyDescent="0.25">
      <c r="A29" s="85" t="s">
        <v>81</v>
      </c>
      <c r="B29" s="557">
        <v>367.8</v>
      </c>
      <c r="C29" s="610">
        <v>40.700000000000003</v>
      </c>
      <c r="D29" s="556">
        <v>4148.6000000000004</v>
      </c>
      <c r="E29" s="610">
        <v>76.7</v>
      </c>
      <c r="F29" s="56"/>
    </row>
    <row r="30" spans="1:6" ht="26.4" x14ac:dyDescent="0.25">
      <c r="A30" s="85" t="s">
        <v>82</v>
      </c>
      <c r="B30" s="557">
        <v>305</v>
      </c>
      <c r="C30" s="338" t="s">
        <v>674</v>
      </c>
      <c r="D30" s="556">
        <v>743.5</v>
      </c>
      <c r="E30" s="338" t="s">
        <v>509</v>
      </c>
      <c r="F30" s="56"/>
    </row>
    <row r="31" spans="1:6" x14ac:dyDescent="0.25">
      <c r="A31" s="85" t="s">
        <v>72</v>
      </c>
      <c r="B31" s="557">
        <v>167.2</v>
      </c>
      <c r="C31" s="338">
        <v>116.7</v>
      </c>
      <c r="D31" s="556">
        <v>1288.7</v>
      </c>
      <c r="E31" s="338">
        <v>106.9</v>
      </c>
      <c r="F31" s="56"/>
    </row>
    <row r="32" spans="1:6" x14ac:dyDescent="0.25">
      <c r="A32" s="199" t="s">
        <v>436</v>
      </c>
      <c r="B32" s="557">
        <v>166.1</v>
      </c>
      <c r="C32" s="338">
        <v>149.80000000000001</v>
      </c>
      <c r="D32" s="556">
        <v>1126</v>
      </c>
      <c r="E32" s="338">
        <v>148.9</v>
      </c>
      <c r="F32" s="449"/>
    </row>
    <row r="33" spans="1:6" x14ac:dyDescent="0.25">
      <c r="A33" s="85" t="s">
        <v>73</v>
      </c>
      <c r="B33" s="557">
        <v>1675.6</v>
      </c>
      <c r="C33" s="338">
        <v>106.1</v>
      </c>
      <c r="D33" s="556">
        <v>15708.4</v>
      </c>
      <c r="E33" s="338">
        <v>140.19999999999999</v>
      </c>
      <c r="F33" s="449"/>
    </row>
    <row r="34" spans="1:6" ht="26.4" x14ac:dyDescent="0.25">
      <c r="A34" s="77" t="s">
        <v>74</v>
      </c>
      <c r="B34" s="557">
        <v>5174.5</v>
      </c>
      <c r="C34" s="338">
        <v>130</v>
      </c>
      <c r="D34" s="556">
        <v>56232</v>
      </c>
      <c r="E34" s="338">
        <v>122.5</v>
      </c>
      <c r="F34" s="56"/>
    </row>
    <row r="35" spans="1:6" ht="39.6" x14ac:dyDescent="0.25">
      <c r="A35" s="161" t="s">
        <v>75</v>
      </c>
      <c r="B35" s="611">
        <v>3024.7</v>
      </c>
      <c r="C35" s="367">
        <v>97.5</v>
      </c>
      <c r="D35" s="612">
        <v>19764.2</v>
      </c>
      <c r="E35" s="367">
        <v>92.7</v>
      </c>
      <c r="F35" s="56"/>
    </row>
    <row r="36" spans="1:6" x14ac:dyDescent="0.25">
      <c r="A36" s="20"/>
      <c r="B36" s="56"/>
      <c r="C36" s="56"/>
      <c r="D36" s="56"/>
      <c r="E36" s="56"/>
      <c r="F36" s="20"/>
    </row>
    <row r="37" spans="1:6" x14ac:dyDescent="0.25">
      <c r="B37" s="237"/>
      <c r="C37" s="237"/>
      <c r="D37" s="95"/>
      <c r="E37" s="95"/>
      <c r="F37" s="95"/>
    </row>
    <row r="38" spans="1:6" x14ac:dyDescent="0.25">
      <c r="B38" s="237"/>
      <c r="C38" s="237"/>
      <c r="D38" s="95"/>
      <c r="E38" s="95"/>
      <c r="F38" s="95"/>
    </row>
    <row r="39" spans="1:6" x14ac:dyDescent="0.25">
      <c r="B39" s="237"/>
      <c r="C39" s="237"/>
      <c r="D39" s="95"/>
      <c r="E39" s="95"/>
      <c r="F39" s="95"/>
    </row>
    <row r="40" spans="1:6" x14ac:dyDescent="0.25">
      <c r="B40" s="237"/>
      <c r="C40" s="237"/>
      <c r="D40" s="95"/>
      <c r="E40" s="95"/>
      <c r="F40" s="95"/>
    </row>
  </sheetData>
  <mergeCells count="5">
    <mergeCell ref="B4:C4"/>
    <mergeCell ref="A4:A5"/>
    <mergeCell ref="D4:E4"/>
    <mergeCell ref="A1:E1"/>
    <mergeCell ref="A3:E3"/>
  </mergeCells>
  <pageMargins left="0.7" right="0.7" top="0.75" bottom="0.75" header="0.3" footer="0.3"/>
  <pageSetup paperSize="9" scale="84"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colBreaks count="1" manualBreakCount="1">
    <brk id="5"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86"/>
  <sheetViews>
    <sheetView zoomScale="80" zoomScaleNormal="80" workbookViewId="0">
      <selection activeCell="D6" sqref="D6"/>
    </sheetView>
  </sheetViews>
  <sheetFormatPr defaultRowHeight="13.2" x14ac:dyDescent="0.25"/>
  <cols>
    <col min="1" max="1" width="32.88671875" customWidth="1"/>
    <col min="2" max="2" width="13.88671875" customWidth="1"/>
    <col min="3" max="3" width="14.33203125" customWidth="1"/>
    <col min="4" max="4" width="14.77734375" customWidth="1"/>
    <col min="5" max="5" width="15.33203125" style="95" customWidth="1"/>
    <col min="6" max="6" width="14.5546875" customWidth="1"/>
    <col min="7" max="7" width="5.109375" customWidth="1"/>
  </cols>
  <sheetData>
    <row r="1" spans="1:7" ht="13.8" x14ac:dyDescent="0.25">
      <c r="A1" s="662" t="s">
        <v>424</v>
      </c>
      <c r="B1" s="662"/>
      <c r="C1" s="662"/>
      <c r="D1" s="662"/>
      <c r="E1" s="662"/>
      <c r="F1" s="662"/>
    </row>
    <row r="2" spans="1:7" x14ac:dyDescent="0.25">
      <c r="A2" s="29"/>
      <c r="B2" s="20"/>
      <c r="C2" s="20"/>
      <c r="D2" s="20"/>
      <c r="E2"/>
    </row>
    <row r="3" spans="1:7" ht="13.2" customHeight="1" x14ac:dyDescent="0.25">
      <c r="A3" s="664"/>
      <c r="B3" s="644" t="s">
        <v>636</v>
      </c>
      <c r="C3" s="666" t="s">
        <v>37</v>
      </c>
      <c r="D3" s="667"/>
      <c r="E3" s="644" t="s">
        <v>635</v>
      </c>
      <c r="F3" s="644" t="s">
        <v>637</v>
      </c>
    </row>
    <row r="4" spans="1:7" ht="54.6" customHeight="1" x14ac:dyDescent="0.25">
      <c r="A4" s="665"/>
      <c r="B4" s="663"/>
      <c r="C4" s="479" t="s">
        <v>173</v>
      </c>
      <c r="D4" s="480" t="s">
        <v>619</v>
      </c>
      <c r="E4" s="663"/>
      <c r="F4" s="663"/>
    </row>
    <row r="5" spans="1:7" ht="13.2" customHeight="1" x14ac:dyDescent="0.25">
      <c r="A5" s="77" t="s">
        <v>56</v>
      </c>
      <c r="B5" s="559"/>
      <c r="C5" s="108"/>
      <c r="D5" s="559"/>
      <c r="E5" s="560"/>
      <c r="F5" s="561"/>
      <c r="G5" s="440"/>
    </row>
    <row r="6" spans="1:7" x14ac:dyDescent="0.25">
      <c r="A6" s="91" t="s">
        <v>358</v>
      </c>
      <c r="B6" s="559"/>
      <c r="C6" s="108"/>
      <c r="D6" s="559"/>
      <c r="E6" s="561"/>
      <c r="F6" s="561"/>
      <c r="G6" s="440"/>
    </row>
    <row r="7" spans="1:7" ht="42" x14ac:dyDescent="0.25">
      <c r="A7" s="251" t="s">
        <v>518</v>
      </c>
      <c r="B7" s="559">
        <v>27</v>
      </c>
      <c r="C7" s="108">
        <v>118.8</v>
      </c>
      <c r="D7" s="559">
        <v>109.5</v>
      </c>
      <c r="E7" s="559">
        <v>179</v>
      </c>
      <c r="F7" s="559">
        <v>89</v>
      </c>
      <c r="G7" s="440"/>
    </row>
    <row r="8" spans="1:7" ht="17.399999999999999" customHeight="1" x14ac:dyDescent="0.25">
      <c r="A8" s="70" t="s">
        <v>84</v>
      </c>
      <c r="B8" s="559"/>
      <c r="C8" s="108"/>
      <c r="D8" s="559"/>
      <c r="E8" s="559"/>
      <c r="F8" s="559"/>
      <c r="G8" s="440"/>
    </row>
    <row r="9" spans="1:7" ht="15.6" x14ac:dyDescent="0.25">
      <c r="A9" s="78" t="s">
        <v>85</v>
      </c>
      <c r="B9" s="559">
        <v>1398.6</v>
      </c>
      <c r="C9" s="108">
        <v>181.5</v>
      </c>
      <c r="D9" s="559">
        <v>106.3</v>
      </c>
      <c r="E9" s="559">
        <v>4902.1000000000004</v>
      </c>
      <c r="F9" s="559">
        <v>99.4</v>
      </c>
      <c r="G9" s="440"/>
    </row>
    <row r="10" spans="1:7" x14ac:dyDescent="0.25">
      <c r="A10" s="77" t="s">
        <v>59</v>
      </c>
      <c r="B10" s="559"/>
      <c r="C10" s="108"/>
      <c r="D10" s="559"/>
      <c r="E10" s="559"/>
      <c r="F10" s="559"/>
      <c r="G10" s="440"/>
    </row>
    <row r="11" spans="1:7" x14ac:dyDescent="0.25">
      <c r="A11" s="70" t="s">
        <v>86</v>
      </c>
      <c r="B11" s="559"/>
      <c r="C11" s="108"/>
      <c r="D11" s="559"/>
      <c r="E11" s="559"/>
      <c r="F11" s="559"/>
      <c r="G11" s="440"/>
    </row>
    <row r="12" spans="1:7" ht="13.2" customHeight="1" x14ac:dyDescent="0.25">
      <c r="A12" s="225" t="s">
        <v>87</v>
      </c>
      <c r="B12" s="559">
        <v>311.89999999999998</v>
      </c>
      <c r="C12" s="108">
        <v>108.2</v>
      </c>
      <c r="D12" s="559">
        <v>87.1</v>
      </c>
      <c r="E12" s="559">
        <v>2472</v>
      </c>
      <c r="F12" s="559">
        <v>91.9</v>
      </c>
      <c r="G12" s="440"/>
    </row>
    <row r="13" spans="1:7" ht="15.6" customHeight="1" x14ac:dyDescent="0.25">
      <c r="A13" s="225" t="s">
        <v>88</v>
      </c>
      <c r="B13" s="559">
        <v>2518.6999999999998</v>
      </c>
      <c r="C13" s="108">
        <v>97.9</v>
      </c>
      <c r="D13" s="559">
        <v>103.1</v>
      </c>
      <c r="E13" s="559">
        <v>18815.8</v>
      </c>
      <c r="F13" s="559">
        <v>98.8</v>
      </c>
      <c r="G13" s="440"/>
    </row>
    <row r="14" spans="1:7" ht="26.4" x14ac:dyDescent="0.25">
      <c r="A14" s="85" t="s">
        <v>423</v>
      </c>
      <c r="B14" s="559">
        <v>7081.7</v>
      </c>
      <c r="C14" s="108">
        <v>104.2</v>
      </c>
      <c r="D14" s="559">
        <v>93.6</v>
      </c>
      <c r="E14" s="559">
        <v>55020.5</v>
      </c>
      <c r="F14" s="559">
        <v>96.9</v>
      </c>
      <c r="G14" s="440"/>
    </row>
    <row r="15" spans="1:7" ht="39.6" x14ac:dyDescent="0.25">
      <c r="A15" s="199" t="s">
        <v>501</v>
      </c>
      <c r="B15" s="559">
        <v>5737.1</v>
      </c>
      <c r="C15" s="108">
        <v>103.1</v>
      </c>
      <c r="D15" s="559">
        <v>93</v>
      </c>
      <c r="E15" s="559">
        <v>45110.7</v>
      </c>
      <c r="F15" s="559">
        <v>98.2</v>
      </c>
      <c r="G15" s="440"/>
    </row>
    <row r="16" spans="1:7" ht="39.6" x14ac:dyDescent="0.25">
      <c r="A16" s="85" t="s">
        <v>89</v>
      </c>
      <c r="B16" s="559">
        <v>866.4</v>
      </c>
      <c r="C16" s="108">
        <v>85.3</v>
      </c>
      <c r="D16" s="559">
        <v>99.6</v>
      </c>
      <c r="E16" s="559">
        <v>7259.9</v>
      </c>
      <c r="F16" s="559">
        <v>101.2</v>
      </c>
      <c r="G16" s="440"/>
    </row>
    <row r="17" spans="1:7" ht="39.6" x14ac:dyDescent="0.25">
      <c r="A17" s="85" t="s">
        <v>90</v>
      </c>
      <c r="B17" s="559">
        <v>87.3</v>
      </c>
      <c r="C17" s="108">
        <v>83.5</v>
      </c>
      <c r="D17" s="559">
        <v>92.1</v>
      </c>
      <c r="E17" s="559">
        <v>1185.0999999999999</v>
      </c>
      <c r="F17" s="559">
        <v>85.8</v>
      </c>
      <c r="G17" s="440"/>
    </row>
    <row r="18" spans="1:7" ht="39.6" x14ac:dyDescent="0.25">
      <c r="A18" s="85" t="s">
        <v>91</v>
      </c>
      <c r="B18" s="559">
        <v>10812.7</v>
      </c>
      <c r="C18" s="108">
        <v>112.4</v>
      </c>
      <c r="D18" s="559">
        <v>107.6</v>
      </c>
      <c r="E18" s="559">
        <v>82132.800000000003</v>
      </c>
      <c r="F18" s="559">
        <v>98.4</v>
      </c>
      <c r="G18" s="440"/>
    </row>
    <row r="19" spans="1:7" x14ac:dyDescent="0.25">
      <c r="A19" s="85" t="s">
        <v>92</v>
      </c>
      <c r="B19" s="559">
        <v>471.8</v>
      </c>
      <c r="C19" s="108">
        <v>85.9</v>
      </c>
      <c r="D19" s="559">
        <v>47.6</v>
      </c>
      <c r="E19" s="559">
        <v>5265.2</v>
      </c>
      <c r="F19" s="559">
        <v>56</v>
      </c>
      <c r="G19" s="440"/>
    </row>
    <row r="20" spans="1:7" ht="39.6" x14ac:dyDescent="0.25">
      <c r="A20" s="199" t="s">
        <v>502</v>
      </c>
      <c r="B20" s="559">
        <v>83.6</v>
      </c>
      <c r="C20" s="108">
        <v>77.3</v>
      </c>
      <c r="D20" s="559">
        <v>62.7</v>
      </c>
      <c r="E20" s="559">
        <v>677.8</v>
      </c>
      <c r="F20" s="559">
        <v>90</v>
      </c>
      <c r="G20" s="440"/>
    </row>
    <row r="21" spans="1:7" x14ac:dyDescent="0.25">
      <c r="A21" s="85" t="s">
        <v>93</v>
      </c>
      <c r="B21" s="559">
        <v>131.19999999999999</v>
      </c>
      <c r="C21" s="108">
        <v>101.4</v>
      </c>
      <c r="D21" s="559">
        <v>100.2</v>
      </c>
      <c r="E21" s="559">
        <v>785.6</v>
      </c>
      <c r="F21" s="559">
        <v>95.6</v>
      </c>
      <c r="G21" s="440"/>
    </row>
    <row r="22" spans="1:7" x14ac:dyDescent="0.25">
      <c r="A22" s="85" t="s">
        <v>94</v>
      </c>
      <c r="B22" s="559">
        <v>1099.4000000000001</v>
      </c>
      <c r="C22" s="108">
        <v>104.3</v>
      </c>
      <c r="D22" s="559">
        <v>106</v>
      </c>
      <c r="E22" s="559">
        <v>9359.5</v>
      </c>
      <c r="F22" s="559">
        <v>108.1</v>
      </c>
      <c r="G22" s="440"/>
    </row>
    <row r="23" spans="1:7" ht="39.6" x14ac:dyDescent="0.25">
      <c r="A23" s="85" t="s">
        <v>95</v>
      </c>
      <c r="B23" s="559">
        <v>3206.3</v>
      </c>
      <c r="C23" s="108">
        <v>99.7</v>
      </c>
      <c r="D23" s="559">
        <v>100.8</v>
      </c>
      <c r="E23" s="559">
        <v>26507</v>
      </c>
      <c r="F23" s="559">
        <v>93.6</v>
      </c>
      <c r="G23" s="440"/>
    </row>
    <row r="24" spans="1:7" ht="26.4" x14ac:dyDescent="0.25">
      <c r="A24" s="85" t="s">
        <v>96</v>
      </c>
      <c r="B24" s="559">
        <v>3365.9</v>
      </c>
      <c r="C24" s="108">
        <v>98.7</v>
      </c>
      <c r="D24" s="559">
        <v>93.6</v>
      </c>
      <c r="E24" s="559">
        <v>27182.5</v>
      </c>
      <c r="F24" s="559">
        <v>94.4</v>
      </c>
      <c r="G24" s="440"/>
    </row>
    <row r="25" spans="1:7" x14ac:dyDescent="0.25">
      <c r="A25" s="85" t="s">
        <v>97</v>
      </c>
      <c r="B25" s="559">
        <v>1619.9</v>
      </c>
      <c r="C25" s="108">
        <v>108.2</v>
      </c>
      <c r="D25" s="559">
        <v>117.5</v>
      </c>
      <c r="E25" s="559">
        <v>12148.3</v>
      </c>
      <c r="F25" s="559">
        <v>109.3</v>
      </c>
      <c r="G25" s="440"/>
    </row>
    <row r="26" spans="1:7" x14ac:dyDescent="0.25">
      <c r="A26" s="70" t="s">
        <v>98</v>
      </c>
      <c r="B26" s="559"/>
      <c r="C26" s="108"/>
      <c r="D26" s="559"/>
      <c r="E26" s="559"/>
      <c r="F26" s="559"/>
      <c r="G26" s="440"/>
    </row>
    <row r="27" spans="1:7" ht="79.2" x14ac:dyDescent="0.25">
      <c r="A27" s="55" t="s">
        <v>503</v>
      </c>
      <c r="B27" s="559">
        <v>11480</v>
      </c>
      <c r="C27" s="108">
        <v>93.2</v>
      </c>
      <c r="D27" s="559">
        <v>105.1</v>
      </c>
      <c r="E27" s="559">
        <v>91729</v>
      </c>
      <c r="F27" s="559">
        <v>98.2</v>
      </c>
    </row>
    <row r="28" spans="1:7" x14ac:dyDescent="0.25">
      <c r="A28" s="70" t="s">
        <v>99</v>
      </c>
      <c r="B28" s="559"/>
      <c r="C28" s="108"/>
      <c r="D28" s="559"/>
      <c r="E28" s="559"/>
      <c r="F28" s="559"/>
    </row>
    <row r="29" spans="1:7" x14ac:dyDescent="0.25">
      <c r="A29" s="78" t="s">
        <v>100</v>
      </c>
      <c r="B29" s="559">
        <v>335.2</v>
      </c>
      <c r="C29" s="108">
        <v>107.4</v>
      </c>
      <c r="D29" s="559">
        <v>99.1</v>
      </c>
      <c r="E29" s="559">
        <v>2847.2</v>
      </c>
      <c r="F29" s="559">
        <v>100</v>
      </c>
    </row>
    <row r="30" spans="1:7" ht="26.4" x14ac:dyDescent="0.25">
      <c r="A30" s="70" t="s">
        <v>101</v>
      </c>
      <c r="B30" s="559"/>
      <c r="C30" s="108"/>
      <c r="D30" s="559"/>
      <c r="E30" s="559"/>
      <c r="F30" s="559"/>
    </row>
    <row r="31" spans="1:7" x14ac:dyDescent="0.25">
      <c r="A31" s="78" t="s">
        <v>102</v>
      </c>
      <c r="B31" s="562">
        <v>1.7</v>
      </c>
      <c r="C31" s="108" t="s">
        <v>668</v>
      </c>
      <c r="D31" s="633" t="s">
        <v>347</v>
      </c>
      <c r="E31" s="562">
        <v>4.4000000000000004</v>
      </c>
      <c r="F31" s="559">
        <v>95</v>
      </c>
    </row>
    <row r="32" spans="1:7" ht="66" x14ac:dyDescent="0.25">
      <c r="A32" s="70" t="s">
        <v>103</v>
      </c>
      <c r="B32" s="559"/>
      <c r="C32" s="108"/>
      <c r="D32" s="559"/>
      <c r="E32" s="559"/>
      <c r="F32" s="559"/>
    </row>
    <row r="33" spans="1:7" ht="83.4" customHeight="1" x14ac:dyDescent="0.25">
      <c r="A33" s="78" t="s">
        <v>104</v>
      </c>
      <c r="B33" s="559">
        <v>16.600000000000001</v>
      </c>
      <c r="C33" s="108">
        <v>105.3</v>
      </c>
      <c r="D33" s="559">
        <v>95.1</v>
      </c>
      <c r="E33" s="559">
        <v>119.4</v>
      </c>
      <c r="F33" s="559">
        <v>100.9</v>
      </c>
    </row>
    <row r="34" spans="1:7" ht="15.6" x14ac:dyDescent="0.25">
      <c r="A34" s="78" t="s">
        <v>105</v>
      </c>
      <c r="B34" s="562" t="s">
        <v>672</v>
      </c>
      <c r="C34" s="108">
        <v>69.3</v>
      </c>
      <c r="D34" s="559">
        <v>66.3</v>
      </c>
      <c r="E34" s="562" t="s">
        <v>672</v>
      </c>
      <c r="F34" s="559">
        <v>94.5</v>
      </c>
    </row>
    <row r="35" spans="1:7" ht="28.8" x14ac:dyDescent="0.25">
      <c r="A35" s="251" t="s">
        <v>429</v>
      </c>
      <c r="B35" s="562">
        <v>30</v>
      </c>
      <c r="C35" s="108" t="s">
        <v>347</v>
      </c>
      <c r="D35" s="559">
        <v>99.9</v>
      </c>
      <c r="E35" s="562">
        <v>177</v>
      </c>
      <c r="F35" s="559">
        <v>100</v>
      </c>
      <c r="G35" s="95"/>
    </row>
    <row r="36" spans="1:7" ht="26.4" x14ac:dyDescent="0.25">
      <c r="A36" s="70" t="s">
        <v>106</v>
      </c>
      <c r="B36" s="559"/>
      <c r="C36" s="108"/>
      <c r="D36" s="559"/>
      <c r="E36" s="559"/>
      <c r="F36" s="559"/>
    </row>
    <row r="37" spans="1:7" ht="26.4" x14ac:dyDescent="0.25">
      <c r="A37" s="199" t="s">
        <v>107</v>
      </c>
      <c r="B37" s="562">
        <v>241449.2</v>
      </c>
      <c r="C37" s="108">
        <v>101.4</v>
      </c>
      <c r="D37" s="559">
        <v>99.8</v>
      </c>
      <c r="E37" s="562">
        <v>1722688</v>
      </c>
      <c r="F37" s="559">
        <v>97.4</v>
      </c>
    </row>
    <row r="38" spans="1:7" ht="45" customHeight="1" x14ac:dyDescent="0.25">
      <c r="A38" s="201" t="s">
        <v>421</v>
      </c>
      <c r="B38" s="559"/>
      <c r="C38" s="108"/>
      <c r="D38" s="559"/>
      <c r="E38" s="559"/>
      <c r="F38" s="559"/>
    </row>
    <row r="39" spans="1:7" ht="26.4" x14ac:dyDescent="0.25">
      <c r="A39" s="85" t="s">
        <v>108</v>
      </c>
      <c r="B39" s="562" t="s">
        <v>672</v>
      </c>
      <c r="C39" s="108">
        <v>107.2</v>
      </c>
      <c r="D39" s="559">
        <v>114.8</v>
      </c>
      <c r="E39" s="562" t="s">
        <v>672</v>
      </c>
      <c r="F39" s="559">
        <v>105.1</v>
      </c>
    </row>
    <row r="40" spans="1:7" ht="26.4" x14ac:dyDescent="0.25">
      <c r="A40" s="70" t="s">
        <v>109</v>
      </c>
      <c r="B40" s="559"/>
      <c r="C40" s="108"/>
      <c r="D40" s="559"/>
      <c r="E40" s="559"/>
      <c r="F40" s="559"/>
    </row>
    <row r="41" spans="1:7" ht="26.4" x14ac:dyDescent="0.25">
      <c r="A41" s="55" t="s">
        <v>110</v>
      </c>
      <c r="B41" s="559">
        <v>2250.3000000000002</v>
      </c>
      <c r="C41" s="108">
        <v>94</v>
      </c>
      <c r="D41" s="559">
        <v>80.599999999999994</v>
      </c>
      <c r="E41" s="559">
        <v>16374.7</v>
      </c>
      <c r="F41" s="559">
        <v>85.1</v>
      </c>
    </row>
    <row r="42" spans="1:7" ht="39.6" x14ac:dyDescent="0.25">
      <c r="A42" s="70" t="s">
        <v>111</v>
      </c>
      <c r="B42" s="559"/>
      <c r="C42" s="108"/>
      <c r="D42" s="559"/>
      <c r="E42" s="559"/>
      <c r="F42" s="559"/>
    </row>
    <row r="43" spans="1:7" x14ac:dyDescent="0.25">
      <c r="A43" s="78" t="s">
        <v>112</v>
      </c>
      <c r="B43" s="562" t="s">
        <v>672</v>
      </c>
      <c r="C43" s="108">
        <v>100.1</v>
      </c>
      <c r="D43" s="559">
        <v>109.5</v>
      </c>
      <c r="E43" s="562" t="s">
        <v>672</v>
      </c>
      <c r="F43" s="559">
        <v>105.4</v>
      </c>
    </row>
    <row r="44" spans="1:7" ht="52.8" x14ac:dyDescent="0.25">
      <c r="A44" s="55" t="s">
        <v>113</v>
      </c>
      <c r="B44" s="562" t="s">
        <v>672</v>
      </c>
      <c r="C44" s="108">
        <v>104.6</v>
      </c>
      <c r="D44" s="559">
        <v>112.3</v>
      </c>
      <c r="E44" s="558" t="s">
        <v>672</v>
      </c>
      <c r="F44" s="558" t="s">
        <v>672</v>
      </c>
    </row>
    <row r="45" spans="1:7" ht="68.400000000000006" x14ac:dyDescent="0.25">
      <c r="A45" s="55" t="s">
        <v>114</v>
      </c>
      <c r="B45" s="559">
        <v>46</v>
      </c>
      <c r="C45" s="108">
        <v>91.2</v>
      </c>
      <c r="D45" s="559">
        <v>86.1</v>
      </c>
      <c r="E45" s="559">
        <v>333.3</v>
      </c>
      <c r="F45" s="559">
        <v>86.3</v>
      </c>
    </row>
    <row r="46" spans="1:7" x14ac:dyDescent="0.25">
      <c r="A46" s="70" t="s">
        <v>115</v>
      </c>
      <c r="B46" s="559"/>
      <c r="C46" s="108"/>
      <c r="D46" s="559"/>
      <c r="E46" s="559"/>
      <c r="F46" s="559"/>
    </row>
    <row r="47" spans="1:7" x14ac:dyDescent="0.25">
      <c r="A47" s="55" t="s">
        <v>116</v>
      </c>
      <c r="B47" s="562" t="s">
        <v>672</v>
      </c>
      <c r="C47" s="108">
        <v>115.2</v>
      </c>
      <c r="D47" s="559">
        <v>101.9</v>
      </c>
      <c r="E47" s="562" t="s">
        <v>672</v>
      </c>
      <c r="F47" s="559">
        <v>92.5</v>
      </c>
    </row>
    <row r="48" spans="1:7" ht="30" customHeight="1" x14ac:dyDescent="0.25">
      <c r="A48" s="91" t="s">
        <v>117</v>
      </c>
      <c r="B48" s="559"/>
      <c r="C48" s="108"/>
      <c r="D48" s="559"/>
      <c r="E48" s="559"/>
      <c r="F48" s="559"/>
    </row>
    <row r="49" spans="1:6" ht="33" customHeight="1" x14ac:dyDescent="0.25">
      <c r="A49" s="55" t="s">
        <v>346</v>
      </c>
      <c r="B49" s="562" t="s">
        <v>672</v>
      </c>
      <c r="C49" s="108">
        <v>140</v>
      </c>
      <c r="D49" s="559">
        <v>76.3</v>
      </c>
      <c r="E49" s="108">
        <v>292824</v>
      </c>
      <c r="F49" s="563" t="s">
        <v>347</v>
      </c>
    </row>
    <row r="50" spans="1:6" ht="26.4" x14ac:dyDescent="0.25">
      <c r="A50" s="70" t="s">
        <v>118</v>
      </c>
      <c r="B50" s="559"/>
      <c r="C50" s="108"/>
      <c r="D50" s="559"/>
      <c r="E50" s="559"/>
      <c r="F50" s="559"/>
    </row>
    <row r="51" spans="1:6" ht="39.6" x14ac:dyDescent="0.25">
      <c r="A51" s="78" t="s">
        <v>119</v>
      </c>
      <c r="B51" s="562" t="s">
        <v>672</v>
      </c>
      <c r="C51" s="576" t="s">
        <v>347</v>
      </c>
      <c r="D51" s="563" t="s">
        <v>347</v>
      </c>
      <c r="E51" s="562">
        <v>1076.0999999999999</v>
      </c>
      <c r="F51" s="559">
        <v>67.099999999999994</v>
      </c>
    </row>
    <row r="52" spans="1:6" ht="39.6" x14ac:dyDescent="0.25">
      <c r="A52" s="70" t="s">
        <v>120</v>
      </c>
      <c r="B52" s="559"/>
      <c r="C52" s="108"/>
      <c r="D52" s="559"/>
      <c r="E52" s="559"/>
      <c r="F52" s="559"/>
    </row>
    <row r="53" spans="1:6" ht="39.6" x14ac:dyDescent="0.25">
      <c r="A53" s="78" t="s">
        <v>121</v>
      </c>
      <c r="B53" s="562" t="s">
        <v>672</v>
      </c>
      <c r="C53" s="108">
        <v>138.9</v>
      </c>
      <c r="D53" s="563">
        <v>20.7</v>
      </c>
      <c r="E53" s="562" t="s">
        <v>672</v>
      </c>
      <c r="F53" s="563">
        <v>61.2</v>
      </c>
    </row>
    <row r="54" spans="1:6" ht="26.4" x14ac:dyDescent="0.25">
      <c r="A54" s="70" t="s">
        <v>425</v>
      </c>
      <c r="B54" s="559"/>
      <c r="C54" s="108"/>
      <c r="D54" s="559"/>
      <c r="E54" s="559"/>
      <c r="F54" s="559"/>
    </row>
    <row r="55" spans="1:6" ht="39.6" x14ac:dyDescent="0.25">
      <c r="A55" s="55" t="s">
        <v>504</v>
      </c>
      <c r="B55" s="562">
        <v>13</v>
      </c>
      <c r="C55" s="108">
        <v>56.5</v>
      </c>
      <c r="D55" s="562" t="s">
        <v>672</v>
      </c>
      <c r="E55" s="562">
        <v>105</v>
      </c>
      <c r="F55" s="563">
        <v>77.8</v>
      </c>
    </row>
    <row r="56" spans="1:6" x14ac:dyDescent="0.25">
      <c r="A56" s="70" t="s">
        <v>122</v>
      </c>
      <c r="B56" s="559"/>
      <c r="C56" s="108"/>
      <c r="D56" s="559"/>
      <c r="E56" s="559"/>
      <c r="F56" s="559"/>
    </row>
    <row r="57" spans="1:6" x14ac:dyDescent="0.25">
      <c r="A57" s="78" t="s">
        <v>123</v>
      </c>
      <c r="B57" s="566">
        <v>243347</v>
      </c>
      <c r="C57" s="108">
        <v>98.1</v>
      </c>
      <c r="D57" s="559">
        <v>93.7</v>
      </c>
      <c r="E57" s="566">
        <v>1750787</v>
      </c>
      <c r="F57" s="559">
        <v>90.1</v>
      </c>
    </row>
    <row r="58" spans="1:6" ht="26.4" x14ac:dyDescent="0.25">
      <c r="A58" s="70" t="s">
        <v>124</v>
      </c>
      <c r="B58" s="559"/>
      <c r="C58" s="108"/>
      <c r="D58" s="559"/>
      <c r="E58" s="559"/>
      <c r="F58" s="559"/>
    </row>
    <row r="59" spans="1:6" ht="39.6" x14ac:dyDescent="0.25">
      <c r="A59" s="78" t="s">
        <v>125</v>
      </c>
      <c r="B59" s="562" t="s">
        <v>672</v>
      </c>
      <c r="C59" s="108">
        <v>91.1</v>
      </c>
      <c r="D59" s="559">
        <v>191.4</v>
      </c>
      <c r="E59" s="562" t="s">
        <v>672</v>
      </c>
      <c r="F59" s="559">
        <v>105.1</v>
      </c>
    </row>
    <row r="60" spans="1:6" ht="39.6" x14ac:dyDescent="0.25">
      <c r="A60" s="77" t="s">
        <v>74</v>
      </c>
      <c r="B60" s="559"/>
      <c r="C60" s="108"/>
      <c r="D60" s="559"/>
      <c r="E60" s="559"/>
      <c r="F60" s="559"/>
    </row>
    <row r="61" spans="1:6" x14ac:dyDescent="0.25">
      <c r="A61" s="78" t="s">
        <v>126</v>
      </c>
      <c r="B61" s="559">
        <v>896.1</v>
      </c>
      <c r="C61" s="108">
        <v>87.1</v>
      </c>
      <c r="D61" s="559">
        <v>96.5</v>
      </c>
      <c r="E61" s="559">
        <v>8540.5</v>
      </c>
      <c r="F61" s="559">
        <v>98.7</v>
      </c>
    </row>
    <row r="62" spans="1:6" x14ac:dyDescent="0.25">
      <c r="A62" s="79" t="s">
        <v>127</v>
      </c>
      <c r="B62" s="564">
        <v>671.5</v>
      </c>
      <c r="C62" s="565">
        <v>106</v>
      </c>
      <c r="D62" s="564">
        <v>100.7</v>
      </c>
      <c r="E62" s="564">
        <v>9753.2000000000007</v>
      </c>
      <c r="F62" s="564">
        <v>94.3</v>
      </c>
    </row>
    <row r="63" spans="1:6" x14ac:dyDescent="0.25">
      <c r="B63" s="359"/>
      <c r="C63" s="359"/>
      <c r="D63" s="359"/>
      <c r="E63" s="359"/>
    </row>
    <row r="64" spans="1:6" x14ac:dyDescent="0.25">
      <c r="E64"/>
    </row>
    <row r="65" spans="5:5" x14ac:dyDescent="0.25">
      <c r="E65"/>
    </row>
    <row r="80" spans="5:5" x14ac:dyDescent="0.25">
      <c r="E80"/>
    </row>
    <row r="81" spans="5:5" x14ac:dyDescent="0.25">
      <c r="E81"/>
    </row>
    <row r="82" spans="5:5" x14ac:dyDescent="0.25">
      <c r="E82"/>
    </row>
    <row r="83" spans="5:5" x14ac:dyDescent="0.25">
      <c r="E83"/>
    </row>
    <row r="84" spans="5:5" x14ac:dyDescent="0.25">
      <c r="E84"/>
    </row>
    <row r="85" spans="5:5" x14ac:dyDescent="0.25">
      <c r="E85"/>
    </row>
    <row r="86" spans="5:5" x14ac:dyDescent="0.25">
      <c r="E86"/>
    </row>
  </sheetData>
  <mergeCells count="6">
    <mergeCell ref="A1:F1"/>
    <mergeCell ref="F3:F4"/>
    <mergeCell ref="A3:A4"/>
    <mergeCell ref="B3:B4"/>
    <mergeCell ref="C3:D3"/>
    <mergeCell ref="E3:E4"/>
  </mergeCells>
  <pageMargins left="0.7" right="0.7" top="0.75" bottom="0.75" header="0.3" footer="0.3"/>
  <pageSetup paperSize="9" scale="84"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0"/>
  <sheetViews>
    <sheetView zoomScale="80" zoomScaleNormal="80" workbookViewId="0">
      <selection activeCell="D6" sqref="D6"/>
    </sheetView>
  </sheetViews>
  <sheetFormatPr defaultColWidth="8.88671875" defaultRowHeight="13.8" x14ac:dyDescent="0.25"/>
  <cols>
    <col min="1" max="1" width="35.109375" style="491" customWidth="1"/>
    <col min="2" max="5" width="17.77734375" style="491" customWidth="1"/>
    <col min="6" max="16384" width="8.88671875" style="491"/>
  </cols>
  <sheetData>
    <row r="1" spans="1:5" x14ac:dyDescent="0.25">
      <c r="A1" s="668" t="s">
        <v>268</v>
      </c>
      <c r="B1" s="668"/>
      <c r="C1" s="668"/>
      <c r="D1" s="668"/>
      <c r="E1" s="668"/>
    </row>
    <row r="3" spans="1:5" ht="13.8" customHeight="1" x14ac:dyDescent="0.25">
      <c r="A3" s="669" t="s">
        <v>650</v>
      </c>
      <c r="B3" s="670"/>
      <c r="C3" s="670"/>
      <c r="D3" s="670"/>
      <c r="E3" s="670"/>
    </row>
    <row r="4" spans="1:5" x14ac:dyDescent="0.25">
      <c r="A4" s="115"/>
    </row>
    <row r="5" spans="1:5" x14ac:dyDescent="0.25">
      <c r="A5" s="671"/>
      <c r="B5" s="672" t="s">
        <v>654</v>
      </c>
      <c r="C5" s="673"/>
      <c r="D5" s="672" t="s">
        <v>655</v>
      </c>
      <c r="E5" s="673"/>
    </row>
    <row r="6" spans="1:5" x14ac:dyDescent="0.25">
      <c r="A6" s="671"/>
      <c r="B6" s="673"/>
      <c r="C6" s="673"/>
      <c r="D6" s="674"/>
      <c r="E6" s="674"/>
    </row>
    <row r="7" spans="1:5" ht="52.8" x14ac:dyDescent="0.25">
      <c r="A7" s="671"/>
      <c r="B7" s="439" t="s">
        <v>651</v>
      </c>
      <c r="C7" s="282" t="s">
        <v>508</v>
      </c>
      <c r="D7" s="439" t="s">
        <v>651</v>
      </c>
      <c r="E7" s="282" t="s">
        <v>508</v>
      </c>
    </row>
    <row r="8" spans="1:5" ht="39.6" x14ac:dyDescent="0.25">
      <c r="A8" s="76" t="s">
        <v>652</v>
      </c>
      <c r="B8" s="233">
        <v>4543.1000000000004</v>
      </c>
      <c r="C8" s="233">
        <v>137.1</v>
      </c>
      <c r="D8" s="233">
        <v>3312.6</v>
      </c>
      <c r="E8" s="233">
        <v>71.2</v>
      </c>
    </row>
    <row r="9" spans="1:5" x14ac:dyDescent="0.25">
      <c r="A9" s="76" t="s">
        <v>627</v>
      </c>
      <c r="B9" s="233">
        <v>386.2</v>
      </c>
      <c r="C9" s="233">
        <v>103.9</v>
      </c>
      <c r="D9" s="233">
        <v>371.9</v>
      </c>
      <c r="E9" s="233">
        <v>91.4</v>
      </c>
    </row>
    <row r="10" spans="1:5" x14ac:dyDescent="0.25">
      <c r="A10" s="492" t="s">
        <v>653</v>
      </c>
      <c r="B10" s="355">
        <v>476</v>
      </c>
      <c r="C10" s="355">
        <v>101.7</v>
      </c>
      <c r="D10" s="355">
        <v>467.8</v>
      </c>
      <c r="E10" s="355">
        <v>126.3</v>
      </c>
    </row>
  </sheetData>
  <mergeCells count="5">
    <mergeCell ref="A1:E1"/>
    <mergeCell ref="A3:E3"/>
    <mergeCell ref="A5:A7"/>
    <mergeCell ref="B5:C6"/>
    <mergeCell ref="D5:E6"/>
  </mergeCells>
  <pageMargins left="0.7" right="0.7" top="0.75" bottom="0.75" header="0.3" footer="0.3"/>
  <pageSetup paperSize="9" scale="84" fitToHeight="0" orientation="portrait" verticalDpi="0"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7"/>
  <sheetViews>
    <sheetView zoomScale="80" zoomScaleNormal="80" workbookViewId="0">
      <selection activeCell="D6" sqref="D6"/>
    </sheetView>
  </sheetViews>
  <sheetFormatPr defaultColWidth="8.88671875" defaultRowHeight="13.8" x14ac:dyDescent="0.25"/>
  <cols>
    <col min="1" max="1" width="44" style="491" customWidth="1"/>
    <col min="2" max="3" width="27.6640625" style="491" customWidth="1"/>
    <col min="4" max="16384" width="8.88671875" style="491"/>
  </cols>
  <sheetData>
    <row r="1" spans="1:6" x14ac:dyDescent="0.25">
      <c r="A1" s="675" t="s">
        <v>656</v>
      </c>
      <c r="B1" s="637"/>
      <c r="C1" s="637"/>
    </row>
    <row r="2" spans="1:6" x14ac:dyDescent="0.25">
      <c r="A2" s="493"/>
      <c r="B2" s="493"/>
      <c r="C2" s="493"/>
    </row>
    <row r="3" spans="1:6" ht="26.4" x14ac:dyDescent="0.25">
      <c r="A3" s="145"/>
      <c r="B3" s="439" t="s">
        <v>654</v>
      </c>
      <c r="C3" s="439" t="s">
        <v>655</v>
      </c>
    </row>
    <row r="4" spans="1:6" x14ac:dyDescent="0.25">
      <c r="A4" s="81" t="s">
        <v>657</v>
      </c>
      <c r="B4" s="500"/>
      <c r="C4" s="500"/>
      <c r="D4" s="501"/>
      <c r="E4" s="501"/>
      <c r="F4" s="501"/>
    </row>
    <row r="5" spans="1:6" x14ac:dyDescent="0.25">
      <c r="A5" s="72" t="s">
        <v>626</v>
      </c>
      <c r="B5" s="496">
        <v>137.30000000000001</v>
      </c>
      <c r="C5" s="496">
        <v>113</v>
      </c>
      <c r="D5" s="502"/>
      <c r="E5" s="503"/>
      <c r="F5" s="504"/>
    </row>
    <row r="6" spans="1:6" x14ac:dyDescent="0.25">
      <c r="A6" s="72" t="s">
        <v>658</v>
      </c>
      <c r="B6" s="496">
        <v>26.6</v>
      </c>
      <c r="C6" s="496">
        <v>19.8</v>
      </c>
      <c r="D6" s="502"/>
      <c r="E6" s="501"/>
      <c r="F6" s="501"/>
    </row>
    <row r="7" spans="1:6" ht="26.4" x14ac:dyDescent="0.25">
      <c r="A7" s="81" t="s">
        <v>659</v>
      </c>
      <c r="B7" s="505"/>
      <c r="C7" s="505"/>
      <c r="D7" s="502"/>
      <c r="E7" s="501"/>
      <c r="F7" s="501"/>
    </row>
    <row r="8" spans="1:6" x14ac:dyDescent="0.25">
      <c r="A8" s="72" t="s">
        <v>626</v>
      </c>
      <c r="B8" s="496">
        <v>134.9</v>
      </c>
      <c r="C8" s="496">
        <v>113</v>
      </c>
      <c r="D8" s="502"/>
      <c r="E8" s="501"/>
      <c r="F8" s="501"/>
    </row>
    <row r="9" spans="1:6" x14ac:dyDescent="0.25">
      <c r="A9" s="72" t="s">
        <v>658</v>
      </c>
      <c r="B9" s="496">
        <v>26.2</v>
      </c>
      <c r="C9" s="496">
        <v>19.8</v>
      </c>
      <c r="D9" s="502"/>
      <c r="E9" s="501"/>
      <c r="F9" s="501"/>
    </row>
    <row r="10" spans="1:6" x14ac:dyDescent="0.25">
      <c r="A10" s="494" t="s">
        <v>660</v>
      </c>
      <c r="B10" s="496">
        <v>98.3</v>
      </c>
      <c r="C10" s="496">
        <v>100</v>
      </c>
      <c r="D10" s="502"/>
      <c r="E10" s="501"/>
      <c r="F10" s="501"/>
    </row>
    <row r="11" spans="1:6" ht="26.4" x14ac:dyDescent="0.25">
      <c r="A11" s="495" t="s">
        <v>661</v>
      </c>
      <c r="B11" s="496"/>
      <c r="C11" s="496"/>
      <c r="D11" s="502"/>
      <c r="E11" s="501"/>
      <c r="F11" s="501"/>
    </row>
    <row r="12" spans="1:6" x14ac:dyDescent="0.25">
      <c r="A12" s="494" t="s">
        <v>662</v>
      </c>
      <c r="B12" s="496">
        <v>3834.4</v>
      </c>
      <c r="C12" s="496">
        <v>2602.8000000000002</v>
      </c>
      <c r="D12" s="502"/>
      <c r="E12" s="501"/>
      <c r="F12" s="501"/>
    </row>
    <row r="13" spans="1:6" x14ac:dyDescent="0.25">
      <c r="A13" s="494" t="s">
        <v>663</v>
      </c>
      <c r="B13" s="496">
        <v>27.9</v>
      </c>
      <c r="C13" s="496">
        <v>23</v>
      </c>
      <c r="D13" s="502"/>
      <c r="E13" s="501"/>
      <c r="F13" s="501"/>
    </row>
    <row r="14" spans="1:6" x14ac:dyDescent="0.25">
      <c r="A14" s="497" t="s">
        <v>664</v>
      </c>
      <c r="B14" s="496"/>
      <c r="C14" s="496"/>
      <c r="D14" s="502"/>
      <c r="E14" s="501"/>
      <c r="F14" s="501"/>
    </row>
    <row r="15" spans="1:6" x14ac:dyDescent="0.25">
      <c r="A15" s="498" t="s">
        <v>662</v>
      </c>
      <c r="B15" s="496">
        <v>914.9</v>
      </c>
      <c r="C15" s="496">
        <v>549.5</v>
      </c>
      <c r="D15" s="502"/>
      <c r="E15" s="501"/>
      <c r="F15" s="501"/>
    </row>
    <row r="16" spans="1:6" x14ac:dyDescent="0.25">
      <c r="A16" s="499" t="s">
        <v>663</v>
      </c>
      <c r="B16" s="506">
        <v>25.8</v>
      </c>
      <c r="C16" s="506">
        <v>22</v>
      </c>
      <c r="D16" s="502"/>
      <c r="E16" s="501"/>
      <c r="F16" s="501"/>
    </row>
    <row r="17" spans="1:6" x14ac:dyDescent="0.25">
      <c r="A17" s="115"/>
      <c r="B17" s="501"/>
      <c r="C17" s="501"/>
      <c r="D17" s="501"/>
      <c r="E17" s="501"/>
      <c r="F17" s="501"/>
    </row>
  </sheetData>
  <mergeCells count="1">
    <mergeCell ref="A1:C1"/>
  </mergeCells>
  <pageMargins left="0.7" right="0.7" top="0.75" bottom="0.75" header="0.3" footer="0.3"/>
  <pageSetup paperSize="9" scale="66" fitToHeight="0" orientation="portrait" verticalDpi="0"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colBreaks count="1" manualBreakCount="1">
    <brk id="7"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8"/>
  <sheetViews>
    <sheetView zoomScale="80" zoomScaleNormal="80" workbookViewId="0">
      <selection activeCell="D6" sqref="D6"/>
    </sheetView>
  </sheetViews>
  <sheetFormatPr defaultColWidth="8.88671875" defaultRowHeight="13.2" x14ac:dyDescent="0.25"/>
  <cols>
    <col min="1" max="1" width="16.33203125" style="20" customWidth="1"/>
    <col min="2" max="2" width="14.33203125" style="52" customWidth="1"/>
    <col min="3" max="3" width="14.88671875" style="52" customWidth="1"/>
    <col min="4" max="4" width="14.6640625" style="52" customWidth="1"/>
    <col min="5" max="5" width="13.33203125" style="52" customWidth="1"/>
    <col min="6" max="6" width="13.5546875" style="52" customWidth="1"/>
    <col min="7" max="16384" width="8.88671875" style="20"/>
  </cols>
  <sheetData>
    <row r="1" spans="1:6" ht="19.8" customHeight="1" x14ac:dyDescent="0.25">
      <c r="A1" s="676" t="s">
        <v>409</v>
      </c>
      <c r="B1" s="676"/>
      <c r="C1" s="676"/>
      <c r="D1" s="676"/>
      <c r="E1" s="676"/>
      <c r="F1" s="676"/>
    </row>
    <row r="2" spans="1:6" ht="13.8" x14ac:dyDescent="0.25">
      <c r="A2" s="426"/>
      <c r="B2" s="426"/>
      <c r="C2" s="426"/>
      <c r="D2" s="426"/>
      <c r="E2" s="426"/>
      <c r="F2" s="426"/>
    </row>
    <row r="3" spans="1:6" x14ac:dyDescent="0.25">
      <c r="A3" s="661" t="s">
        <v>289</v>
      </c>
      <c r="B3" s="661"/>
      <c r="C3" s="661"/>
      <c r="D3" s="661"/>
      <c r="E3" s="661"/>
      <c r="F3" s="661"/>
    </row>
    <row r="4" spans="1:6" ht="26.4" x14ac:dyDescent="0.25">
      <c r="A4" s="286"/>
      <c r="B4" s="284" t="s">
        <v>290</v>
      </c>
      <c r="C4" s="284" t="s">
        <v>286</v>
      </c>
      <c r="D4" s="284" t="s">
        <v>287</v>
      </c>
      <c r="E4" s="285" t="s">
        <v>288</v>
      </c>
      <c r="F4" s="285" t="s">
        <v>350</v>
      </c>
    </row>
    <row r="5" spans="1:6" x14ac:dyDescent="0.25">
      <c r="A5" s="169" t="s">
        <v>485</v>
      </c>
      <c r="B5" s="119"/>
      <c r="C5" s="208"/>
      <c r="D5" s="119"/>
      <c r="E5" s="208"/>
      <c r="F5" s="119"/>
    </row>
    <row r="6" spans="1:6" x14ac:dyDescent="0.25">
      <c r="A6" s="137" t="s">
        <v>40</v>
      </c>
      <c r="B6" s="88">
        <v>91.6</v>
      </c>
      <c r="C6" s="209">
        <v>92.9</v>
      </c>
      <c r="D6" s="88">
        <v>96.6</v>
      </c>
      <c r="E6" s="209">
        <v>116.6</v>
      </c>
      <c r="F6" s="88">
        <v>103.6</v>
      </c>
    </row>
    <row r="7" spans="1:6" x14ac:dyDescent="0.25">
      <c r="A7" s="73" t="s">
        <v>41</v>
      </c>
      <c r="B7" s="88">
        <v>91.4</v>
      </c>
      <c r="C7" s="209">
        <v>92.8</v>
      </c>
      <c r="D7" s="88">
        <v>98.2</v>
      </c>
      <c r="E7" s="209">
        <v>130.9</v>
      </c>
      <c r="F7" s="88">
        <v>103</v>
      </c>
    </row>
    <row r="8" spans="1:6" ht="15.6" customHeight="1" x14ac:dyDescent="0.25">
      <c r="A8" s="137" t="s">
        <v>42</v>
      </c>
      <c r="B8" s="88">
        <v>92</v>
      </c>
      <c r="C8" s="209">
        <v>93.2</v>
      </c>
      <c r="D8" s="88">
        <v>98.5</v>
      </c>
      <c r="E8" s="209">
        <v>140.9</v>
      </c>
      <c r="F8" s="88">
        <v>101.1</v>
      </c>
    </row>
    <row r="9" spans="1:6" ht="15.6" customHeight="1" x14ac:dyDescent="0.25">
      <c r="A9" s="377" t="s">
        <v>44</v>
      </c>
      <c r="B9" s="88">
        <v>94</v>
      </c>
      <c r="C9" s="209">
        <v>94.5</v>
      </c>
      <c r="D9" s="88">
        <v>97.1</v>
      </c>
      <c r="E9" s="209">
        <v>146.6</v>
      </c>
      <c r="F9" s="88">
        <v>101.4</v>
      </c>
    </row>
    <row r="10" spans="1:6" ht="15.6" customHeight="1" x14ac:dyDescent="0.25">
      <c r="A10" s="73" t="s">
        <v>45</v>
      </c>
      <c r="B10" s="88">
        <v>94.8</v>
      </c>
      <c r="C10" s="209">
        <v>95.3</v>
      </c>
      <c r="D10" s="88">
        <v>98.5</v>
      </c>
      <c r="E10" s="209">
        <v>153.4</v>
      </c>
      <c r="F10" s="88">
        <v>100.5</v>
      </c>
    </row>
    <row r="11" spans="1:6" ht="13.8" customHeight="1" x14ac:dyDescent="0.25">
      <c r="A11" s="73" t="s">
        <v>46</v>
      </c>
      <c r="B11" s="88">
        <v>95.5</v>
      </c>
      <c r="C11" s="209">
        <v>96.5</v>
      </c>
      <c r="D11" s="88">
        <v>96.3</v>
      </c>
      <c r="E11" s="209">
        <v>169.3</v>
      </c>
      <c r="F11" s="88">
        <v>100.3</v>
      </c>
    </row>
    <row r="12" spans="1:6" ht="13.8" customHeight="1" x14ac:dyDescent="0.25">
      <c r="A12" s="377" t="s">
        <v>48</v>
      </c>
      <c r="B12" s="88">
        <v>96.4</v>
      </c>
      <c r="C12" s="209">
        <v>97.2</v>
      </c>
      <c r="D12" s="88">
        <v>97.8</v>
      </c>
      <c r="E12" s="209">
        <v>186.2</v>
      </c>
      <c r="F12" s="88">
        <v>99.6</v>
      </c>
    </row>
    <row r="13" spans="1:6" ht="13.8" customHeight="1" x14ac:dyDescent="0.25">
      <c r="A13" s="73" t="s">
        <v>26</v>
      </c>
      <c r="B13" s="88">
        <v>97.6</v>
      </c>
      <c r="C13" s="209">
        <v>98.8</v>
      </c>
      <c r="D13" s="88">
        <v>98.4</v>
      </c>
      <c r="E13" s="209">
        <v>195.6</v>
      </c>
      <c r="F13" s="88">
        <v>101.3</v>
      </c>
    </row>
    <row r="14" spans="1:6" ht="21.6" customHeight="1" x14ac:dyDescent="0.25">
      <c r="A14" s="163" t="s">
        <v>432</v>
      </c>
      <c r="B14" s="125"/>
      <c r="C14" s="207"/>
      <c r="D14" s="125"/>
      <c r="E14" s="207"/>
      <c r="F14" s="125"/>
    </row>
    <row r="15" spans="1:6" x14ac:dyDescent="0.25">
      <c r="A15" s="137" t="s">
        <v>40</v>
      </c>
      <c r="B15" s="88">
        <v>96.3</v>
      </c>
      <c r="C15" s="209">
        <v>96.6</v>
      </c>
      <c r="D15" s="88">
        <v>97.3</v>
      </c>
      <c r="E15" s="209" t="s">
        <v>441</v>
      </c>
      <c r="F15" s="88">
        <v>106.5</v>
      </c>
    </row>
    <row r="16" spans="1:6" x14ac:dyDescent="0.25">
      <c r="A16" s="73" t="s">
        <v>41</v>
      </c>
      <c r="B16" s="88">
        <v>94.6</v>
      </c>
      <c r="C16" s="209">
        <v>95.4</v>
      </c>
      <c r="D16" s="88">
        <v>95.3</v>
      </c>
      <c r="E16" s="209" t="s">
        <v>441</v>
      </c>
      <c r="F16" s="88">
        <v>106.7</v>
      </c>
    </row>
    <row r="17" spans="1:6" x14ac:dyDescent="0.25">
      <c r="A17" s="137" t="s">
        <v>42</v>
      </c>
      <c r="B17" s="88">
        <v>93.3</v>
      </c>
      <c r="C17" s="209">
        <v>95.2</v>
      </c>
      <c r="D17" s="88">
        <v>97.2</v>
      </c>
      <c r="E17" s="209" t="s">
        <v>447</v>
      </c>
      <c r="F17" s="88">
        <v>105.3</v>
      </c>
    </row>
    <row r="18" spans="1:6" x14ac:dyDescent="0.25">
      <c r="A18" s="73" t="s">
        <v>44</v>
      </c>
      <c r="B18" s="88">
        <v>92</v>
      </c>
      <c r="C18" s="209">
        <v>94.8</v>
      </c>
      <c r="D18" s="88">
        <v>96.9</v>
      </c>
      <c r="E18" s="209" t="s">
        <v>488</v>
      </c>
      <c r="F18" s="88">
        <v>108.4</v>
      </c>
    </row>
    <row r="19" spans="1:6" x14ac:dyDescent="0.25">
      <c r="A19" s="73" t="s">
        <v>45</v>
      </c>
      <c r="B19" s="88">
        <v>91.9</v>
      </c>
      <c r="C19" s="209">
        <v>95</v>
      </c>
      <c r="D19" s="88">
        <v>95.9</v>
      </c>
      <c r="E19" s="209" t="s">
        <v>489</v>
      </c>
      <c r="F19" s="88">
        <v>111.7</v>
      </c>
    </row>
    <row r="20" spans="1:6" x14ac:dyDescent="0.25">
      <c r="A20" s="73" t="s">
        <v>46</v>
      </c>
      <c r="B20" s="88">
        <v>92.1</v>
      </c>
      <c r="C20" s="209">
        <v>94.1</v>
      </c>
      <c r="D20" s="88">
        <v>100.1</v>
      </c>
      <c r="E20" s="209">
        <v>199.9</v>
      </c>
      <c r="F20" s="88">
        <v>117.1</v>
      </c>
    </row>
    <row r="21" spans="1:6" x14ac:dyDescent="0.25">
      <c r="A21" s="73" t="s">
        <v>48</v>
      </c>
      <c r="B21" s="88">
        <v>91.3</v>
      </c>
      <c r="C21" s="209">
        <v>92.8</v>
      </c>
      <c r="D21" s="88">
        <v>102.1</v>
      </c>
      <c r="E21" s="244">
        <v>161.9</v>
      </c>
      <c r="F21" s="88">
        <v>114.7</v>
      </c>
    </row>
    <row r="22" spans="1:6" x14ac:dyDescent="0.25">
      <c r="A22" s="117" t="s">
        <v>26</v>
      </c>
      <c r="B22" s="88">
        <v>90.8</v>
      </c>
      <c r="C22" s="209">
        <v>91.8</v>
      </c>
      <c r="D22" s="88">
        <v>101.3</v>
      </c>
      <c r="E22" s="244">
        <v>142.69999999999999</v>
      </c>
      <c r="F22" s="88">
        <v>108.3</v>
      </c>
    </row>
    <row r="23" spans="1:6" x14ac:dyDescent="0.25">
      <c r="A23" s="117" t="s">
        <v>49</v>
      </c>
      <c r="B23" s="406">
        <v>91.1</v>
      </c>
      <c r="C23" s="407">
        <v>92.2</v>
      </c>
      <c r="D23" s="406">
        <v>100.2</v>
      </c>
      <c r="E23" s="244">
        <v>169.7</v>
      </c>
      <c r="F23" s="88">
        <v>109.2</v>
      </c>
    </row>
    <row r="24" spans="1:6" x14ac:dyDescent="0.25">
      <c r="A24" s="117" t="s">
        <v>51</v>
      </c>
      <c r="B24" s="406">
        <v>90.3</v>
      </c>
      <c r="C24" s="407">
        <v>91.5</v>
      </c>
      <c r="D24" s="406">
        <v>97.9</v>
      </c>
      <c r="E24" s="244">
        <v>151.69999999999999</v>
      </c>
      <c r="F24" s="88">
        <v>102.6</v>
      </c>
    </row>
    <row r="25" spans="1:6" x14ac:dyDescent="0.25">
      <c r="A25" s="117" t="s">
        <v>52</v>
      </c>
      <c r="B25" s="406">
        <v>90.2</v>
      </c>
      <c r="C25" s="407">
        <v>91.1</v>
      </c>
      <c r="D25" s="406">
        <v>98.1</v>
      </c>
      <c r="E25" s="244">
        <v>139.1</v>
      </c>
      <c r="F25" s="88">
        <v>100.9</v>
      </c>
    </row>
    <row r="26" spans="1:6" x14ac:dyDescent="0.25">
      <c r="A26" s="210" t="s">
        <v>53</v>
      </c>
      <c r="B26" s="408">
        <v>92.2</v>
      </c>
      <c r="C26" s="409">
        <v>92.1</v>
      </c>
      <c r="D26" s="408">
        <v>96.6</v>
      </c>
      <c r="E26" s="294">
        <v>114.2</v>
      </c>
      <c r="F26" s="293">
        <v>100.4</v>
      </c>
    </row>
    <row r="28" spans="1:6" x14ac:dyDescent="0.25">
      <c r="A28" s="182"/>
      <c r="C28" s="441"/>
      <c r="D28" s="20"/>
      <c r="E28" s="20"/>
    </row>
  </sheetData>
  <mergeCells count="2">
    <mergeCell ref="A3:F3"/>
    <mergeCell ref="A1:F1"/>
  </mergeCells>
  <pageMargins left="0.7" right="0.7" top="0.75" bottom="0.75" header="0.3" footer="0.3"/>
  <pageSetup paperSize="9" fitToHeight="0" orientation="portrait" verticalDpi="0"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5"/>
  <sheetViews>
    <sheetView zoomScale="80" zoomScaleNormal="80" workbookViewId="0">
      <selection activeCell="D6" sqref="D6"/>
    </sheetView>
  </sheetViews>
  <sheetFormatPr defaultRowHeight="13.2" x14ac:dyDescent="0.25"/>
  <cols>
    <col min="1" max="1" width="22.109375" customWidth="1"/>
    <col min="2" max="2" width="18.5546875" customWidth="1"/>
    <col min="3" max="3" width="19.109375" customWidth="1"/>
    <col min="4" max="4" width="21.5546875" customWidth="1"/>
    <col min="5" max="5" width="22.44140625" customWidth="1"/>
  </cols>
  <sheetData>
    <row r="1" spans="1:6" ht="34.799999999999997" customHeight="1" x14ac:dyDescent="0.25">
      <c r="A1" s="653" t="s">
        <v>430</v>
      </c>
      <c r="B1" s="653"/>
      <c r="C1" s="653"/>
      <c r="D1" s="653"/>
      <c r="E1" s="653"/>
    </row>
    <row r="2" spans="1:6" x14ac:dyDescent="0.25">
      <c r="A2" s="31"/>
      <c r="B2" s="20"/>
      <c r="C2" s="20"/>
      <c r="D2" s="20"/>
    </row>
    <row r="3" spans="1:6" ht="13.2" customHeight="1" x14ac:dyDescent="0.25">
      <c r="A3" s="678"/>
      <c r="B3" s="680" t="s">
        <v>636</v>
      </c>
      <c r="C3" s="667"/>
      <c r="D3" s="644" t="s">
        <v>665</v>
      </c>
      <c r="E3" s="325" t="s">
        <v>431</v>
      </c>
    </row>
    <row r="4" spans="1:6" ht="54.6" customHeight="1" x14ac:dyDescent="0.25">
      <c r="A4" s="679"/>
      <c r="B4" s="324" t="s">
        <v>340</v>
      </c>
      <c r="C4" s="371" t="s">
        <v>526</v>
      </c>
      <c r="D4" s="663"/>
      <c r="E4" s="624" t="s">
        <v>675</v>
      </c>
    </row>
    <row r="5" spans="1:6" ht="26.4" x14ac:dyDescent="0.25">
      <c r="A5" s="91" t="s">
        <v>296</v>
      </c>
      <c r="B5" s="94">
        <v>13.7</v>
      </c>
      <c r="C5" s="94">
        <v>91</v>
      </c>
      <c r="D5" s="222">
        <v>93.3</v>
      </c>
      <c r="E5" s="349">
        <v>101.2</v>
      </c>
      <c r="F5" s="95"/>
    </row>
    <row r="6" spans="1:6" x14ac:dyDescent="0.25">
      <c r="A6" s="166" t="s">
        <v>139</v>
      </c>
      <c r="B6" s="94"/>
      <c r="C6" s="94"/>
      <c r="D6" s="222"/>
      <c r="E6" s="329"/>
      <c r="F6" s="95"/>
    </row>
    <row r="7" spans="1:6" x14ac:dyDescent="0.25">
      <c r="A7" s="78" t="s">
        <v>291</v>
      </c>
      <c r="B7" s="96">
        <v>1.1000000000000001</v>
      </c>
      <c r="C7" s="96">
        <v>85.9</v>
      </c>
      <c r="D7" s="222">
        <v>81.7</v>
      </c>
      <c r="E7" s="329">
        <v>107.4</v>
      </c>
      <c r="F7" s="95"/>
    </row>
    <row r="8" spans="1:6" x14ac:dyDescent="0.25">
      <c r="A8" s="78" t="s">
        <v>292</v>
      </c>
      <c r="B8" s="96" t="s">
        <v>347</v>
      </c>
      <c r="C8" s="96" t="s">
        <v>347</v>
      </c>
      <c r="D8" s="222">
        <v>96.7</v>
      </c>
      <c r="E8" s="247">
        <v>96.1</v>
      </c>
      <c r="F8" s="95"/>
    </row>
    <row r="9" spans="1:6" x14ac:dyDescent="0.25">
      <c r="A9" s="55" t="s">
        <v>339</v>
      </c>
      <c r="B9" s="96" t="s">
        <v>347</v>
      </c>
      <c r="C9" s="96">
        <v>89.7</v>
      </c>
      <c r="D9" s="222">
        <v>94</v>
      </c>
      <c r="E9" s="329">
        <v>102.2</v>
      </c>
      <c r="F9" s="95"/>
    </row>
    <row r="10" spans="1:6" x14ac:dyDescent="0.25">
      <c r="A10" s="78" t="s">
        <v>293</v>
      </c>
      <c r="B10" s="96" t="s">
        <v>347</v>
      </c>
      <c r="C10" s="96">
        <v>70.400000000000006</v>
      </c>
      <c r="D10" s="223" t="s">
        <v>670</v>
      </c>
      <c r="E10" s="329">
        <v>36.700000000000003</v>
      </c>
      <c r="F10" s="95"/>
    </row>
    <row r="11" spans="1:6" x14ac:dyDescent="0.25">
      <c r="A11" s="70" t="s">
        <v>294</v>
      </c>
      <c r="B11" s="94">
        <v>31</v>
      </c>
      <c r="C11" s="94">
        <v>99.3</v>
      </c>
      <c r="D11" s="223">
        <v>98.1</v>
      </c>
      <c r="E11" s="247">
        <v>100.3</v>
      </c>
      <c r="F11" s="95"/>
    </row>
    <row r="12" spans="1:6" x14ac:dyDescent="0.25">
      <c r="A12" s="226" t="s">
        <v>362</v>
      </c>
      <c r="B12" s="224">
        <v>108.2</v>
      </c>
      <c r="C12" s="330">
        <v>114.2</v>
      </c>
      <c r="D12" s="322">
        <v>113.7</v>
      </c>
      <c r="E12" s="310">
        <v>97.6</v>
      </c>
      <c r="F12" s="95"/>
    </row>
    <row r="13" spans="1:6" ht="19.2" customHeight="1" x14ac:dyDescent="0.25">
      <c r="A13" s="681" t="s">
        <v>295</v>
      </c>
      <c r="B13" s="681"/>
      <c r="C13" s="681"/>
      <c r="D13" s="681"/>
      <c r="E13" s="95"/>
    </row>
    <row r="15" spans="1:6" ht="44.4" customHeight="1" x14ac:dyDescent="0.25">
      <c r="A15" s="677" t="s">
        <v>676</v>
      </c>
      <c r="B15" s="677"/>
      <c r="C15" s="677"/>
      <c r="D15" s="677"/>
      <c r="E15" s="677"/>
    </row>
  </sheetData>
  <mergeCells count="6">
    <mergeCell ref="A15:E15"/>
    <mergeCell ref="A3:A4"/>
    <mergeCell ref="B3:C3"/>
    <mergeCell ref="A1:E1"/>
    <mergeCell ref="D3:D4"/>
    <mergeCell ref="A13:D13"/>
  </mergeCells>
  <pageMargins left="0.7" right="0.7" top="0.75" bottom="0.75" header="0.3" footer="0.3"/>
  <pageSetup paperSize="9" scale="86"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5"/>
  <sheetViews>
    <sheetView zoomScale="80" zoomScaleNormal="80" workbookViewId="0">
      <selection activeCell="D6" sqref="D6"/>
    </sheetView>
  </sheetViews>
  <sheetFormatPr defaultRowHeight="13.2" x14ac:dyDescent="0.25"/>
  <cols>
    <col min="1" max="1" width="32.5546875" customWidth="1"/>
    <col min="2" max="2" width="26.44140625" customWidth="1"/>
    <col min="3" max="3" width="26.5546875" customWidth="1"/>
  </cols>
  <sheetData>
    <row r="1" spans="1:5" ht="13.8" x14ac:dyDescent="0.25">
      <c r="A1" s="653" t="s">
        <v>129</v>
      </c>
      <c r="B1" s="653"/>
      <c r="C1" s="653"/>
    </row>
    <row r="2" spans="1:5" x14ac:dyDescent="0.25">
      <c r="A2" s="32"/>
      <c r="B2" s="20"/>
      <c r="C2" s="20"/>
    </row>
    <row r="3" spans="1:5" ht="30.6" customHeight="1" x14ac:dyDescent="0.25">
      <c r="A3" s="660" t="s">
        <v>415</v>
      </c>
      <c r="B3" s="682"/>
      <c r="C3" s="682"/>
    </row>
    <row r="4" spans="1:5" x14ac:dyDescent="0.25">
      <c r="A4" s="31"/>
      <c r="B4" s="20"/>
      <c r="C4" s="20"/>
    </row>
    <row r="5" spans="1:5" ht="39.6" x14ac:dyDescent="0.25">
      <c r="A5" s="144"/>
      <c r="B5" s="282" t="s">
        <v>128</v>
      </c>
      <c r="C5" s="373" t="s">
        <v>349</v>
      </c>
    </row>
    <row r="6" spans="1:5" ht="13.2" customHeight="1" x14ac:dyDescent="0.25">
      <c r="A6" s="205" t="s">
        <v>485</v>
      </c>
      <c r="B6" s="122"/>
      <c r="C6" s="122"/>
      <c r="E6" s="346"/>
    </row>
    <row r="7" spans="1:5" x14ac:dyDescent="0.25">
      <c r="A7" s="75" t="s">
        <v>43</v>
      </c>
      <c r="B7" s="213">
        <v>45781.4</v>
      </c>
      <c r="C7" s="240">
        <v>153.1</v>
      </c>
      <c r="E7" s="346"/>
    </row>
    <row r="8" spans="1:5" x14ac:dyDescent="0.25">
      <c r="A8" s="377" t="s">
        <v>47</v>
      </c>
      <c r="B8" s="213">
        <v>118599.1</v>
      </c>
      <c r="C8" s="240">
        <v>131.1</v>
      </c>
      <c r="E8" s="346"/>
    </row>
    <row r="9" spans="1:5" x14ac:dyDescent="0.25">
      <c r="A9" s="19" t="s">
        <v>632</v>
      </c>
      <c r="B9" s="512">
        <v>175279.3</v>
      </c>
      <c r="C9" s="513">
        <v>129.9</v>
      </c>
      <c r="E9" s="346"/>
    </row>
    <row r="10" spans="1:5" x14ac:dyDescent="0.25">
      <c r="A10" s="295" t="s">
        <v>432</v>
      </c>
      <c r="B10" s="296"/>
      <c r="C10" s="297"/>
      <c r="E10" s="346"/>
    </row>
    <row r="11" spans="1:5" x14ac:dyDescent="0.25">
      <c r="A11" s="75" t="s">
        <v>43</v>
      </c>
      <c r="B11" s="213">
        <v>27841.8</v>
      </c>
      <c r="C11" s="234">
        <v>73.7</v>
      </c>
      <c r="E11" s="346"/>
    </row>
    <row r="12" spans="1:5" ht="13.2" customHeight="1" x14ac:dyDescent="0.25">
      <c r="A12" s="138" t="s">
        <v>47</v>
      </c>
      <c r="B12" s="213">
        <v>84336.9</v>
      </c>
      <c r="C12" s="240">
        <v>85.5</v>
      </c>
      <c r="E12" s="346"/>
    </row>
    <row r="13" spans="1:5" ht="13.2" customHeight="1" x14ac:dyDescent="0.25">
      <c r="A13" s="138" t="s">
        <v>50</v>
      </c>
      <c r="B13" s="177">
        <v>146529.29999999999</v>
      </c>
      <c r="C13" s="240">
        <v>84.4</v>
      </c>
      <c r="E13" s="346"/>
    </row>
    <row r="14" spans="1:5" ht="13.2" customHeight="1" x14ac:dyDescent="0.25">
      <c r="A14" s="50" t="s">
        <v>54</v>
      </c>
      <c r="B14" s="298">
        <v>220274.7</v>
      </c>
      <c r="C14" s="299">
        <v>92.3</v>
      </c>
      <c r="E14" s="346"/>
    </row>
    <row r="15" spans="1:5" x14ac:dyDescent="0.25">
      <c r="E15" s="346"/>
    </row>
  </sheetData>
  <mergeCells count="2">
    <mergeCell ref="A1:C1"/>
    <mergeCell ref="A3:C3"/>
  </mergeCells>
  <pageMargins left="0.7" right="0.7" top="0.75" bottom="0.75" header="0.3" footer="0.3"/>
  <pageSetup paperSize="9" fitToHeight="0" orientation="portrait" verticalDpi="0"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7"/>
  <sheetViews>
    <sheetView zoomScale="80" zoomScaleNormal="80" workbookViewId="0">
      <selection activeCell="D6" sqref="D6"/>
    </sheetView>
  </sheetViews>
  <sheetFormatPr defaultRowHeight="13.2" x14ac:dyDescent="0.25"/>
  <cols>
    <col min="1" max="1" width="27.88671875" customWidth="1"/>
    <col min="2" max="4" width="18.21875" customWidth="1"/>
  </cols>
  <sheetData>
    <row r="1" spans="1:5" ht="40.799999999999997" customHeight="1" x14ac:dyDescent="0.25">
      <c r="A1" s="683" t="s">
        <v>519</v>
      </c>
      <c r="B1" s="683"/>
      <c r="C1" s="683"/>
      <c r="D1" s="683"/>
    </row>
    <row r="2" spans="1:5" x14ac:dyDescent="0.25">
      <c r="A2" s="33"/>
      <c r="B2" s="20"/>
      <c r="C2" s="20"/>
      <c r="D2" s="20"/>
    </row>
    <row r="3" spans="1:5" x14ac:dyDescent="0.25">
      <c r="A3" s="678"/>
      <c r="B3" s="684" t="s">
        <v>395</v>
      </c>
      <c r="C3" s="666" t="s">
        <v>37</v>
      </c>
      <c r="D3" s="667"/>
    </row>
    <row r="4" spans="1:5" ht="39.6" x14ac:dyDescent="0.25">
      <c r="A4" s="679"/>
      <c r="B4" s="685"/>
      <c r="C4" s="370" t="s">
        <v>38</v>
      </c>
      <c r="D4" s="374" t="s">
        <v>39</v>
      </c>
    </row>
    <row r="5" spans="1:5" x14ac:dyDescent="0.25">
      <c r="A5" s="121" t="s">
        <v>485</v>
      </c>
      <c r="B5" s="121"/>
      <c r="C5" s="121"/>
      <c r="D5" s="121"/>
    </row>
    <row r="6" spans="1:5" x14ac:dyDescent="0.25">
      <c r="A6" s="140" t="s">
        <v>40</v>
      </c>
      <c r="B6" s="152">
        <v>256605</v>
      </c>
      <c r="C6" s="102">
        <v>76</v>
      </c>
      <c r="D6" s="328">
        <v>62.6</v>
      </c>
      <c r="E6" s="346"/>
    </row>
    <row r="7" spans="1:5" x14ac:dyDescent="0.25">
      <c r="A7" s="18" t="s">
        <v>41</v>
      </c>
      <c r="B7" s="152">
        <v>162216</v>
      </c>
      <c r="C7" s="102">
        <v>63.2</v>
      </c>
      <c r="D7" s="328">
        <v>91.1</v>
      </c>
      <c r="E7" s="346"/>
    </row>
    <row r="8" spans="1:5" x14ac:dyDescent="0.25">
      <c r="A8" s="18" t="s">
        <v>42</v>
      </c>
      <c r="B8" s="152">
        <v>287976</v>
      </c>
      <c r="C8" s="102">
        <v>177.5</v>
      </c>
      <c r="D8" s="328">
        <v>101.3</v>
      </c>
      <c r="E8" s="346"/>
    </row>
    <row r="9" spans="1:5" x14ac:dyDescent="0.25">
      <c r="A9" s="24" t="s">
        <v>130</v>
      </c>
      <c r="B9" s="152">
        <v>706797</v>
      </c>
      <c r="C9" s="102">
        <v>105.2</v>
      </c>
      <c r="D9" s="102">
        <v>81</v>
      </c>
      <c r="E9" s="346"/>
    </row>
    <row r="10" spans="1:5" x14ac:dyDescent="0.25">
      <c r="A10" s="372" t="s">
        <v>44</v>
      </c>
      <c r="B10" s="152">
        <v>111006</v>
      </c>
      <c r="C10" s="102">
        <v>38.5</v>
      </c>
      <c r="D10" s="102">
        <v>131.19999999999999</v>
      </c>
      <c r="E10" s="346"/>
    </row>
    <row r="11" spans="1:5" x14ac:dyDescent="0.25">
      <c r="A11" s="63" t="s">
        <v>45</v>
      </c>
      <c r="B11" s="152">
        <v>131536</v>
      </c>
      <c r="C11" s="102">
        <v>118.5</v>
      </c>
      <c r="D11" s="102">
        <v>76.3</v>
      </c>
      <c r="E11" s="346"/>
    </row>
    <row r="12" spans="1:5" x14ac:dyDescent="0.25">
      <c r="A12" s="18" t="s">
        <v>46</v>
      </c>
      <c r="B12" s="152">
        <v>239880</v>
      </c>
      <c r="C12" s="102">
        <v>182.4</v>
      </c>
      <c r="D12" s="102">
        <v>103</v>
      </c>
      <c r="E12" s="346"/>
    </row>
    <row r="13" spans="1:5" x14ac:dyDescent="0.25">
      <c r="A13" s="24" t="s">
        <v>131</v>
      </c>
      <c r="B13" s="152">
        <v>482422</v>
      </c>
      <c r="C13" s="102">
        <v>68.3</v>
      </c>
      <c r="D13" s="102">
        <v>98.4</v>
      </c>
      <c r="E13" s="346"/>
    </row>
    <row r="14" spans="1:5" x14ac:dyDescent="0.25">
      <c r="A14" s="24" t="s">
        <v>47</v>
      </c>
      <c r="B14" s="152">
        <v>1189219</v>
      </c>
      <c r="C14" s="102"/>
      <c r="D14" s="102">
        <v>87.3</v>
      </c>
      <c r="E14" s="346"/>
    </row>
    <row r="15" spans="1:5" x14ac:dyDescent="0.25">
      <c r="A15" s="63" t="s">
        <v>48</v>
      </c>
      <c r="B15" s="152">
        <v>154653</v>
      </c>
      <c r="C15" s="102">
        <v>64.5</v>
      </c>
      <c r="D15" s="102">
        <v>100.6</v>
      </c>
      <c r="E15" s="346"/>
    </row>
    <row r="16" spans="1:5" x14ac:dyDescent="0.25">
      <c r="A16" s="63" t="s">
        <v>26</v>
      </c>
      <c r="B16" s="152">
        <v>194852</v>
      </c>
      <c r="C16" s="102">
        <v>126</v>
      </c>
      <c r="D16" s="102">
        <v>101.9</v>
      </c>
      <c r="E16" s="346"/>
    </row>
    <row r="17" spans="1:5" x14ac:dyDescent="0.25">
      <c r="A17" s="23" t="s">
        <v>632</v>
      </c>
      <c r="B17" s="152">
        <v>1538724</v>
      </c>
      <c r="C17" s="102"/>
      <c r="D17" s="102">
        <v>90.1</v>
      </c>
      <c r="E17" s="346"/>
    </row>
    <row r="18" spans="1:5" x14ac:dyDescent="0.25">
      <c r="A18" s="120" t="s">
        <v>432</v>
      </c>
      <c r="B18" s="120"/>
      <c r="C18" s="120"/>
      <c r="D18" s="120"/>
      <c r="E18" s="346"/>
    </row>
    <row r="19" spans="1:5" x14ac:dyDescent="0.25">
      <c r="A19" s="140" t="s">
        <v>40</v>
      </c>
      <c r="B19" s="152">
        <v>410078</v>
      </c>
      <c r="C19" s="328">
        <v>94.7</v>
      </c>
      <c r="D19" s="328">
        <v>140.30000000000001</v>
      </c>
      <c r="E19" s="346"/>
    </row>
    <row r="20" spans="1:5" x14ac:dyDescent="0.25">
      <c r="A20" s="18" t="s">
        <v>41</v>
      </c>
      <c r="B20" s="152">
        <v>178109</v>
      </c>
      <c r="C20" s="328">
        <v>43.4</v>
      </c>
      <c r="D20" s="328">
        <v>91.9</v>
      </c>
      <c r="E20" s="346"/>
    </row>
    <row r="21" spans="1:5" x14ac:dyDescent="0.25">
      <c r="A21" s="18" t="s">
        <v>42</v>
      </c>
      <c r="B21" s="152">
        <v>284420</v>
      </c>
      <c r="C21" s="328">
        <v>159.69999999999999</v>
      </c>
      <c r="D21" s="328" t="s">
        <v>444</v>
      </c>
      <c r="E21" s="346"/>
    </row>
    <row r="22" spans="1:5" x14ac:dyDescent="0.25">
      <c r="A22" s="24" t="s">
        <v>130</v>
      </c>
      <c r="B22" s="152">
        <v>872607</v>
      </c>
      <c r="C22" s="328">
        <v>105.9</v>
      </c>
      <c r="D22" s="328">
        <v>140.6</v>
      </c>
      <c r="E22" s="346"/>
    </row>
    <row r="23" spans="1:5" x14ac:dyDescent="0.25">
      <c r="A23" s="18" t="s">
        <v>44</v>
      </c>
      <c r="B23" s="152">
        <v>84599</v>
      </c>
      <c r="C23" s="328">
        <v>29.7</v>
      </c>
      <c r="D23" s="328">
        <v>88.6</v>
      </c>
      <c r="E23" s="346"/>
    </row>
    <row r="24" spans="1:5" x14ac:dyDescent="0.25">
      <c r="A24" s="18" t="s">
        <v>45</v>
      </c>
      <c r="B24" s="152">
        <v>172505</v>
      </c>
      <c r="C24" s="328" t="s">
        <v>509</v>
      </c>
      <c r="D24" s="328">
        <v>182.4</v>
      </c>
      <c r="E24" s="58"/>
    </row>
    <row r="25" spans="1:5" x14ac:dyDescent="0.25">
      <c r="A25" s="18" t="s">
        <v>46</v>
      </c>
      <c r="B25" s="152">
        <v>232916</v>
      </c>
      <c r="C25" s="102">
        <v>135</v>
      </c>
      <c r="D25" s="328">
        <v>134.9</v>
      </c>
    </row>
    <row r="26" spans="1:5" x14ac:dyDescent="0.25">
      <c r="A26" s="24" t="s">
        <v>131</v>
      </c>
      <c r="B26" s="152">
        <v>490020</v>
      </c>
      <c r="C26" s="328">
        <v>56.2</v>
      </c>
      <c r="D26" s="328">
        <v>135.1</v>
      </c>
    </row>
    <row r="27" spans="1:5" x14ac:dyDescent="0.25">
      <c r="A27" s="24" t="s">
        <v>47</v>
      </c>
      <c r="B27" s="152">
        <v>1362627</v>
      </c>
      <c r="C27" s="328"/>
      <c r="D27" s="328">
        <v>138.6</v>
      </c>
    </row>
    <row r="28" spans="1:5" x14ac:dyDescent="0.25">
      <c r="A28" s="18" t="s">
        <v>48</v>
      </c>
      <c r="B28" s="152">
        <v>153701</v>
      </c>
      <c r="C28" s="102">
        <v>66</v>
      </c>
      <c r="D28" s="328">
        <v>62.1</v>
      </c>
    </row>
    <row r="29" spans="1:5" x14ac:dyDescent="0.25">
      <c r="A29" s="18" t="s">
        <v>26</v>
      </c>
      <c r="B29" s="152">
        <v>191132</v>
      </c>
      <c r="C29" s="102">
        <v>124.4</v>
      </c>
      <c r="D29" s="328">
        <v>93.6</v>
      </c>
    </row>
    <row r="30" spans="1:5" x14ac:dyDescent="0.25">
      <c r="A30" s="18" t="s">
        <v>49</v>
      </c>
      <c r="B30" s="152">
        <v>224298</v>
      </c>
      <c r="C30" s="102">
        <v>117.4</v>
      </c>
      <c r="D30" s="328">
        <v>99.2</v>
      </c>
    </row>
    <row r="31" spans="1:5" x14ac:dyDescent="0.25">
      <c r="A31" s="24" t="s">
        <v>132</v>
      </c>
      <c r="B31" s="152">
        <v>569131</v>
      </c>
      <c r="C31" s="102">
        <v>116.1</v>
      </c>
      <c r="D31" s="102">
        <v>84</v>
      </c>
    </row>
    <row r="32" spans="1:5" x14ac:dyDescent="0.25">
      <c r="A32" s="24" t="s">
        <v>50</v>
      </c>
      <c r="B32" s="152">
        <v>1931758</v>
      </c>
      <c r="C32" s="328"/>
      <c r="D32" s="102">
        <v>116.3</v>
      </c>
    </row>
    <row r="33" spans="1:4" x14ac:dyDescent="0.25">
      <c r="A33" s="91" t="s">
        <v>51</v>
      </c>
      <c r="B33" s="152">
        <v>119356</v>
      </c>
      <c r="C33" s="328">
        <v>53.2</v>
      </c>
      <c r="D33" s="102">
        <v>56.3</v>
      </c>
    </row>
    <row r="34" spans="1:4" x14ac:dyDescent="0.25">
      <c r="A34" s="91" t="s">
        <v>52</v>
      </c>
      <c r="B34" s="152">
        <v>214538</v>
      </c>
      <c r="C34" s="328">
        <v>179.7</v>
      </c>
      <c r="D34" s="102">
        <v>119.8</v>
      </c>
    </row>
    <row r="35" spans="1:4" x14ac:dyDescent="0.25">
      <c r="A35" s="18" t="s">
        <v>53</v>
      </c>
      <c r="B35" s="152">
        <v>337676</v>
      </c>
      <c r="C35" s="328">
        <v>157.4</v>
      </c>
      <c r="D35" s="102">
        <v>77.900000000000006</v>
      </c>
    </row>
    <row r="36" spans="1:4" x14ac:dyDescent="0.25">
      <c r="A36" s="24" t="s">
        <v>133</v>
      </c>
      <c r="B36" s="152">
        <v>671570</v>
      </c>
      <c r="C36" s="102">
        <v>118</v>
      </c>
      <c r="D36" s="102">
        <v>81.5</v>
      </c>
    </row>
    <row r="37" spans="1:4" x14ac:dyDescent="0.25">
      <c r="A37" s="131" t="s">
        <v>54</v>
      </c>
      <c r="B37" s="345">
        <v>2603328</v>
      </c>
      <c r="C37" s="300"/>
      <c r="D37" s="331">
        <v>104.7</v>
      </c>
    </row>
  </sheetData>
  <mergeCells count="4">
    <mergeCell ref="A1:D1"/>
    <mergeCell ref="A3:A4"/>
    <mergeCell ref="B3:B4"/>
    <mergeCell ref="C3:D3"/>
  </mergeCells>
  <pageMargins left="0.7" right="0.7" top="0.75" bottom="0.75" header="0.3" footer="0.3"/>
  <pageSetup paperSize="9" fitToHeight="0" orientation="portrait" verticalDpi="0"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8"/>
  <sheetViews>
    <sheetView view="pageLayout" zoomScale="90" zoomScaleNormal="80" zoomScalePageLayoutView="90" workbookViewId="0">
      <selection activeCell="D6" sqref="D6"/>
    </sheetView>
  </sheetViews>
  <sheetFormatPr defaultRowHeight="13.2" x14ac:dyDescent="0.25"/>
  <cols>
    <col min="1" max="1" width="31.5546875" customWidth="1"/>
    <col min="2" max="3" width="27.88671875" style="20" customWidth="1"/>
    <col min="4" max="4" width="10.109375" customWidth="1"/>
  </cols>
  <sheetData>
    <row r="1" spans="1:3" ht="13.8" x14ac:dyDescent="0.25">
      <c r="A1" s="651" t="s">
        <v>269</v>
      </c>
      <c r="B1" s="651"/>
      <c r="C1" s="651"/>
    </row>
    <row r="3" spans="1:3" ht="41.25" customHeight="1" x14ac:dyDescent="0.25">
      <c r="A3" s="686" t="s">
        <v>445</v>
      </c>
      <c r="B3" s="686"/>
      <c r="C3" s="686"/>
    </row>
    <row r="4" spans="1:3" x14ac:dyDescent="0.25">
      <c r="A4" s="368"/>
    </row>
    <row r="5" spans="1:3" ht="26.4" x14ac:dyDescent="0.25">
      <c r="A5" s="145"/>
      <c r="B5" s="369" t="s">
        <v>134</v>
      </c>
      <c r="C5" s="202" t="s">
        <v>437</v>
      </c>
    </row>
    <row r="6" spans="1:3" x14ac:dyDescent="0.25">
      <c r="A6" s="169" t="s">
        <v>485</v>
      </c>
      <c r="B6" s="118"/>
      <c r="C6" s="118"/>
    </row>
    <row r="7" spans="1:3" x14ac:dyDescent="0.25">
      <c r="A7" s="137" t="s">
        <v>40</v>
      </c>
      <c r="B7" s="203">
        <v>140.80000000000001</v>
      </c>
      <c r="C7" s="203">
        <v>126.9</v>
      </c>
    </row>
    <row r="8" spans="1:3" x14ac:dyDescent="0.25">
      <c r="A8" s="137" t="s">
        <v>41</v>
      </c>
      <c r="B8" s="203">
        <v>170.1</v>
      </c>
      <c r="C8" s="203">
        <v>136.69999999999999</v>
      </c>
    </row>
    <row r="9" spans="1:3" x14ac:dyDescent="0.25">
      <c r="A9" s="137" t="s">
        <v>42</v>
      </c>
      <c r="B9" s="203">
        <v>191</v>
      </c>
      <c r="C9" s="203">
        <v>122.3</v>
      </c>
    </row>
    <row r="10" spans="1:3" x14ac:dyDescent="0.25">
      <c r="A10" s="379" t="s">
        <v>44</v>
      </c>
      <c r="B10" s="203">
        <v>182.7</v>
      </c>
      <c r="C10" s="203">
        <v>124.3</v>
      </c>
    </row>
    <row r="11" spans="1:3" x14ac:dyDescent="0.25">
      <c r="A11" s="137" t="s">
        <v>45</v>
      </c>
      <c r="B11" s="203">
        <v>173.6</v>
      </c>
      <c r="C11" s="203">
        <v>116.9</v>
      </c>
    </row>
    <row r="12" spans="1:3" x14ac:dyDescent="0.25">
      <c r="A12" s="379" t="s">
        <v>46</v>
      </c>
      <c r="B12" s="203">
        <v>170.3</v>
      </c>
      <c r="C12" s="203">
        <v>110.7</v>
      </c>
    </row>
    <row r="13" spans="1:3" x14ac:dyDescent="0.25">
      <c r="A13" s="379" t="s">
        <v>48</v>
      </c>
      <c r="B13" s="203">
        <v>173.9</v>
      </c>
      <c r="C13" s="203">
        <v>107.6</v>
      </c>
    </row>
    <row r="14" spans="1:3" x14ac:dyDescent="0.25">
      <c r="A14" s="66" t="s">
        <v>26</v>
      </c>
      <c r="B14" s="203">
        <v>180.8</v>
      </c>
      <c r="C14" s="203">
        <v>99.3</v>
      </c>
    </row>
    <row r="15" spans="1:3" x14ac:dyDescent="0.25">
      <c r="A15" s="163" t="s">
        <v>432</v>
      </c>
      <c r="B15" s="128"/>
      <c r="C15" s="128"/>
    </row>
    <row r="16" spans="1:3" x14ac:dyDescent="0.25">
      <c r="A16" s="137" t="s">
        <v>40</v>
      </c>
      <c r="B16" s="203">
        <v>111</v>
      </c>
      <c r="C16" s="203">
        <v>86.7</v>
      </c>
    </row>
    <row r="17" spans="1:3" ht="13.5" customHeight="1" x14ac:dyDescent="0.25">
      <c r="A17" s="137" t="s">
        <v>41</v>
      </c>
      <c r="B17" s="203">
        <v>124.5</v>
      </c>
      <c r="C17" s="203">
        <v>108.8</v>
      </c>
    </row>
    <row r="18" spans="1:3" ht="13.5" customHeight="1" x14ac:dyDescent="0.25">
      <c r="A18" s="137" t="s">
        <v>42</v>
      </c>
      <c r="B18" s="203">
        <v>156.19999999999999</v>
      </c>
      <c r="C18" s="203">
        <v>127.3</v>
      </c>
    </row>
    <row r="19" spans="1:3" ht="13.5" customHeight="1" x14ac:dyDescent="0.25">
      <c r="A19" s="137" t="s">
        <v>44</v>
      </c>
      <c r="B19" s="203">
        <v>146.9</v>
      </c>
      <c r="C19" s="203">
        <v>114.1</v>
      </c>
    </row>
    <row r="20" spans="1:3" ht="13.5" customHeight="1" x14ac:dyDescent="0.25">
      <c r="A20" s="137" t="s">
        <v>45</v>
      </c>
      <c r="B20" s="203">
        <v>148.5</v>
      </c>
      <c r="C20" s="203">
        <v>108.5</v>
      </c>
    </row>
    <row r="21" spans="1:3" ht="13.5" customHeight="1" x14ac:dyDescent="0.25">
      <c r="A21" s="137" t="s">
        <v>46</v>
      </c>
      <c r="B21" s="203">
        <v>153.80000000000001</v>
      </c>
      <c r="C21" s="203">
        <v>111.7</v>
      </c>
    </row>
    <row r="22" spans="1:3" ht="13.5" customHeight="1" x14ac:dyDescent="0.25">
      <c r="A22" s="137" t="s">
        <v>48</v>
      </c>
      <c r="B22" s="203">
        <v>161.69999999999999</v>
      </c>
      <c r="C22" s="203">
        <v>120.8</v>
      </c>
    </row>
    <row r="23" spans="1:3" ht="13.5" customHeight="1" x14ac:dyDescent="0.25">
      <c r="A23" s="66" t="s">
        <v>26</v>
      </c>
      <c r="B23" s="203">
        <v>182.1</v>
      </c>
      <c r="C23" s="203">
        <v>124.5</v>
      </c>
    </row>
    <row r="24" spans="1:3" ht="13.5" customHeight="1" x14ac:dyDescent="0.25">
      <c r="A24" s="66" t="s">
        <v>49</v>
      </c>
      <c r="B24" s="203">
        <v>184.9</v>
      </c>
      <c r="C24" s="203">
        <v>128.4</v>
      </c>
    </row>
    <row r="25" spans="1:3" ht="13.5" customHeight="1" x14ac:dyDescent="0.25">
      <c r="A25" s="66" t="s">
        <v>51</v>
      </c>
      <c r="B25" s="203">
        <v>165.2</v>
      </c>
      <c r="C25" s="203">
        <v>111.1</v>
      </c>
    </row>
    <row r="26" spans="1:3" ht="13.5" customHeight="1" x14ac:dyDescent="0.25">
      <c r="A26" s="66" t="s">
        <v>52</v>
      </c>
      <c r="B26" s="203">
        <v>157.9</v>
      </c>
      <c r="C26" s="203">
        <v>129.19999999999999</v>
      </c>
    </row>
    <row r="27" spans="1:3" ht="13.5" customHeight="1" x14ac:dyDescent="0.25">
      <c r="A27" s="301" t="s">
        <v>53</v>
      </c>
      <c r="B27" s="302">
        <v>162.9</v>
      </c>
      <c r="C27" s="302">
        <v>138.19999999999999</v>
      </c>
    </row>
    <row r="33" spans="2:3" x14ac:dyDescent="0.25">
      <c r="B33"/>
      <c r="C33"/>
    </row>
    <row r="34" spans="2:3" x14ac:dyDescent="0.25">
      <c r="B34"/>
      <c r="C34"/>
    </row>
    <row r="47" spans="2:3" x14ac:dyDescent="0.25">
      <c r="B47"/>
      <c r="C47"/>
    </row>
    <row r="48" spans="2:3" x14ac:dyDescent="0.25">
      <c r="B48"/>
      <c r="C48"/>
    </row>
  </sheetData>
  <mergeCells count="2">
    <mergeCell ref="A1:C1"/>
    <mergeCell ref="A3:C3"/>
  </mergeCells>
  <pageMargins left="0.7" right="0.7" top="0.75" bottom="0.75" header="0.3" footer="0.3"/>
  <pageSetup paperSize="9"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9"/>
  <sheetViews>
    <sheetView zoomScale="80" zoomScaleNormal="80" workbookViewId="0">
      <selection activeCell="D6" sqref="D6"/>
    </sheetView>
  </sheetViews>
  <sheetFormatPr defaultRowHeight="13.2" x14ac:dyDescent="0.25"/>
  <cols>
    <col min="1" max="1" width="35.88671875" customWidth="1"/>
    <col min="2" max="3" width="29.44140625" style="20" customWidth="1"/>
  </cols>
  <sheetData>
    <row r="1" spans="1:3" ht="40.799999999999997" customHeight="1" x14ac:dyDescent="0.25">
      <c r="A1" s="686" t="s">
        <v>494</v>
      </c>
      <c r="B1" s="686"/>
      <c r="C1" s="686"/>
    </row>
    <row r="2" spans="1:3" x14ac:dyDescent="0.25">
      <c r="A2" s="368"/>
    </row>
    <row r="3" spans="1:3" ht="41.25" customHeight="1" x14ac:dyDescent="0.25">
      <c r="A3" s="145"/>
      <c r="B3" s="369" t="s">
        <v>493</v>
      </c>
      <c r="C3" s="202" t="s">
        <v>517</v>
      </c>
    </row>
    <row r="4" spans="1:3" x14ac:dyDescent="0.25">
      <c r="A4" s="121" t="s">
        <v>485</v>
      </c>
      <c r="B4" s="118"/>
      <c r="C4" s="118"/>
    </row>
    <row r="5" spans="1:3" x14ac:dyDescent="0.25">
      <c r="A5" s="91" t="s">
        <v>40</v>
      </c>
      <c r="B5" s="287">
        <v>104.5</v>
      </c>
      <c r="C5" s="288">
        <v>102.6</v>
      </c>
    </row>
    <row r="6" spans="1:3" x14ac:dyDescent="0.25">
      <c r="A6" s="314" t="s">
        <v>41</v>
      </c>
      <c r="B6" s="350">
        <v>110.2</v>
      </c>
      <c r="C6" s="351">
        <v>99.8</v>
      </c>
    </row>
    <row r="7" spans="1:3" x14ac:dyDescent="0.25">
      <c r="A7" s="86" t="s">
        <v>42</v>
      </c>
      <c r="B7" s="287">
        <v>120.3</v>
      </c>
      <c r="C7" s="288">
        <v>105.5</v>
      </c>
    </row>
    <row r="8" spans="1:3" x14ac:dyDescent="0.25">
      <c r="A8" s="379" t="s">
        <v>44</v>
      </c>
      <c r="B8" s="350">
        <v>125.5</v>
      </c>
      <c r="C8" s="351">
        <v>106.4</v>
      </c>
    </row>
    <row r="9" spans="1:3" x14ac:dyDescent="0.25">
      <c r="A9" s="137" t="s">
        <v>45</v>
      </c>
      <c r="B9" s="350">
        <v>126.2</v>
      </c>
      <c r="C9" s="351">
        <v>101.5</v>
      </c>
    </row>
    <row r="10" spans="1:3" x14ac:dyDescent="0.25">
      <c r="A10" s="86" t="s">
        <v>46</v>
      </c>
      <c r="B10" s="287">
        <v>122</v>
      </c>
      <c r="C10" s="288">
        <v>102.8</v>
      </c>
    </row>
    <row r="11" spans="1:3" ht="15.6" x14ac:dyDescent="0.25">
      <c r="A11" s="379" t="s">
        <v>638</v>
      </c>
      <c r="B11" s="287">
        <v>124.5</v>
      </c>
      <c r="C11" s="288">
        <v>101.1</v>
      </c>
    </row>
    <row r="12" spans="1:3" x14ac:dyDescent="0.25">
      <c r="A12" s="76" t="s">
        <v>26</v>
      </c>
      <c r="B12" s="287">
        <v>119.6</v>
      </c>
      <c r="C12" s="288">
        <v>98.1</v>
      </c>
    </row>
    <row r="13" spans="1:3" x14ac:dyDescent="0.25">
      <c r="A13" s="120" t="s">
        <v>432</v>
      </c>
      <c r="B13" s="303"/>
      <c r="C13" s="304"/>
    </row>
    <row r="14" spans="1:3" x14ac:dyDescent="0.25">
      <c r="A14" s="86" t="s">
        <v>40</v>
      </c>
      <c r="B14" s="287">
        <v>101.9</v>
      </c>
      <c r="C14" s="288">
        <v>97.8</v>
      </c>
    </row>
    <row r="15" spans="1:3" x14ac:dyDescent="0.25">
      <c r="A15" s="86" t="s">
        <v>41</v>
      </c>
      <c r="B15" s="287">
        <v>110.4</v>
      </c>
      <c r="C15" s="288">
        <v>104.1</v>
      </c>
    </row>
    <row r="16" spans="1:3" x14ac:dyDescent="0.25">
      <c r="A16" s="86" t="s">
        <v>42</v>
      </c>
      <c r="B16" s="287">
        <v>114</v>
      </c>
      <c r="C16" s="288">
        <v>91.2</v>
      </c>
    </row>
    <row r="17" spans="1:3" ht="13.5" customHeight="1" x14ac:dyDescent="0.25">
      <c r="A17" s="86" t="s">
        <v>44</v>
      </c>
      <c r="B17" s="287">
        <v>118</v>
      </c>
      <c r="C17" s="288">
        <v>95.9</v>
      </c>
    </row>
    <row r="18" spans="1:3" ht="13.5" customHeight="1" x14ac:dyDescent="0.25">
      <c r="A18" s="86" t="s">
        <v>45</v>
      </c>
      <c r="B18" s="287">
        <v>124.3</v>
      </c>
      <c r="C18" s="288">
        <v>96.4</v>
      </c>
    </row>
    <row r="19" spans="1:3" ht="13.5" customHeight="1" x14ac:dyDescent="0.25">
      <c r="A19" s="86" t="s">
        <v>46</v>
      </c>
      <c r="B19" s="289">
        <v>118.7</v>
      </c>
      <c r="C19" s="290">
        <v>98.4</v>
      </c>
    </row>
    <row r="20" spans="1:3" ht="13.5" customHeight="1" x14ac:dyDescent="0.25">
      <c r="A20" s="86" t="s">
        <v>48</v>
      </c>
      <c r="B20" s="289">
        <v>123.2</v>
      </c>
      <c r="C20" s="290">
        <v>102.2</v>
      </c>
    </row>
    <row r="21" spans="1:3" ht="13.5" customHeight="1" x14ac:dyDescent="0.25">
      <c r="A21" s="76" t="s">
        <v>26</v>
      </c>
      <c r="B21" s="289">
        <v>122</v>
      </c>
      <c r="C21" s="290">
        <v>97.2</v>
      </c>
    </row>
    <row r="22" spans="1:3" ht="13.5" customHeight="1" x14ac:dyDescent="0.25">
      <c r="A22" s="76" t="s">
        <v>49</v>
      </c>
      <c r="B22" s="289">
        <v>129.30000000000001</v>
      </c>
      <c r="C22" s="290">
        <v>100.6</v>
      </c>
    </row>
    <row r="23" spans="1:3" ht="13.5" customHeight="1" x14ac:dyDescent="0.25">
      <c r="A23" s="76" t="s">
        <v>51</v>
      </c>
      <c r="B23" s="289">
        <v>128.19999999999999</v>
      </c>
      <c r="C23" s="290">
        <v>97.7</v>
      </c>
    </row>
    <row r="24" spans="1:3" ht="13.5" customHeight="1" x14ac:dyDescent="0.25">
      <c r="A24" s="76" t="s">
        <v>52</v>
      </c>
      <c r="B24" s="289">
        <v>121.1</v>
      </c>
      <c r="C24" s="290">
        <v>98.8</v>
      </c>
    </row>
    <row r="25" spans="1:3" s="95" customFormat="1" ht="13.5" customHeight="1" x14ac:dyDescent="0.25">
      <c r="A25" s="270" t="s">
        <v>53</v>
      </c>
      <c r="B25" s="320">
        <v>120</v>
      </c>
      <c r="C25" s="321">
        <v>101.4</v>
      </c>
    </row>
    <row r="26" spans="1:3" ht="13.5" customHeight="1" x14ac:dyDescent="0.25"/>
    <row r="27" spans="1:3" ht="13.5" customHeight="1" x14ac:dyDescent="0.25">
      <c r="A27" s="461" t="s">
        <v>620</v>
      </c>
    </row>
    <row r="36" spans="2:3" x14ac:dyDescent="0.25">
      <c r="B36"/>
      <c r="C36"/>
    </row>
    <row r="37" spans="2:3" x14ac:dyDescent="0.25">
      <c r="B37"/>
      <c r="C37"/>
    </row>
    <row r="48" spans="2:3" x14ac:dyDescent="0.25">
      <c r="B48"/>
      <c r="C48"/>
    </row>
    <row r="49" spans="2:3" x14ac:dyDescent="0.25">
      <c r="B49"/>
      <c r="C49"/>
    </row>
  </sheetData>
  <mergeCells count="1">
    <mergeCell ref="A1:C1"/>
  </mergeCells>
  <pageMargins left="0.7" right="0.7" top="0.75" bottom="0.75" header="0.3" footer="0.3"/>
  <pageSetup paperSize="9" scale="94"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1"/>
  <sheetViews>
    <sheetView topLeftCell="A13" zoomScale="80" zoomScaleNormal="80" workbookViewId="0">
      <selection activeCell="D6" sqref="D6"/>
    </sheetView>
  </sheetViews>
  <sheetFormatPr defaultRowHeight="13.2" x14ac:dyDescent="0.25"/>
  <cols>
    <col min="1" max="1" width="29.44140625" customWidth="1"/>
    <col min="2" max="2" width="19" customWidth="1"/>
    <col min="3" max="4" width="17.6640625" customWidth="1"/>
  </cols>
  <sheetData>
    <row r="1" spans="1:4" ht="13.8" x14ac:dyDescent="0.25">
      <c r="A1" s="651" t="s">
        <v>316</v>
      </c>
      <c r="B1" s="651"/>
      <c r="C1" s="651"/>
      <c r="D1" s="651"/>
    </row>
    <row r="3" spans="1:4" ht="13.8" x14ac:dyDescent="0.25">
      <c r="A3" s="651" t="s">
        <v>137</v>
      </c>
      <c r="B3" s="651"/>
      <c r="C3" s="651"/>
      <c r="D3" s="651"/>
    </row>
    <row r="5" spans="1:4" ht="13.8" x14ac:dyDescent="0.25">
      <c r="A5" s="662" t="s">
        <v>135</v>
      </c>
      <c r="B5" s="662"/>
      <c r="C5" s="662"/>
      <c r="D5" s="662"/>
    </row>
    <row r="6" spans="1:4" x14ac:dyDescent="0.25">
      <c r="A6" s="35"/>
      <c r="B6" s="20"/>
      <c r="C6" s="20"/>
      <c r="D6" s="20"/>
    </row>
    <row r="7" spans="1:4" x14ac:dyDescent="0.25">
      <c r="A7" s="647"/>
      <c r="B7" s="687" t="s">
        <v>128</v>
      </c>
      <c r="C7" s="666" t="s">
        <v>37</v>
      </c>
      <c r="D7" s="667"/>
    </row>
    <row r="8" spans="1:4" ht="39.6" x14ac:dyDescent="0.25">
      <c r="A8" s="648"/>
      <c r="B8" s="688"/>
      <c r="C8" s="370" t="s">
        <v>136</v>
      </c>
      <c r="D8" s="374" t="s">
        <v>39</v>
      </c>
    </row>
    <row r="9" spans="1:4" x14ac:dyDescent="0.25">
      <c r="A9" s="118" t="s">
        <v>485</v>
      </c>
      <c r="B9" s="123"/>
      <c r="C9" s="123"/>
      <c r="D9" s="123"/>
    </row>
    <row r="10" spans="1:4" x14ac:dyDescent="0.25">
      <c r="A10" s="141" t="s">
        <v>40</v>
      </c>
      <c r="B10" s="94">
        <v>53733.7</v>
      </c>
      <c r="C10" s="94">
        <v>82.5</v>
      </c>
      <c r="D10" s="94">
        <v>101.9</v>
      </c>
    </row>
    <row r="11" spans="1:4" x14ac:dyDescent="0.25">
      <c r="A11" s="259" t="s">
        <v>41</v>
      </c>
      <c r="B11" s="94">
        <v>52433.5</v>
      </c>
      <c r="C11" s="94">
        <v>96.5</v>
      </c>
      <c r="D11" s="94">
        <v>97.4</v>
      </c>
    </row>
    <row r="12" spans="1:4" x14ac:dyDescent="0.25">
      <c r="A12" s="92" t="s">
        <v>42</v>
      </c>
      <c r="B12" s="94">
        <v>57369.7</v>
      </c>
      <c r="C12" s="94">
        <v>108.6</v>
      </c>
      <c r="D12" s="94">
        <v>102.8</v>
      </c>
    </row>
    <row r="13" spans="1:4" x14ac:dyDescent="0.25">
      <c r="A13" s="347" t="s">
        <v>130</v>
      </c>
      <c r="B13" s="94">
        <v>163536.9</v>
      </c>
      <c r="C13" s="94">
        <v>94</v>
      </c>
      <c r="D13" s="94">
        <v>100.7</v>
      </c>
    </row>
    <row r="14" spans="1:4" x14ac:dyDescent="0.25">
      <c r="A14" s="380" t="s">
        <v>44</v>
      </c>
      <c r="B14" s="94">
        <v>57976.9</v>
      </c>
      <c r="C14" s="94">
        <v>100.8</v>
      </c>
      <c r="D14" s="94">
        <v>101.6</v>
      </c>
    </row>
    <row r="15" spans="1:4" x14ac:dyDescent="0.25">
      <c r="A15" s="92" t="s">
        <v>45</v>
      </c>
      <c r="B15" s="94">
        <v>59012</v>
      </c>
      <c r="C15" s="94">
        <v>101.5</v>
      </c>
      <c r="D15" s="94">
        <v>101.7</v>
      </c>
    </row>
    <row r="16" spans="1:4" x14ac:dyDescent="0.25">
      <c r="A16" s="259" t="s">
        <v>46</v>
      </c>
      <c r="B16" s="94">
        <v>61506.5</v>
      </c>
      <c r="C16" s="94">
        <v>104.3</v>
      </c>
      <c r="D16" s="94">
        <v>104</v>
      </c>
    </row>
    <row r="17" spans="1:4" x14ac:dyDescent="0.25">
      <c r="A17" s="105" t="s">
        <v>131</v>
      </c>
      <c r="B17" s="94">
        <v>178495.4</v>
      </c>
      <c r="C17" s="94">
        <v>107.4</v>
      </c>
      <c r="D17" s="94">
        <v>102.4</v>
      </c>
    </row>
    <row r="18" spans="1:4" x14ac:dyDescent="0.25">
      <c r="A18" s="105" t="s">
        <v>47</v>
      </c>
      <c r="B18" s="94">
        <v>342032.4</v>
      </c>
      <c r="C18" s="94"/>
      <c r="D18" s="94">
        <v>101.6</v>
      </c>
    </row>
    <row r="19" spans="1:4" x14ac:dyDescent="0.25">
      <c r="A19" s="259" t="s">
        <v>48</v>
      </c>
      <c r="B19" s="94">
        <v>61191.199999999997</v>
      </c>
      <c r="C19" s="94">
        <v>99.6</v>
      </c>
      <c r="D19" s="94">
        <v>102.4</v>
      </c>
    </row>
    <row r="20" spans="1:4" x14ac:dyDescent="0.25">
      <c r="A20" s="259" t="s">
        <v>26</v>
      </c>
      <c r="B20" s="94">
        <v>61894.6</v>
      </c>
      <c r="C20" s="94">
        <v>101.8</v>
      </c>
      <c r="D20" s="94">
        <v>103.6</v>
      </c>
    </row>
    <row r="21" spans="1:4" x14ac:dyDescent="0.25">
      <c r="A21" s="105" t="s">
        <v>632</v>
      </c>
      <c r="B21" s="94">
        <v>465118.2</v>
      </c>
      <c r="C21" s="94"/>
      <c r="D21" s="94">
        <v>102</v>
      </c>
    </row>
    <row r="22" spans="1:4" x14ac:dyDescent="0.25">
      <c r="A22" s="128" t="s">
        <v>432</v>
      </c>
      <c r="B22" s="124"/>
      <c r="C22" s="124"/>
      <c r="D22" s="124"/>
    </row>
    <row r="23" spans="1:4" x14ac:dyDescent="0.25">
      <c r="A23" s="141" t="s">
        <v>40</v>
      </c>
      <c r="B23" s="94">
        <v>49457.2</v>
      </c>
      <c r="C23" s="94">
        <v>88.5</v>
      </c>
      <c r="D23" s="94">
        <v>122.6</v>
      </c>
    </row>
    <row r="24" spans="1:4" x14ac:dyDescent="0.25">
      <c r="A24" s="259" t="s">
        <v>41</v>
      </c>
      <c r="B24" s="94">
        <v>50197.1</v>
      </c>
      <c r="C24" s="94">
        <v>101</v>
      </c>
      <c r="D24" s="94">
        <v>120.8</v>
      </c>
    </row>
    <row r="25" spans="1:4" x14ac:dyDescent="0.25">
      <c r="A25" s="259" t="s">
        <v>42</v>
      </c>
      <c r="B25" s="94">
        <v>51709</v>
      </c>
      <c r="C25" s="94">
        <v>102.9</v>
      </c>
      <c r="D25" s="94">
        <v>116</v>
      </c>
    </row>
    <row r="26" spans="1:4" x14ac:dyDescent="0.25">
      <c r="A26" s="105" t="s">
        <v>130</v>
      </c>
      <c r="B26" s="94">
        <v>151363.20000000001</v>
      </c>
      <c r="C26" s="94">
        <v>96.4</v>
      </c>
      <c r="D26" s="94">
        <v>118</v>
      </c>
    </row>
    <row r="27" spans="1:4" x14ac:dyDescent="0.25">
      <c r="A27" s="259" t="s">
        <v>44</v>
      </c>
      <c r="B27" s="94">
        <v>53361.8</v>
      </c>
      <c r="C27" s="94">
        <v>102</v>
      </c>
      <c r="D27" s="94">
        <v>112.6</v>
      </c>
    </row>
    <row r="28" spans="1:4" x14ac:dyDescent="0.25">
      <c r="A28" s="259" t="s">
        <v>45</v>
      </c>
      <c r="B28" s="94">
        <v>53613.4</v>
      </c>
      <c r="C28" s="94">
        <v>101.4</v>
      </c>
      <c r="D28" s="94">
        <v>112.8</v>
      </c>
    </row>
    <row r="29" spans="1:4" x14ac:dyDescent="0.25">
      <c r="A29" s="259" t="s">
        <v>46</v>
      </c>
      <c r="B29" s="94">
        <v>54661.9</v>
      </c>
      <c r="C29" s="94">
        <v>101.9</v>
      </c>
      <c r="D29" s="94">
        <v>113.5</v>
      </c>
    </row>
    <row r="30" spans="1:4" x14ac:dyDescent="0.25">
      <c r="A30" s="105" t="s">
        <v>131</v>
      </c>
      <c r="B30" s="94">
        <v>161637</v>
      </c>
      <c r="C30" s="94">
        <v>105.9</v>
      </c>
      <c r="D30" s="94">
        <v>113.2</v>
      </c>
    </row>
    <row r="31" spans="1:4" x14ac:dyDescent="0.25">
      <c r="A31" s="105" t="s">
        <v>47</v>
      </c>
      <c r="B31" s="94">
        <v>313000.2</v>
      </c>
      <c r="C31" s="94"/>
      <c r="D31" s="94">
        <v>115.7</v>
      </c>
    </row>
    <row r="32" spans="1:4" x14ac:dyDescent="0.25">
      <c r="A32" s="259" t="s">
        <v>48</v>
      </c>
      <c r="B32" s="94">
        <v>55599</v>
      </c>
      <c r="C32" s="94">
        <v>101.1</v>
      </c>
      <c r="D32" s="94">
        <v>105.2</v>
      </c>
    </row>
    <row r="33" spans="1:4" x14ac:dyDescent="0.25">
      <c r="A33" s="259" t="s">
        <v>26</v>
      </c>
      <c r="B33" s="247">
        <v>56000.3</v>
      </c>
      <c r="C33" s="247">
        <v>100.6</v>
      </c>
      <c r="D33" s="247">
        <v>103</v>
      </c>
    </row>
    <row r="34" spans="1:4" x14ac:dyDescent="0.25">
      <c r="A34" s="259" t="s">
        <v>49</v>
      </c>
      <c r="B34" s="247">
        <v>55796.5</v>
      </c>
      <c r="C34" s="247">
        <v>99.3</v>
      </c>
      <c r="D34" s="247">
        <v>102.4</v>
      </c>
    </row>
    <row r="35" spans="1:4" x14ac:dyDescent="0.25">
      <c r="A35" s="105" t="s">
        <v>132</v>
      </c>
      <c r="B35" s="247">
        <v>167395.79999999999</v>
      </c>
      <c r="C35" s="247">
        <v>103.2</v>
      </c>
      <c r="D35" s="247">
        <v>103.5</v>
      </c>
    </row>
    <row r="36" spans="1:4" x14ac:dyDescent="0.25">
      <c r="A36" s="105" t="s">
        <v>50</v>
      </c>
      <c r="B36" s="247">
        <v>480396</v>
      </c>
      <c r="C36" s="247"/>
      <c r="D36" s="247">
        <v>111.1</v>
      </c>
    </row>
    <row r="37" spans="1:4" x14ac:dyDescent="0.25">
      <c r="A37" s="103" t="s">
        <v>51</v>
      </c>
      <c r="B37" s="247">
        <v>57009.3</v>
      </c>
      <c r="C37" s="247">
        <v>101.2</v>
      </c>
      <c r="D37" s="247">
        <v>102.5</v>
      </c>
    </row>
    <row r="38" spans="1:4" x14ac:dyDescent="0.25">
      <c r="A38" s="91" t="s">
        <v>52</v>
      </c>
      <c r="B38" s="247">
        <v>57954.1</v>
      </c>
      <c r="C38" s="247">
        <v>100.5</v>
      </c>
      <c r="D38" s="247">
        <v>105.9</v>
      </c>
    </row>
    <row r="39" spans="1:4" x14ac:dyDescent="0.25">
      <c r="A39" s="259" t="s">
        <v>53</v>
      </c>
      <c r="B39" s="247">
        <v>64539.3</v>
      </c>
      <c r="C39" s="247">
        <v>109.7</v>
      </c>
      <c r="D39" s="247">
        <v>109.7</v>
      </c>
    </row>
    <row r="40" spans="1:4" ht="14.4" customHeight="1" x14ac:dyDescent="0.25">
      <c r="A40" s="105" t="s">
        <v>133</v>
      </c>
      <c r="B40" s="247">
        <v>179502.7</v>
      </c>
      <c r="C40" s="247">
        <v>104.5</v>
      </c>
      <c r="D40" s="247">
        <v>109.1</v>
      </c>
    </row>
    <row r="41" spans="1:4" ht="13.5" customHeight="1" x14ac:dyDescent="0.25">
      <c r="A41" s="106" t="s">
        <v>54</v>
      </c>
      <c r="B41" s="305">
        <v>659898.69999999995</v>
      </c>
      <c r="C41" s="305"/>
      <c r="D41" s="305">
        <v>109.8</v>
      </c>
    </row>
  </sheetData>
  <mergeCells count="6">
    <mergeCell ref="A1:D1"/>
    <mergeCell ref="A3:D3"/>
    <mergeCell ref="A5:D5"/>
    <mergeCell ref="A7:A8"/>
    <mergeCell ref="B7:B8"/>
    <mergeCell ref="C7:D7"/>
  </mergeCells>
  <pageMargins left="0.7" right="0.7" top="0.75" bottom="0.75" header="0.3" footer="0.3"/>
  <pageSetup paperSize="9"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
  <sheetViews>
    <sheetView zoomScale="80" zoomScaleNormal="80" workbookViewId="0">
      <selection activeCell="D6" sqref="D6"/>
    </sheetView>
  </sheetViews>
  <sheetFormatPr defaultRowHeight="13.2" x14ac:dyDescent="0.25"/>
  <cols>
    <col min="1" max="1" width="38.6640625" customWidth="1"/>
    <col min="2" max="2" width="17.6640625" customWidth="1"/>
    <col min="3" max="3" width="17.77734375" customWidth="1"/>
    <col min="4" max="4" width="17.33203125" customWidth="1"/>
    <col min="5" max="5" width="17.77734375" customWidth="1"/>
    <col min="6" max="6" width="19.33203125" customWidth="1"/>
  </cols>
  <sheetData>
    <row r="1" spans="1:6" ht="30.6" customHeight="1" x14ac:dyDescent="0.25">
      <c r="A1" s="653" t="s">
        <v>353</v>
      </c>
      <c r="B1" s="653"/>
      <c r="C1" s="653"/>
      <c r="D1" s="653"/>
      <c r="E1" s="653"/>
      <c r="F1" s="653"/>
    </row>
    <row r="2" spans="1:6" ht="18" customHeight="1" x14ac:dyDescent="0.25">
      <c r="A2" s="36"/>
      <c r="B2" s="36"/>
      <c r="C2" s="36"/>
    </row>
    <row r="3" spans="1:6" ht="14.4" customHeight="1" x14ac:dyDescent="0.25">
      <c r="A3" s="689"/>
      <c r="B3" s="680" t="s">
        <v>636</v>
      </c>
      <c r="C3" s="667"/>
      <c r="D3" s="680" t="s">
        <v>635</v>
      </c>
      <c r="E3" s="667"/>
      <c r="F3" s="433" t="s">
        <v>217</v>
      </c>
    </row>
    <row r="4" spans="1:6" ht="56.4" customHeight="1" x14ac:dyDescent="0.25">
      <c r="A4" s="690"/>
      <c r="B4" s="282" t="s">
        <v>29</v>
      </c>
      <c r="C4" s="439" t="s">
        <v>510</v>
      </c>
      <c r="D4" s="282" t="s">
        <v>29</v>
      </c>
      <c r="E4" s="439" t="s">
        <v>511</v>
      </c>
      <c r="F4" s="437" t="s">
        <v>639</v>
      </c>
    </row>
    <row r="5" spans="1:6" ht="19.95" customHeight="1" x14ac:dyDescent="0.25">
      <c r="A5" s="81" t="s">
        <v>138</v>
      </c>
      <c r="B5" s="97">
        <v>61894.6</v>
      </c>
      <c r="C5" s="97">
        <v>103.6</v>
      </c>
      <c r="D5" s="233">
        <v>465118.2</v>
      </c>
      <c r="E5" s="514">
        <v>102</v>
      </c>
      <c r="F5" s="352">
        <v>114.2</v>
      </c>
    </row>
    <row r="6" spans="1:6" x14ac:dyDescent="0.25">
      <c r="A6" s="37" t="s">
        <v>139</v>
      </c>
      <c r="B6" s="353"/>
      <c r="C6" s="353"/>
      <c r="D6" s="233"/>
      <c r="E6" s="348"/>
      <c r="F6" s="344"/>
    </row>
    <row r="7" spans="1:6" ht="39.6" x14ac:dyDescent="0.25">
      <c r="A7" s="72" t="s">
        <v>140</v>
      </c>
      <c r="B7" s="233">
        <v>61557.9</v>
      </c>
      <c r="C7" s="233">
        <v>103.7</v>
      </c>
      <c r="D7" s="233">
        <v>462545.8</v>
      </c>
      <c r="E7" s="104">
        <v>102.1</v>
      </c>
      <c r="F7" s="354">
        <v>114.3</v>
      </c>
    </row>
    <row r="8" spans="1:6" ht="25.2" customHeight="1" x14ac:dyDescent="0.25">
      <c r="A8" s="111" t="s">
        <v>141</v>
      </c>
      <c r="B8" s="355">
        <v>336.7</v>
      </c>
      <c r="C8" s="356">
        <v>83.6</v>
      </c>
      <c r="D8" s="355">
        <v>2572.3000000000002</v>
      </c>
      <c r="E8" s="279">
        <v>85.3</v>
      </c>
      <c r="F8" s="357">
        <v>98.5</v>
      </c>
    </row>
    <row r="9" spans="1:6" ht="13.95" customHeight="1" x14ac:dyDescent="0.25">
      <c r="B9" s="358"/>
      <c r="C9" s="358"/>
      <c r="D9" s="358"/>
      <c r="E9" s="359"/>
      <c r="F9" s="359"/>
    </row>
  </sheetData>
  <mergeCells count="4">
    <mergeCell ref="A1:F1"/>
    <mergeCell ref="A3:A4"/>
    <mergeCell ref="B3:C3"/>
    <mergeCell ref="D3:E3"/>
  </mergeCells>
  <pageMargins left="0.7" right="0.7" top="0.75" bottom="0.75" header="0.3" footer="0.3"/>
  <pageSetup paperSize="9" scale="69" fitToHeight="0" orientation="portrait" verticalDpi="0"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8"/>
  <sheetViews>
    <sheetView zoomScale="80" zoomScaleNormal="80" workbookViewId="0">
      <selection activeCell="D6" sqref="D6"/>
    </sheetView>
  </sheetViews>
  <sheetFormatPr defaultRowHeight="13.2" x14ac:dyDescent="0.25"/>
  <cols>
    <col min="1" max="1" width="18.5546875" customWidth="1"/>
    <col min="2" max="7" width="11.5546875" customWidth="1"/>
  </cols>
  <sheetData>
    <row r="1" spans="1:8" ht="32.4" customHeight="1" x14ac:dyDescent="0.25">
      <c r="A1" s="653" t="s">
        <v>354</v>
      </c>
      <c r="B1" s="653"/>
      <c r="C1" s="653"/>
      <c r="D1" s="653"/>
      <c r="E1" s="653"/>
      <c r="F1" s="653"/>
      <c r="G1" s="653"/>
    </row>
    <row r="2" spans="1:8" x14ac:dyDescent="0.25">
      <c r="A2" s="29"/>
      <c r="B2" s="20"/>
      <c r="C2" s="20"/>
      <c r="D2" s="20"/>
      <c r="E2" s="20"/>
      <c r="F2" s="20"/>
      <c r="G2" s="20"/>
    </row>
    <row r="3" spans="1:8" ht="27.6" customHeight="1" x14ac:dyDescent="0.25">
      <c r="A3" s="647"/>
      <c r="B3" s="666" t="s">
        <v>142</v>
      </c>
      <c r="C3" s="691"/>
      <c r="D3" s="667"/>
      <c r="E3" s="666" t="s">
        <v>143</v>
      </c>
      <c r="F3" s="691"/>
      <c r="G3" s="667"/>
    </row>
    <row r="4" spans="1:8" x14ac:dyDescent="0.25">
      <c r="A4" s="657"/>
      <c r="B4" s="687" t="s">
        <v>29</v>
      </c>
      <c r="C4" s="666" t="s">
        <v>144</v>
      </c>
      <c r="D4" s="667"/>
      <c r="E4" s="687" t="s">
        <v>29</v>
      </c>
      <c r="F4" s="666" t="s">
        <v>144</v>
      </c>
      <c r="G4" s="667"/>
    </row>
    <row r="5" spans="1:8" ht="66" x14ac:dyDescent="0.25">
      <c r="A5" s="657"/>
      <c r="B5" s="645"/>
      <c r="C5" s="438" t="s">
        <v>145</v>
      </c>
      <c r="D5" s="438" t="s">
        <v>146</v>
      </c>
      <c r="E5" s="645"/>
      <c r="F5" s="438" t="s">
        <v>145</v>
      </c>
      <c r="G5" s="306" t="s">
        <v>146</v>
      </c>
    </row>
    <row r="6" spans="1:8" x14ac:dyDescent="0.25">
      <c r="A6" s="118" t="s">
        <v>485</v>
      </c>
      <c r="B6" s="119"/>
      <c r="C6" s="119"/>
      <c r="D6" s="119"/>
      <c r="E6" s="119"/>
      <c r="F6" s="119"/>
      <c r="G6" s="119"/>
    </row>
    <row r="7" spans="1:8" x14ac:dyDescent="0.25">
      <c r="A7" s="141" t="s">
        <v>40</v>
      </c>
      <c r="B7" s="108">
        <v>26045</v>
      </c>
      <c r="C7" s="108">
        <v>83</v>
      </c>
      <c r="D7" s="108">
        <v>100.5</v>
      </c>
      <c r="E7" s="108">
        <v>27688.7</v>
      </c>
      <c r="F7" s="108">
        <v>82.2</v>
      </c>
      <c r="G7" s="108">
        <v>103.3</v>
      </c>
      <c r="H7" s="90"/>
    </row>
    <row r="8" spans="1:8" x14ac:dyDescent="0.25">
      <c r="A8" s="63" t="s">
        <v>41</v>
      </c>
      <c r="B8" s="108">
        <v>25342</v>
      </c>
      <c r="C8" s="108">
        <v>95.7</v>
      </c>
      <c r="D8" s="108">
        <v>95.9</v>
      </c>
      <c r="E8" s="108">
        <v>27091.5</v>
      </c>
      <c r="F8" s="108">
        <v>97.2</v>
      </c>
      <c r="G8" s="108">
        <v>98.9</v>
      </c>
      <c r="H8" s="90"/>
    </row>
    <row r="9" spans="1:8" x14ac:dyDescent="0.25">
      <c r="A9" s="18" t="s">
        <v>42</v>
      </c>
      <c r="B9" s="108">
        <v>27572</v>
      </c>
      <c r="C9" s="108">
        <v>107.5</v>
      </c>
      <c r="D9" s="108">
        <v>100.6</v>
      </c>
      <c r="E9" s="108">
        <v>29797.7</v>
      </c>
      <c r="F9" s="108">
        <v>109.8</v>
      </c>
      <c r="G9" s="108">
        <v>105</v>
      </c>
      <c r="H9" s="90"/>
    </row>
    <row r="10" spans="1:8" x14ac:dyDescent="0.25">
      <c r="A10" s="24" t="s">
        <v>130</v>
      </c>
      <c r="B10" s="108">
        <v>78959</v>
      </c>
      <c r="C10" s="108">
        <v>94</v>
      </c>
      <c r="D10" s="108">
        <v>99</v>
      </c>
      <c r="E10" s="108">
        <v>84577.9</v>
      </c>
      <c r="F10" s="108">
        <v>94.5</v>
      </c>
      <c r="G10" s="108">
        <v>102.4</v>
      </c>
      <c r="H10" s="90"/>
    </row>
    <row r="11" spans="1:8" x14ac:dyDescent="0.25">
      <c r="A11" s="429" t="s">
        <v>44</v>
      </c>
      <c r="B11" s="108">
        <v>27982.3</v>
      </c>
      <c r="C11" s="108">
        <v>100.4</v>
      </c>
      <c r="D11" s="108">
        <v>99.9</v>
      </c>
      <c r="E11" s="108">
        <v>29994.6</v>
      </c>
      <c r="F11" s="108">
        <v>101.2</v>
      </c>
      <c r="G11" s="108">
        <v>103.4</v>
      </c>
      <c r="H11" s="90"/>
    </row>
    <row r="12" spans="1:8" x14ac:dyDescent="0.25">
      <c r="A12" s="92" t="s">
        <v>45</v>
      </c>
      <c r="B12" s="108">
        <v>28613</v>
      </c>
      <c r="C12" s="108">
        <v>101.4</v>
      </c>
      <c r="D12" s="108">
        <v>99.5</v>
      </c>
      <c r="E12" s="108">
        <v>30399</v>
      </c>
      <c r="F12" s="108">
        <v>101.8</v>
      </c>
      <c r="G12" s="108">
        <v>104.2</v>
      </c>
      <c r="H12" s="90"/>
    </row>
    <row r="13" spans="1:8" x14ac:dyDescent="0.25">
      <c r="A13" s="18" t="s">
        <v>46</v>
      </c>
      <c r="B13" s="108">
        <v>29904.799999999999</v>
      </c>
      <c r="C13" s="108">
        <v>104.6</v>
      </c>
      <c r="D13" s="108">
        <v>101.6</v>
      </c>
      <c r="E13" s="108">
        <v>31601.7</v>
      </c>
      <c r="F13" s="108">
        <v>104.1</v>
      </c>
      <c r="G13" s="108">
        <v>106.8</v>
      </c>
      <c r="H13" s="90"/>
    </row>
    <row r="14" spans="1:8" x14ac:dyDescent="0.25">
      <c r="A14" s="24" t="s">
        <v>131</v>
      </c>
      <c r="B14" s="108">
        <v>86500</v>
      </c>
      <c r="C14" s="108">
        <v>106.3</v>
      </c>
      <c r="D14" s="108">
        <v>100.4</v>
      </c>
      <c r="E14" s="108">
        <v>91995.4</v>
      </c>
      <c r="F14" s="108">
        <v>109.3</v>
      </c>
      <c r="G14" s="108">
        <v>104.8</v>
      </c>
      <c r="H14" s="90"/>
    </row>
    <row r="15" spans="1:8" x14ac:dyDescent="0.25">
      <c r="A15" s="24" t="s">
        <v>47</v>
      </c>
      <c r="B15" s="108">
        <v>165459</v>
      </c>
      <c r="C15" s="108"/>
      <c r="D15" s="108">
        <v>99.7</v>
      </c>
      <c r="E15" s="108">
        <v>176573.3</v>
      </c>
      <c r="F15" s="108"/>
      <c r="G15" s="108">
        <v>103.6</v>
      </c>
      <c r="H15" s="90"/>
    </row>
    <row r="16" spans="1:8" x14ac:dyDescent="0.25">
      <c r="A16" s="18" t="s">
        <v>48</v>
      </c>
      <c r="B16" s="108">
        <v>28974.799999999999</v>
      </c>
      <c r="C16" s="108">
        <v>97.3</v>
      </c>
      <c r="D16" s="108">
        <v>98.9</v>
      </c>
      <c r="E16" s="108">
        <v>32216.400000000001</v>
      </c>
      <c r="F16" s="108">
        <v>101.8</v>
      </c>
      <c r="G16" s="108">
        <v>106.3</v>
      </c>
      <c r="H16" s="90"/>
    </row>
    <row r="17" spans="1:8" x14ac:dyDescent="0.25">
      <c r="A17" s="18" t="s">
        <v>26</v>
      </c>
      <c r="B17" s="108">
        <v>29130.400000000001</v>
      </c>
      <c r="C17" s="108">
        <v>102.2</v>
      </c>
      <c r="D17" s="108">
        <v>100.5</v>
      </c>
      <c r="E17" s="108">
        <v>32764.2</v>
      </c>
      <c r="F17" s="108">
        <v>101.2</v>
      </c>
      <c r="G17" s="108">
        <v>106.9</v>
      </c>
      <c r="H17" s="90"/>
    </row>
    <row r="18" spans="1:8" x14ac:dyDescent="0.25">
      <c r="A18" s="24" t="s">
        <v>632</v>
      </c>
      <c r="B18" s="108">
        <v>223564.3</v>
      </c>
      <c r="C18" s="108"/>
      <c r="D18" s="108">
        <v>99.7</v>
      </c>
      <c r="E18" s="108">
        <v>241553.9</v>
      </c>
      <c r="F18" s="108"/>
      <c r="G18" s="108">
        <v>104.4</v>
      </c>
      <c r="H18" s="90"/>
    </row>
    <row r="19" spans="1:8" x14ac:dyDescent="0.25">
      <c r="A19" s="128" t="s">
        <v>432</v>
      </c>
      <c r="B19" s="125"/>
      <c r="C19" s="125"/>
      <c r="D19" s="125"/>
      <c r="E19" s="125"/>
      <c r="F19" s="125"/>
      <c r="G19" s="125"/>
      <c r="H19" s="90"/>
    </row>
    <row r="20" spans="1:8" x14ac:dyDescent="0.25">
      <c r="A20" s="141" t="s">
        <v>40</v>
      </c>
      <c r="B20" s="108">
        <v>23932.1</v>
      </c>
      <c r="C20" s="108">
        <v>88.2</v>
      </c>
      <c r="D20" s="108">
        <v>118</v>
      </c>
      <c r="E20" s="108">
        <v>25525.1</v>
      </c>
      <c r="F20" s="108">
        <v>89.3</v>
      </c>
      <c r="G20" s="108">
        <v>124.2</v>
      </c>
      <c r="H20" s="90"/>
    </row>
    <row r="21" spans="1:8" x14ac:dyDescent="0.25">
      <c r="A21" s="63" t="s">
        <v>41</v>
      </c>
      <c r="B21" s="108">
        <v>24332.1</v>
      </c>
      <c r="C21" s="108">
        <v>100.4</v>
      </c>
      <c r="D21" s="108">
        <v>117.4</v>
      </c>
      <c r="E21" s="108">
        <v>25865</v>
      </c>
      <c r="F21" s="108">
        <v>101.6</v>
      </c>
      <c r="G21" s="108">
        <v>124</v>
      </c>
      <c r="H21" s="90"/>
    </row>
    <row r="22" spans="1:8" x14ac:dyDescent="0.25">
      <c r="A22" s="18" t="s">
        <v>42</v>
      </c>
      <c r="B22" s="108">
        <v>24922.1</v>
      </c>
      <c r="C22" s="108">
        <v>102.4</v>
      </c>
      <c r="D22" s="108">
        <v>112.1</v>
      </c>
      <c r="E22" s="108">
        <v>26786.9</v>
      </c>
      <c r="F22" s="108">
        <v>103.3</v>
      </c>
      <c r="G22" s="108">
        <v>116.4</v>
      </c>
      <c r="H22" s="90"/>
    </row>
    <row r="23" spans="1:8" x14ac:dyDescent="0.25">
      <c r="A23" s="24" t="s">
        <v>130</v>
      </c>
      <c r="B23" s="108">
        <v>73186.2</v>
      </c>
      <c r="C23" s="108">
        <v>99.8</v>
      </c>
      <c r="D23" s="108">
        <v>115.7</v>
      </c>
      <c r="E23" s="108">
        <v>78177.100000000006</v>
      </c>
      <c r="F23" s="108">
        <v>92.4</v>
      </c>
      <c r="G23" s="108">
        <v>121.4</v>
      </c>
      <c r="H23" s="90"/>
    </row>
    <row r="24" spans="1:8" x14ac:dyDescent="0.25">
      <c r="A24" s="18" t="s">
        <v>44</v>
      </c>
      <c r="B24" s="108">
        <v>25464.799999999999</v>
      </c>
      <c r="C24" s="108">
        <v>101.1</v>
      </c>
      <c r="D24" s="108">
        <v>110.9</v>
      </c>
      <c r="E24" s="108">
        <v>27896.9</v>
      </c>
      <c r="F24" s="108">
        <v>102.8</v>
      </c>
      <c r="G24" s="108">
        <v>114.3</v>
      </c>
      <c r="H24" s="90"/>
    </row>
    <row r="25" spans="1:8" x14ac:dyDescent="0.25">
      <c r="A25" s="63" t="s">
        <v>45</v>
      </c>
      <c r="B25" s="108">
        <v>25560.2</v>
      </c>
      <c r="C25" s="108">
        <v>101.8</v>
      </c>
      <c r="D25" s="108">
        <v>111.4</v>
      </c>
      <c r="E25" s="108">
        <v>28053.1</v>
      </c>
      <c r="F25" s="108">
        <v>101</v>
      </c>
      <c r="G25" s="108">
        <v>114.3</v>
      </c>
      <c r="H25" s="90"/>
    </row>
    <row r="26" spans="1:8" x14ac:dyDescent="0.25">
      <c r="A26" s="18" t="s">
        <v>46</v>
      </c>
      <c r="B26" s="108">
        <v>26194.6</v>
      </c>
      <c r="C26" s="108">
        <v>102.4</v>
      </c>
      <c r="D26" s="108">
        <v>111.2</v>
      </c>
      <c r="E26" s="108">
        <v>28467.3</v>
      </c>
      <c r="F26" s="108">
        <v>101.6</v>
      </c>
      <c r="G26" s="108">
        <v>115.6</v>
      </c>
      <c r="H26" s="90"/>
    </row>
    <row r="27" spans="1:8" x14ac:dyDescent="0.25">
      <c r="A27" s="24" t="s">
        <v>131</v>
      </c>
      <c r="B27" s="108">
        <v>77219.7</v>
      </c>
      <c r="C27" s="108">
        <v>104.9</v>
      </c>
      <c r="D27" s="108">
        <v>111.3</v>
      </c>
      <c r="E27" s="108">
        <v>84417.3</v>
      </c>
      <c r="F27" s="108">
        <v>106.9</v>
      </c>
      <c r="G27" s="108">
        <v>114.7</v>
      </c>
      <c r="H27" s="90"/>
    </row>
    <row r="28" spans="1:8" x14ac:dyDescent="0.25">
      <c r="A28" s="24" t="s">
        <v>47</v>
      </c>
      <c r="B28" s="108">
        <v>150405.79999999999</v>
      </c>
      <c r="C28" s="108"/>
      <c r="D28" s="108">
        <v>113.4</v>
      </c>
      <c r="E28" s="108">
        <v>162594.4</v>
      </c>
      <c r="F28" s="108"/>
      <c r="G28" s="108">
        <v>117.9</v>
      </c>
      <c r="H28" s="90"/>
    </row>
    <row r="29" spans="1:8" x14ac:dyDescent="0.25">
      <c r="A29" s="18" t="s">
        <v>48</v>
      </c>
      <c r="B29" s="108">
        <v>26133.599999999999</v>
      </c>
      <c r="C29" s="108">
        <v>99.9</v>
      </c>
      <c r="D29" s="108">
        <v>103.5</v>
      </c>
      <c r="E29" s="108">
        <v>29465.4</v>
      </c>
      <c r="F29" s="108">
        <v>102.2</v>
      </c>
      <c r="G29" s="108">
        <v>106.7</v>
      </c>
      <c r="H29" s="90"/>
    </row>
    <row r="30" spans="1:8" x14ac:dyDescent="0.25">
      <c r="A30" s="18" t="s">
        <v>26</v>
      </c>
      <c r="B30" s="246">
        <v>26264.5</v>
      </c>
      <c r="C30" s="246">
        <v>100.6</v>
      </c>
      <c r="D30" s="246">
        <v>103.1</v>
      </c>
      <c r="E30" s="246">
        <v>29735.9</v>
      </c>
      <c r="F30" s="246">
        <v>100.6</v>
      </c>
      <c r="G30" s="246">
        <v>102.9</v>
      </c>
      <c r="H30" s="90"/>
    </row>
    <row r="31" spans="1:8" x14ac:dyDescent="0.25">
      <c r="A31" s="18" t="s">
        <v>49</v>
      </c>
      <c r="B31" s="246">
        <v>26826.3</v>
      </c>
      <c r="C31" s="246">
        <v>101.6</v>
      </c>
      <c r="D31" s="246">
        <v>104.8</v>
      </c>
      <c r="E31" s="246">
        <v>28970.2</v>
      </c>
      <c r="F31" s="246">
        <v>97.3</v>
      </c>
      <c r="G31" s="246">
        <v>100.4</v>
      </c>
      <c r="H31" s="90"/>
    </row>
    <row r="32" spans="1:8" x14ac:dyDescent="0.25">
      <c r="A32" s="24" t="s">
        <v>132</v>
      </c>
      <c r="B32" s="246">
        <v>79224.399999999994</v>
      </c>
      <c r="C32" s="246">
        <v>103</v>
      </c>
      <c r="D32" s="246">
        <v>103.9</v>
      </c>
      <c r="E32" s="246">
        <v>88171.4</v>
      </c>
      <c r="F32" s="246">
        <v>103.1</v>
      </c>
      <c r="G32" s="246">
        <v>103.3</v>
      </c>
      <c r="H32" s="90"/>
    </row>
    <row r="33" spans="1:8" x14ac:dyDescent="0.25">
      <c r="A33" s="24" t="s">
        <v>50</v>
      </c>
      <c r="B33" s="246">
        <v>229630.2</v>
      </c>
      <c r="C33" s="246"/>
      <c r="D33" s="246">
        <v>109.9</v>
      </c>
      <c r="E33" s="246">
        <v>250765.8</v>
      </c>
      <c r="F33" s="246"/>
      <c r="G33" s="246">
        <v>112.4</v>
      </c>
      <c r="H33" s="90"/>
    </row>
    <row r="34" spans="1:8" x14ac:dyDescent="0.25">
      <c r="A34" s="19" t="s">
        <v>51</v>
      </c>
      <c r="B34" s="246">
        <v>27524.3</v>
      </c>
      <c r="C34" s="246">
        <v>101.7</v>
      </c>
      <c r="D34" s="246">
        <v>104.2</v>
      </c>
      <c r="E34" s="246">
        <v>29485</v>
      </c>
      <c r="F34" s="246">
        <v>100.7</v>
      </c>
      <c r="G34" s="246">
        <v>101</v>
      </c>
      <c r="H34" s="90"/>
    </row>
    <row r="35" spans="1:8" x14ac:dyDescent="0.25">
      <c r="A35" s="19" t="s">
        <v>52</v>
      </c>
      <c r="B35" s="246">
        <v>27524.3</v>
      </c>
      <c r="C35" s="246">
        <v>98</v>
      </c>
      <c r="D35" s="246">
        <v>104.6</v>
      </c>
      <c r="E35" s="246">
        <v>30429.8</v>
      </c>
      <c r="F35" s="246">
        <v>102.9</v>
      </c>
      <c r="G35" s="246">
        <v>107.1</v>
      </c>
      <c r="H35" s="90"/>
    </row>
    <row r="36" spans="1:8" x14ac:dyDescent="0.25">
      <c r="A36" s="76" t="s">
        <v>53</v>
      </c>
      <c r="B36" s="246">
        <v>31004</v>
      </c>
      <c r="C36" s="246">
        <v>110</v>
      </c>
      <c r="D36" s="246">
        <v>107</v>
      </c>
      <c r="E36" s="246">
        <v>33535.300000000003</v>
      </c>
      <c r="F36" s="246">
        <v>109.4</v>
      </c>
      <c r="G36" s="246">
        <v>112.3</v>
      </c>
      <c r="H36" s="90"/>
    </row>
    <row r="37" spans="1:8" x14ac:dyDescent="0.25">
      <c r="A37" s="81" t="s">
        <v>133</v>
      </c>
      <c r="B37" s="246">
        <v>86052.6</v>
      </c>
      <c r="C37" s="246">
        <v>105</v>
      </c>
      <c r="D37" s="246">
        <v>105.4</v>
      </c>
      <c r="E37" s="246">
        <v>93450.1</v>
      </c>
      <c r="F37" s="246">
        <v>104.3</v>
      </c>
      <c r="G37" s="246">
        <v>106.8</v>
      </c>
      <c r="H37" s="90"/>
    </row>
    <row r="38" spans="1:8" x14ac:dyDescent="0.25">
      <c r="A38" s="87" t="s">
        <v>54</v>
      </c>
      <c r="B38" s="248">
        <v>315682.8</v>
      </c>
      <c r="C38" s="248"/>
      <c r="D38" s="248">
        <v>108.6</v>
      </c>
      <c r="E38" s="248">
        <v>344215.9</v>
      </c>
      <c r="F38" s="248"/>
      <c r="G38" s="248">
        <v>110.9</v>
      </c>
      <c r="H38" s="90"/>
    </row>
  </sheetData>
  <mergeCells count="8">
    <mergeCell ref="A1:G1"/>
    <mergeCell ref="A3:A5"/>
    <mergeCell ref="B3:D3"/>
    <mergeCell ref="E3:G3"/>
    <mergeCell ref="B4:B5"/>
    <mergeCell ref="C4:D4"/>
    <mergeCell ref="E4:E5"/>
    <mergeCell ref="F4:G4"/>
  </mergeCells>
  <pageMargins left="0.7" right="0.7" top="0.75" bottom="0.75" header="0.3" footer="0.3"/>
  <pageSetup paperSize="9"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1"/>
  <sheetViews>
    <sheetView zoomScale="80" zoomScaleNormal="80" zoomScalePageLayoutView="80" workbookViewId="0">
      <selection activeCell="D6" sqref="D6"/>
    </sheetView>
  </sheetViews>
  <sheetFormatPr defaultRowHeight="13.2" x14ac:dyDescent="0.25"/>
  <cols>
    <col min="1" max="1" width="28.88671875" customWidth="1"/>
    <col min="2" max="4" width="19.88671875" customWidth="1"/>
  </cols>
  <sheetData>
    <row r="1" spans="1:4" ht="13.8" x14ac:dyDescent="0.25">
      <c r="A1" s="692" t="s">
        <v>147</v>
      </c>
      <c r="B1" s="692"/>
      <c r="C1" s="692"/>
      <c r="D1" s="692"/>
    </row>
    <row r="2" spans="1:4" x14ac:dyDescent="0.25">
      <c r="D2" s="239"/>
    </row>
    <row r="3" spans="1:4" ht="13.8" x14ac:dyDescent="0.25">
      <c r="A3" s="662" t="s">
        <v>148</v>
      </c>
      <c r="B3" s="662"/>
      <c r="C3" s="662"/>
      <c r="D3" s="662"/>
    </row>
    <row r="4" spans="1:4" ht="13.8" x14ac:dyDescent="0.25">
      <c r="A4" s="424"/>
      <c r="B4" s="20"/>
      <c r="C4" s="20"/>
      <c r="D4" s="20"/>
    </row>
    <row r="5" spans="1:4" x14ac:dyDescent="0.25">
      <c r="A5" s="647"/>
      <c r="B5" s="687" t="s">
        <v>128</v>
      </c>
      <c r="C5" s="666" t="s">
        <v>37</v>
      </c>
      <c r="D5" s="667"/>
    </row>
    <row r="6" spans="1:4" ht="39.6" x14ac:dyDescent="0.25">
      <c r="A6" s="657"/>
      <c r="B6" s="645"/>
      <c r="C6" s="428" t="s">
        <v>38</v>
      </c>
      <c r="D6" s="306" t="s">
        <v>39</v>
      </c>
    </row>
    <row r="7" spans="1:4" x14ac:dyDescent="0.25">
      <c r="A7" s="169" t="s">
        <v>485</v>
      </c>
      <c r="B7" s="445"/>
      <c r="C7" s="445"/>
      <c r="D7" s="445"/>
    </row>
    <row r="8" spans="1:4" x14ac:dyDescent="0.25">
      <c r="A8" s="378" t="s">
        <v>40</v>
      </c>
      <c r="B8" s="127">
        <v>17329.8</v>
      </c>
      <c r="C8" s="127">
        <v>98.4</v>
      </c>
      <c r="D8" s="127">
        <v>105.5</v>
      </c>
    </row>
    <row r="9" spans="1:4" x14ac:dyDescent="0.25">
      <c r="A9" s="378" t="s">
        <v>41</v>
      </c>
      <c r="B9" s="127">
        <v>18080.803399999997</v>
      </c>
      <c r="C9" s="127">
        <v>103.4</v>
      </c>
      <c r="D9" s="127">
        <v>103.6</v>
      </c>
    </row>
    <row r="10" spans="1:4" x14ac:dyDescent="0.25">
      <c r="A10" s="378" t="s">
        <v>42</v>
      </c>
      <c r="B10" s="127">
        <v>19020.901899999997</v>
      </c>
      <c r="C10" s="127">
        <v>104.3</v>
      </c>
      <c r="D10" s="127">
        <v>109.5</v>
      </c>
    </row>
    <row r="11" spans="1:4" x14ac:dyDescent="0.25">
      <c r="A11" s="23" t="s">
        <v>130</v>
      </c>
      <c r="B11" s="127">
        <v>54431.5</v>
      </c>
      <c r="C11" s="127">
        <v>104.5</v>
      </c>
      <c r="D11" s="127">
        <v>106.9</v>
      </c>
    </row>
    <row r="12" spans="1:4" x14ac:dyDescent="0.25">
      <c r="A12" s="378" t="s">
        <v>44</v>
      </c>
      <c r="B12" s="127">
        <v>19048</v>
      </c>
      <c r="C12" s="127">
        <v>99</v>
      </c>
      <c r="D12" s="127">
        <v>107.9</v>
      </c>
    </row>
    <row r="13" spans="1:4" x14ac:dyDescent="0.25">
      <c r="A13" s="235" t="s">
        <v>45</v>
      </c>
      <c r="B13" s="625">
        <v>18634.2</v>
      </c>
      <c r="C13" s="127">
        <v>97</v>
      </c>
      <c r="D13" s="127">
        <v>102.7</v>
      </c>
    </row>
    <row r="14" spans="1:4" x14ac:dyDescent="0.25">
      <c r="A14" s="89" t="s">
        <v>46</v>
      </c>
      <c r="B14" s="625">
        <v>18923.900000000001</v>
      </c>
      <c r="C14" s="127">
        <v>101.2</v>
      </c>
      <c r="D14" s="127">
        <v>104.8</v>
      </c>
    </row>
    <row r="15" spans="1:4" x14ac:dyDescent="0.25">
      <c r="A15" s="23" t="s">
        <v>131</v>
      </c>
      <c r="B15" s="127">
        <v>56606.1</v>
      </c>
      <c r="C15" s="127">
        <v>101.3</v>
      </c>
      <c r="D15" s="127">
        <v>107.2</v>
      </c>
    </row>
    <row r="16" spans="1:4" x14ac:dyDescent="0.25">
      <c r="A16" s="23" t="s">
        <v>47</v>
      </c>
      <c r="B16" s="127">
        <v>111037.7</v>
      </c>
      <c r="C16" s="127"/>
      <c r="D16" s="127">
        <v>106.1</v>
      </c>
    </row>
    <row r="17" spans="1:4" ht="15.6" x14ac:dyDescent="0.25">
      <c r="A17" s="89" t="s">
        <v>638</v>
      </c>
      <c r="B17" s="127">
        <v>19349.8</v>
      </c>
      <c r="C17" s="127">
        <v>100.1</v>
      </c>
      <c r="D17" s="127">
        <v>100.6</v>
      </c>
    </row>
    <row r="18" spans="1:4" x14ac:dyDescent="0.25">
      <c r="A18" s="89" t="s">
        <v>26</v>
      </c>
      <c r="B18" s="127">
        <v>19929.7</v>
      </c>
      <c r="C18" s="127">
        <v>103.2</v>
      </c>
      <c r="D18" s="127">
        <v>101.9</v>
      </c>
    </row>
    <row r="19" spans="1:4" x14ac:dyDescent="0.25">
      <c r="A19" s="23" t="s">
        <v>632</v>
      </c>
      <c r="B19" s="127">
        <v>150317.20000000001</v>
      </c>
      <c r="C19" s="127"/>
      <c r="D19" s="127">
        <v>104.8</v>
      </c>
    </row>
    <row r="20" spans="1:4" x14ac:dyDescent="0.25">
      <c r="A20" s="163" t="s">
        <v>432</v>
      </c>
      <c r="B20" s="446"/>
      <c r="C20" s="446"/>
      <c r="D20" s="446"/>
    </row>
    <row r="21" spans="1:4" x14ac:dyDescent="0.25">
      <c r="A21" s="89" t="s">
        <v>40</v>
      </c>
      <c r="B21" s="127">
        <v>14802.5</v>
      </c>
      <c r="C21" s="127">
        <v>105.4</v>
      </c>
      <c r="D21" s="127">
        <v>104.4</v>
      </c>
    </row>
    <row r="22" spans="1:4" x14ac:dyDescent="0.25">
      <c r="A22" s="89" t="s">
        <v>41</v>
      </c>
      <c r="B22" s="127">
        <v>15779.7</v>
      </c>
      <c r="C22" s="127">
        <v>104.8</v>
      </c>
      <c r="D22" s="127">
        <v>111.3</v>
      </c>
    </row>
    <row r="23" spans="1:4" x14ac:dyDescent="0.25">
      <c r="A23" s="235" t="s">
        <v>42</v>
      </c>
      <c r="B23" s="127">
        <v>15849.5</v>
      </c>
      <c r="C23" s="127">
        <v>97.8</v>
      </c>
      <c r="D23" s="127">
        <v>98.1</v>
      </c>
    </row>
    <row r="24" spans="1:4" x14ac:dyDescent="0.25">
      <c r="A24" s="236" t="s">
        <v>130</v>
      </c>
      <c r="B24" s="127">
        <v>46431.7</v>
      </c>
      <c r="C24" s="127">
        <v>110.5</v>
      </c>
      <c r="D24" s="127">
        <v>104.4</v>
      </c>
    </row>
    <row r="25" spans="1:4" x14ac:dyDescent="0.25">
      <c r="A25" s="89" t="s">
        <v>44</v>
      </c>
      <c r="B25" s="127">
        <v>15759.6</v>
      </c>
      <c r="C25" s="127">
        <v>102.6</v>
      </c>
      <c r="D25" s="127">
        <v>104.6</v>
      </c>
    </row>
    <row r="26" spans="1:4" x14ac:dyDescent="0.25">
      <c r="A26" s="235" t="s">
        <v>45</v>
      </c>
      <c r="B26" s="127">
        <v>16214</v>
      </c>
      <c r="C26" s="127">
        <v>101.9</v>
      </c>
      <c r="D26" s="127">
        <v>105.3</v>
      </c>
    </row>
    <row r="27" spans="1:4" x14ac:dyDescent="0.25">
      <c r="A27" s="89" t="s">
        <v>46</v>
      </c>
      <c r="B27" s="127">
        <v>16549.900000000001</v>
      </c>
      <c r="C27" s="127">
        <v>99.1</v>
      </c>
      <c r="D27" s="127">
        <v>102.9</v>
      </c>
    </row>
    <row r="28" spans="1:4" x14ac:dyDescent="0.25">
      <c r="A28" s="23" t="s">
        <v>131</v>
      </c>
      <c r="B28" s="127">
        <v>48523.5</v>
      </c>
      <c r="C28" s="127">
        <v>103.3</v>
      </c>
      <c r="D28" s="127">
        <v>104.3</v>
      </c>
    </row>
    <row r="29" spans="1:4" x14ac:dyDescent="0.25">
      <c r="A29" s="23" t="s">
        <v>47</v>
      </c>
      <c r="B29" s="127">
        <v>94955.199999999997</v>
      </c>
      <c r="C29" s="127"/>
      <c r="D29" s="127">
        <v>104.3</v>
      </c>
    </row>
    <row r="30" spans="1:4" x14ac:dyDescent="0.25">
      <c r="A30" s="235" t="s">
        <v>48</v>
      </c>
      <c r="B30" s="127">
        <v>17501.5</v>
      </c>
      <c r="C30" s="127">
        <v>104.2</v>
      </c>
      <c r="D30" s="127">
        <v>115.3</v>
      </c>
    </row>
    <row r="31" spans="1:4" x14ac:dyDescent="0.25">
      <c r="A31" s="89" t="s">
        <v>26</v>
      </c>
      <c r="B31" s="127">
        <v>17446.7</v>
      </c>
      <c r="C31" s="127">
        <v>102.1</v>
      </c>
      <c r="D31" s="127">
        <v>110.5</v>
      </c>
    </row>
    <row r="32" spans="1:4" x14ac:dyDescent="0.25">
      <c r="A32" s="89" t="s">
        <v>49</v>
      </c>
      <c r="B32" s="127">
        <v>15996.5</v>
      </c>
      <c r="C32" s="127">
        <v>90.6</v>
      </c>
      <c r="D32" s="127">
        <v>113.9</v>
      </c>
    </row>
    <row r="33" spans="1:4" x14ac:dyDescent="0.25">
      <c r="A33" s="23" t="s">
        <v>132</v>
      </c>
      <c r="B33" s="127">
        <v>50944.7</v>
      </c>
      <c r="C33" s="127">
        <v>102.1</v>
      </c>
      <c r="D33" s="127">
        <v>113.1</v>
      </c>
    </row>
    <row r="34" spans="1:4" x14ac:dyDescent="0.25">
      <c r="A34" s="23" t="s">
        <v>50</v>
      </c>
      <c r="B34" s="127">
        <v>145899.9</v>
      </c>
      <c r="C34" s="127"/>
      <c r="D34" s="127">
        <v>107.2</v>
      </c>
    </row>
    <row r="35" spans="1:4" x14ac:dyDescent="0.25">
      <c r="A35" s="66" t="s">
        <v>51</v>
      </c>
      <c r="B35" s="127">
        <v>16507.099999999999</v>
      </c>
      <c r="C35" s="127">
        <v>100.4</v>
      </c>
      <c r="D35" s="127">
        <v>112.4</v>
      </c>
    </row>
    <row r="36" spans="1:4" x14ac:dyDescent="0.25">
      <c r="A36" s="63" t="s">
        <v>52</v>
      </c>
      <c r="B36" s="127">
        <v>16535.3</v>
      </c>
      <c r="C36" s="127">
        <v>99.3</v>
      </c>
      <c r="D36" s="127">
        <v>111.4</v>
      </c>
    </row>
    <row r="37" spans="1:4" x14ac:dyDescent="0.25">
      <c r="A37" s="91" t="s">
        <v>53</v>
      </c>
      <c r="B37" s="127">
        <v>17416.3</v>
      </c>
      <c r="C37" s="127">
        <v>105.9</v>
      </c>
      <c r="D37" s="127">
        <v>112.5</v>
      </c>
    </row>
    <row r="38" spans="1:4" x14ac:dyDescent="0.25">
      <c r="A38" s="77" t="s">
        <v>133</v>
      </c>
      <c r="B38" s="127">
        <v>50458.7</v>
      </c>
      <c r="C38" s="127">
        <v>96.1</v>
      </c>
      <c r="D38" s="127">
        <v>112.2</v>
      </c>
    </row>
    <row r="39" spans="1:4" x14ac:dyDescent="0.25">
      <c r="A39" s="161" t="s">
        <v>54</v>
      </c>
      <c r="B39" s="214">
        <v>196358.6</v>
      </c>
      <c r="C39" s="214"/>
      <c r="D39" s="214">
        <v>108.4</v>
      </c>
    </row>
    <row r="41" spans="1:4" ht="15" x14ac:dyDescent="0.25">
      <c r="A41" s="486" t="s">
        <v>621</v>
      </c>
    </row>
  </sheetData>
  <mergeCells count="5">
    <mergeCell ref="A1:D1"/>
    <mergeCell ref="A3:D3"/>
    <mergeCell ref="A5:A6"/>
    <mergeCell ref="B5:B6"/>
    <mergeCell ref="C5:D5"/>
  </mergeCells>
  <pageMargins left="0.7" right="0.7" top="0.75" bottom="0.75" header="0.3" footer="0.3"/>
  <pageSetup paperSize="9"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1"/>
  <sheetViews>
    <sheetView zoomScale="80" zoomScaleNormal="80" workbookViewId="0">
      <selection activeCell="D6" sqref="D6"/>
    </sheetView>
  </sheetViews>
  <sheetFormatPr defaultColWidth="8.88671875" defaultRowHeight="13.2" x14ac:dyDescent="0.25"/>
  <cols>
    <col min="1" max="1" width="35" style="253" customWidth="1"/>
    <col min="2" max="2" width="17.33203125" style="253" customWidth="1"/>
    <col min="3" max="3" width="17.109375" style="253" customWidth="1"/>
    <col min="4" max="4" width="20.21875" style="253" customWidth="1"/>
    <col min="5" max="5" width="8.109375" style="253" customWidth="1"/>
    <col min="6" max="16384" width="8.88671875" style="253"/>
  </cols>
  <sheetData>
    <row r="1" spans="1:5" x14ac:dyDescent="0.25">
      <c r="A1" s="637" t="s">
        <v>495</v>
      </c>
      <c r="B1" s="637"/>
      <c r="C1" s="637"/>
      <c r="D1" s="637"/>
    </row>
    <row r="3" spans="1:5" x14ac:dyDescent="0.25">
      <c r="A3" s="647"/>
      <c r="B3" s="684" t="s">
        <v>640</v>
      </c>
      <c r="C3" s="684" t="s">
        <v>625</v>
      </c>
      <c r="D3" s="292" t="s">
        <v>217</v>
      </c>
    </row>
    <row r="4" spans="1:5" ht="52.8" x14ac:dyDescent="0.25">
      <c r="A4" s="648"/>
      <c r="B4" s="693"/>
      <c r="C4" s="693"/>
      <c r="D4" s="292" t="s">
        <v>641</v>
      </c>
    </row>
    <row r="5" spans="1:5" x14ac:dyDescent="0.25">
      <c r="A5" s="24" t="s">
        <v>138</v>
      </c>
      <c r="B5" s="399">
        <v>150317.20000000001</v>
      </c>
      <c r="C5" s="399">
        <v>104.8</v>
      </c>
      <c r="D5" s="399">
        <v>106.5</v>
      </c>
      <c r="E5" s="254"/>
    </row>
    <row r="6" spans="1:5" x14ac:dyDescent="0.25">
      <c r="A6" s="37" t="s">
        <v>139</v>
      </c>
      <c r="B6" s="399"/>
      <c r="C6" s="399"/>
      <c r="D6" s="399"/>
      <c r="E6" s="254"/>
    </row>
    <row r="7" spans="1:5" x14ac:dyDescent="0.25">
      <c r="A7" s="26" t="s">
        <v>450</v>
      </c>
      <c r="B7" s="399">
        <v>13249.4</v>
      </c>
      <c r="C7" s="399">
        <v>106.1</v>
      </c>
      <c r="D7" s="399">
        <v>118.9</v>
      </c>
      <c r="E7" s="254"/>
    </row>
    <row r="8" spans="1:5" x14ac:dyDescent="0.25">
      <c r="A8" s="26" t="s">
        <v>451</v>
      </c>
      <c r="B8" s="399">
        <v>28737.200000000001</v>
      </c>
      <c r="C8" s="399">
        <v>101.7</v>
      </c>
      <c r="D8" s="399">
        <v>82.3</v>
      </c>
      <c r="E8" s="254"/>
    </row>
    <row r="9" spans="1:5" x14ac:dyDescent="0.25">
      <c r="A9" s="26" t="s">
        <v>452</v>
      </c>
      <c r="B9" s="399">
        <v>1772.5</v>
      </c>
      <c r="C9" s="399">
        <v>114.1</v>
      </c>
      <c r="D9" s="399">
        <v>129.6</v>
      </c>
      <c r="E9" s="254"/>
    </row>
    <row r="10" spans="1:5" ht="15.6" x14ac:dyDescent="0.25">
      <c r="A10" s="260" t="s">
        <v>453</v>
      </c>
      <c r="B10" s="399"/>
      <c r="C10" s="399"/>
      <c r="D10" s="400"/>
      <c r="E10" s="254"/>
    </row>
    <row r="11" spans="1:5" x14ac:dyDescent="0.25">
      <c r="A11" s="37" t="s">
        <v>454</v>
      </c>
      <c r="B11" s="399">
        <v>141.19999999999999</v>
      </c>
      <c r="C11" s="399">
        <v>116.5</v>
      </c>
      <c r="D11" s="403" t="s">
        <v>668</v>
      </c>
      <c r="E11" s="254"/>
    </row>
    <row r="12" spans="1:5" x14ac:dyDescent="0.25">
      <c r="A12" s="26" t="s">
        <v>455</v>
      </c>
      <c r="B12" s="399">
        <v>14558.7</v>
      </c>
      <c r="C12" s="401">
        <v>97.1</v>
      </c>
      <c r="D12" s="399">
        <v>99.8</v>
      </c>
      <c r="E12" s="254"/>
    </row>
    <row r="13" spans="1:5" x14ac:dyDescent="0.25">
      <c r="A13" s="26" t="s">
        <v>456</v>
      </c>
      <c r="B13" s="399">
        <v>9520.6</v>
      </c>
      <c r="C13" s="399">
        <v>99.7</v>
      </c>
      <c r="D13" s="399">
        <v>111.7</v>
      </c>
      <c r="E13" s="254"/>
    </row>
    <row r="14" spans="1:5" x14ac:dyDescent="0.25">
      <c r="A14" s="26" t="s">
        <v>457</v>
      </c>
      <c r="B14" s="399">
        <v>24760.5</v>
      </c>
      <c r="C14" s="399">
        <v>104.5</v>
      </c>
      <c r="D14" s="399">
        <v>103.4</v>
      </c>
      <c r="E14" s="254"/>
    </row>
    <row r="15" spans="1:5" x14ac:dyDescent="0.25">
      <c r="A15" s="26" t="s">
        <v>458</v>
      </c>
      <c r="B15" s="399">
        <v>3054</v>
      </c>
      <c r="C15" s="399">
        <v>96.8</v>
      </c>
      <c r="D15" s="399">
        <v>106.8</v>
      </c>
      <c r="E15" s="254"/>
    </row>
    <row r="16" spans="1:5" ht="45" customHeight="1" x14ac:dyDescent="0.25">
      <c r="A16" s="26" t="s">
        <v>459</v>
      </c>
      <c r="B16" s="399">
        <v>11452.6</v>
      </c>
      <c r="C16" s="399">
        <v>110</v>
      </c>
      <c r="D16" s="399">
        <v>161.6</v>
      </c>
      <c r="E16" s="254"/>
    </row>
    <row r="17" spans="1:5" ht="26.4" x14ac:dyDescent="0.25">
      <c r="A17" s="26" t="s">
        <v>460</v>
      </c>
      <c r="B17" s="399">
        <v>2658.9</v>
      </c>
      <c r="C17" s="399">
        <v>93.5</v>
      </c>
      <c r="D17" s="399">
        <v>112.4</v>
      </c>
      <c r="E17" s="254"/>
    </row>
    <row r="18" spans="1:5" x14ac:dyDescent="0.25">
      <c r="A18" s="26" t="s">
        <v>461</v>
      </c>
      <c r="B18" s="399">
        <v>2273.5</v>
      </c>
      <c r="C18" s="399">
        <v>133.1</v>
      </c>
      <c r="D18" s="399">
        <v>141.80000000000001</v>
      </c>
      <c r="E18" s="254"/>
    </row>
    <row r="19" spans="1:5" x14ac:dyDescent="0.25">
      <c r="A19" s="260" t="s">
        <v>453</v>
      </c>
      <c r="B19" s="399"/>
      <c r="C19" s="399"/>
      <c r="D19" s="399"/>
      <c r="E19" s="254"/>
    </row>
    <row r="20" spans="1:5" ht="26.4" x14ac:dyDescent="0.25">
      <c r="A20" s="37" t="s">
        <v>462</v>
      </c>
      <c r="B20" s="399">
        <v>1053.3</v>
      </c>
      <c r="C20" s="399">
        <v>110.2</v>
      </c>
      <c r="D20" s="399">
        <v>112.8</v>
      </c>
      <c r="E20" s="254"/>
    </row>
    <row r="21" spans="1:5" x14ac:dyDescent="0.25">
      <c r="A21" s="26" t="s">
        <v>463</v>
      </c>
      <c r="B21" s="399">
        <v>17127.599999999999</v>
      </c>
      <c r="C21" s="399">
        <v>111.1</v>
      </c>
      <c r="D21" s="399">
        <v>134.9</v>
      </c>
      <c r="E21" s="254"/>
    </row>
    <row r="22" spans="1:5" ht="26.4" x14ac:dyDescent="0.25">
      <c r="A22" s="26" t="s">
        <v>464</v>
      </c>
      <c r="B22" s="399">
        <v>4545.8</v>
      </c>
      <c r="C22" s="399">
        <v>99.7</v>
      </c>
      <c r="D22" s="399">
        <v>101.2</v>
      </c>
      <c r="E22" s="254"/>
    </row>
    <row r="23" spans="1:5" x14ac:dyDescent="0.25">
      <c r="A23" s="260" t="s">
        <v>453</v>
      </c>
      <c r="B23" s="399"/>
      <c r="C23" s="399"/>
      <c r="D23" s="399"/>
      <c r="E23" s="254"/>
    </row>
    <row r="24" spans="1:5" x14ac:dyDescent="0.25">
      <c r="A24" s="37" t="s">
        <v>465</v>
      </c>
      <c r="B24" s="399">
        <v>3833.5</v>
      </c>
      <c r="C24" s="399">
        <v>104.7</v>
      </c>
      <c r="D24" s="399">
        <v>95.4</v>
      </c>
      <c r="E24" s="254"/>
    </row>
    <row r="25" spans="1:5" x14ac:dyDescent="0.25">
      <c r="A25" s="26" t="s">
        <v>466</v>
      </c>
      <c r="B25" s="399">
        <v>754</v>
      </c>
      <c r="C25" s="399">
        <v>106.1</v>
      </c>
      <c r="D25" s="399">
        <v>136.4</v>
      </c>
      <c r="E25" s="254"/>
    </row>
    <row r="26" spans="1:5" x14ac:dyDescent="0.25">
      <c r="A26" s="26" t="s">
        <v>467</v>
      </c>
      <c r="B26" s="399">
        <v>1002.1</v>
      </c>
      <c r="C26" s="399">
        <v>96</v>
      </c>
      <c r="D26" s="399">
        <v>109.7</v>
      </c>
      <c r="E26" s="254"/>
    </row>
    <row r="27" spans="1:5" x14ac:dyDescent="0.25">
      <c r="A27" s="26" t="s">
        <v>468</v>
      </c>
      <c r="B27" s="399">
        <v>8102.4</v>
      </c>
      <c r="C27" s="399">
        <v>99.9</v>
      </c>
      <c r="D27" s="399">
        <v>98.2</v>
      </c>
      <c r="E27" s="254"/>
    </row>
    <row r="28" spans="1:5" ht="27.6" customHeight="1" x14ac:dyDescent="0.25">
      <c r="A28" s="26" t="s">
        <v>469</v>
      </c>
      <c r="B28" s="399">
        <v>620.70000000000005</v>
      </c>
      <c r="C28" s="399">
        <v>97.8</v>
      </c>
      <c r="D28" s="399">
        <v>90</v>
      </c>
      <c r="E28" s="254"/>
    </row>
    <row r="29" spans="1:5" x14ac:dyDescent="0.25">
      <c r="A29" s="26" t="s">
        <v>470</v>
      </c>
      <c r="B29" s="399">
        <v>6126.7</v>
      </c>
      <c r="C29" s="399">
        <v>132.69999999999999</v>
      </c>
      <c r="D29" s="399">
        <v>124.1</v>
      </c>
      <c r="E29" s="254"/>
    </row>
    <row r="30" spans="1:5" x14ac:dyDescent="0.25">
      <c r="A30" s="260" t="s">
        <v>453</v>
      </c>
      <c r="B30" s="399"/>
      <c r="C30" s="399"/>
      <c r="D30" s="399"/>
      <c r="E30" s="254"/>
    </row>
    <row r="31" spans="1:5" ht="39.6" x14ac:dyDescent="0.25">
      <c r="A31" s="261" t="s">
        <v>471</v>
      </c>
      <c r="B31" s="402">
        <v>658.3</v>
      </c>
      <c r="C31" s="402">
        <v>113</v>
      </c>
      <c r="D31" s="402">
        <v>177</v>
      </c>
      <c r="E31" s="254"/>
    </row>
  </sheetData>
  <mergeCells count="4">
    <mergeCell ref="A1:D1"/>
    <mergeCell ref="A3:A4"/>
    <mergeCell ref="B3:B4"/>
    <mergeCell ref="C3:C4"/>
  </mergeCells>
  <pageMargins left="0.7" right="0.7" top="0.75" bottom="0.75" header="0.3" footer="0.3"/>
  <pageSetup paperSize="9" scale="99"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7"/>
  <sheetViews>
    <sheetView zoomScale="80" zoomScaleNormal="80" workbookViewId="0">
      <selection sqref="A1:E1"/>
    </sheetView>
  </sheetViews>
  <sheetFormatPr defaultRowHeight="13.2" x14ac:dyDescent="0.25"/>
  <cols>
    <col min="1" max="1" width="21.33203125" customWidth="1"/>
    <col min="2" max="5" width="16.6640625" customWidth="1"/>
  </cols>
  <sheetData>
    <row r="1" spans="1:6" ht="13.8" x14ac:dyDescent="0.25">
      <c r="A1" s="651" t="s">
        <v>317</v>
      </c>
      <c r="B1" s="651"/>
      <c r="C1" s="651"/>
      <c r="D1" s="651"/>
      <c r="E1" s="651"/>
    </row>
    <row r="3" spans="1:6" ht="13.8" x14ac:dyDescent="0.25">
      <c r="A3" s="651" t="s">
        <v>149</v>
      </c>
      <c r="B3" s="651"/>
      <c r="C3" s="651"/>
      <c r="D3" s="651"/>
      <c r="E3" s="651"/>
    </row>
    <row r="5" spans="1:6" ht="13.8" x14ac:dyDescent="0.25">
      <c r="A5" s="676" t="s">
        <v>319</v>
      </c>
      <c r="B5" s="694"/>
      <c r="C5" s="694"/>
      <c r="D5" s="694"/>
      <c r="E5" s="694"/>
    </row>
    <row r="6" spans="1:6" x14ac:dyDescent="0.25">
      <c r="A6" s="38"/>
      <c r="B6" s="20"/>
      <c r="C6" s="20"/>
      <c r="D6" s="20"/>
      <c r="E6" s="20"/>
    </row>
    <row r="7" spans="1:6" x14ac:dyDescent="0.25">
      <c r="A7" s="695" t="s">
        <v>150</v>
      </c>
      <c r="B7" s="695"/>
      <c r="C7" s="695"/>
      <c r="D7" s="695"/>
      <c r="E7" s="695"/>
    </row>
    <row r="8" spans="1:6" x14ac:dyDescent="0.25">
      <c r="A8" s="678"/>
      <c r="B8" s="644" t="s">
        <v>396</v>
      </c>
      <c r="C8" s="655" t="s">
        <v>151</v>
      </c>
      <c r="D8" s="698"/>
      <c r="E8" s="656"/>
    </row>
    <row r="9" spans="1:6" ht="26.4" x14ac:dyDescent="0.25">
      <c r="A9" s="696"/>
      <c r="B9" s="697"/>
      <c r="C9" s="438" t="s">
        <v>154</v>
      </c>
      <c r="D9" s="438" t="s">
        <v>153</v>
      </c>
      <c r="E9" s="151" t="s">
        <v>152</v>
      </c>
    </row>
    <row r="10" spans="1:6" x14ac:dyDescent="0.25">
      <c r="A10" s="170" t="s">
        <v>485</v>
      </c>
      <c r="B10" s="391"/>
      <c r="C10" s="391"/>
      <c r="D10" s="391"/>
      <c r="E10" s="391"/>
      <c r="F10" s="20"/>
    </row>
    <row r="11" spans="1:6" x14ac:dyDescent="0.25">
      <c r="A11" s="66" t="s">
        <v>40</v>
      </c>
      <c r="B11" s="227">
        <v>100.9</v>
      </c>
      <c r="C11" s="227">
        <v>101.3</v>
      </c>
      <c r="D11" s="228">
        <v>100.5</v>
      </c>
      <c r="E11" s="228">
        <v>100.9</v>
      </c>
      <c r="F11" s="20"/>
    </row>
    <row r="12" spans="1:6" x14ac:dyDescent="0.25">
      <c r="A12" s="63" t="s">
        <v>41</v>
      </c>
      <c r="B12" s="227">
        <v>101.1</v>
      </c>
      <c r="C12" s="227">
        <v>101.7</v>
      </c>
      <c r="D12" s="228">
        <v>100.6</v>
      </c>
      <c r="E12" s="228">
        <v>100.4</v>
      </c>
      <c r="F12" s="20"/>
    </row>
    <row r="13" spans="1:6" x14ac:dyDescent="0.25">
      <c r="A13" s="66" t="s">
        <v>42</v>
      </c>
      <c r="B13" s="227">
        <v>100.9</v>
      </c>
      <c r="C13" s="227">
        <v>101.2</v>
      </c>
      <c r="D13" s="227">
        <v>100.2</v>
      </c>
      <c r="E13" s="227">
        <v>101.1</v>
      </c>
      <c r="F13" s="20"/>
    </row>
    <row r="14" spans="1:6" ht="12" customHeight="1" x14ac:dyDescent="0.25">
      <c r="A14" s="23" t="s">
        <v>130</v>
      </c>
      <c r="B14" s="227">
        <v>103.1</v>
      </c>
      <c r="C14" s="227">
        <v>105.2</v>
      </c>
      <c r="D14" s="227">
        <v>101.6</v>
      </c>
      <c r="E14" s="227">
        <v>101.6</v>
      </c>
      <c r="F14" s="20"/>
    </row>
    <row r="15" spans="1:6" x14ac:dyDescent="0.25">
      <c r="A15" s="378" t="s">
        <v>44</v>
      </c>
      <c r="B15" s="227">
        <v>100.3</v>
      </c>
      <c r="C15" s="392">
        <v>101.1</v>
      </c>
      <c r="D15" s="227">
        <v>99.5</v>
      </c>
      <c r="E15" s="227">
        <v>100</v>
      </c>
      <c r="F15" s="20"/>
    </row>
    <row r="16" spans="1:6" x14ac:dyDescent="0.25">
      <c r="A16" s="63" t="s">
        <v>45</v>
      </c>
      <c r="B16" s="227">
        <v>100.7</v>
      </c>
      <c r="C16" s="392">
        <v>101</v>
      </c>
      <c r="D16" s="227">
        <v>99.7</v>
      </c>
      <c r="E16" s="227">
        <v>101.6</v>
      </c>
      <c r="F16" s="20"/>
    </row>
    <row r="17" spans="1:6" x14ac:dyDescent="0.25">
      <c r="A17" s="63" t="s">
        <v>46</v>
      </c>
      <c r="B17" s="227">
        <v>100.1</v>
      </c>
      <c r="C17" s="392">
        <v>100</v>
      </c>
      <c r="D17" s="227">
        <v>99.9</v>
      </c>
      <c r="E17" s="227">
        <v>100.5</v>
      </c>
      <c r="F17" s="20"/>
    </row>
    <row r="18" spans="1:6" x14ac:dyDescent="0.25">
      <c r="A18" s="23" t="s">
        <v>131</v>
      </c>
      <c r="B18" s="227">
        <v>101.7</v>
      </c>
      <c r="C18" s="392">
        <v>103.1</v>
      </c>
      <c r="D18" s="227">
        <v>99.5</v>
      </c>
      <c r="E18" s="227">
        <v>102.1</v>
      </c>
      <c r="F18" s="20"/>
    </row>
    <row r="19" spans="1:6" x14ac:dyDescent="0.25">
      <c r="A19" s="63" t="s">
        <v>48</v>
      </c>
      <c r="B19" s="227">
        <v>100.9</v>
      </c>
      <c r="C19" s="392">
        <v>99.7</v>
      </c>
      <c r="D19" s="227">
        <v>100.2</v>
      </c>
      <c r="E19" s="227">
        <v>104.5</v>
      </c>
      <c r="F19" s="20"/>
    </row>
    <row r="20" spans="1:6" x14ac:dyDescent="0.25">
      <c r="A20" s="63" t="s">
        <v>26</v>
      </c>
      <c r="B20" s="227">
        <v>99.5</v>
      </c>
      <c r="C20" s="392">
        <v>98.5</v>
      </c>
      <c r="D20" s="227">
        <v>100.4</v>
      </c>
      <c r="E20" s="227">
        <v>100</v>
      </c>
      <c r="F20" s="20"/>
    </row>
    <row r="21" spans="1:6" x14ac:dyDescent="0.25">
      <c r="A21" s="168" t="s">
        <v>432</v>
      </c>
      <c r="B21" s="393"/>
      <c r="C21" s="393"/>
      <c r="D21" s="393"/>
      <c r="E21" s="393"/>
    </row>
    <row r="22" spans="1:6" x14ac:dyDescent="0.25">
      <c r="A22" s="66" t="s">
        <v>40</v>
      </c>
      <c r="B22" s="227">
        <v>100.9</v>
      </c>
      <c r="C22" s="227">
        <v>100.8</v>
      </c>
      <c r="D22" s="228">
        <v>101.4</v>
      </c>
      <c r="E22" s="228">
        <v>100.5</v>
      </c>
    </row>
    <row r="23" spans="1:6" x14ac:dyDescent="0.25">
      <c r="A23" s="63" t="s">
        <v>41</v>
      </c>
      <c r="B23" s="227">
        <v>100.7</v>
      </c>
      <c r="C23" s="227">
        <v>101.1</v>
      </c>
      <c r="D23" s="228">
        <v>99.9</v>
      </c>
      <c r="E23" s="228">
        <v>101.1</v>
      </c>
    </row>
    <row r="24" spans="1:6" x14ac:dyDescent="0.25">
      <c r="A24" s="66" t="s">
        <v>42</v>
      </c>
      <c r="B24" s="227">
        <v>100.4</v>
      </c>
      <c r="C24" s="227">
        <v>100</v>
      </c>
      <c r="D24" s="228">
        <v>100.2</v>
      </c>
      <c r="E24" s="228">
        <v>101.5</v>
      </c>
    </row>
    <row r="25" spans="1:6" x14ac:dyDescent="0.25">
      <c r="A25" s="23" t="s">
        <v>130</v>
      </c>
      <c r="B25" s="227">
        <v>102.9</v>
      </c>
      <c r="C25" s="227">
        <v>103.8</v>
      </c>
      <c r="D25" s="228">
        <v>102</v>
      </c>
      <c r="E25" s="228">
        <v>102.3</v>
      </c>
    </row>
    <row r="26" spans="1:6" x14ac:dyDescent="0.25">
      <c r="A26" s="63" t="s">
        <v>44</v>
      </c>
      <c r="B26" s="227">
        <v>100.8</v>
      </c>
      <c r="C26" s="227">
        <v>101.1</v>
      </c>
      <c r="D26" s="228">
        <v>101.3</v>
      </c>
      <c r="E26" s="228">
        <v>99.6</v>
      </c>
    </row>
    <row r="27" spans="1:6" x14ac:dyDescent="0.25">
      <c r="A27" s="63" t="s">
        <v>45</v>
      </c>
      <c r="B27" s="227">
        <v>99.5</v>
      </c>
      <c r="C27" s="227">
        <v>98.7</v>
      </c>
      <c r="D27" s="228">
        <v>99.6</v>
      </c>
      <c r="E27" s="228">
        <v>101</v>
      </c>
    </row>
    <row r="28" spans="1:6" x14ac:dyDescent="0.25">
      <c r="A28" s="63" t="s">
        <v>46</v>
      </c>
      <c r="B28" s="227">
        <v>100.2</v>
      </c>
      <c r="C28" s="227">
        <v>100.1</v>
      </c>
      <c r="D28" s="228">
        <v>99.9</v>
      </c>
      <c r="E28" s="228">
        <v>100.9</v>
      </c>
    </row>
    <row r="29" spans="1:6" x14ac:dyDescent="0.25">
      <c r="A29" s="23" t="s">
        <v>131</v>
      </c>
      <c r="B29" s="227">
        <v>101.1</v>
      </c>
      <c r="C29" s="227">
        <v>100.6</v>
      </c>
      <c r="D29" s="228">
        <v>101.1</v>
      </c>
      <c r="E29" s="228">
        <v>102</v>
      </c>
    </row>
    <row r="30" spans="1:6" x14ac:dyDescent="0.25">
      <c r="A30" s="63" t="s">
        <v>48</v>
      </c>
      <c r="B30" s="227">
        <v>101</v>
      </c>
      <c r="C30" s="227">
        <v>99.9</v>
      </c>
      <c r="D30" s="228">
        <v>101.3</v>
      </c>
      <c r="E30" s="228">
        <v>102.9</v>
      </c>
    </row>
    <row r="31" spans="1:6" x14ac:dyDescent="0.25">
      <c r="A31" s="63" t="s">
        <v>26</v>
      </c>
      <c r="B31" s="227">
        <v>100.1</v>
      </c>
      <c r="C31" s="227">
        <v>99.9</v>
      </c>
      <c r="D31" s="228">
        <v>100.3</v>
      </c>
      <c r="E31" s="228">
        <v>100.2</v>
      </c>
    </row>
    <row r="32" spans="1:6" x14ac:dyDescent="0.25">
      <c r="A32" s="63" t="s">
        <v>49</v>
      </c>
      <c r="B32" s="227">
        <v>100.5</v>
      </c>
      <c r="C32" s="227">
        <v>100.6</v>
      </c>
      <c r="D32" s="228">
        <v>100.1</v>
      </c>
      <c r="E32" s="228">
        <v>100.8</v>
      </c>
    </row>
    <row r="33" spans="1:5" x14ac:dyDescent="0.25">
      <c r="A33" s="23" t="s">
        <v>132</v>
      </c>
      <c r="B33" s="227">
        <v>101.3</v>
      </c>
      <c r="C33" s="227">
        <v>99.6</v>
      </c>
      <c r="D33" s="228">
        <v>101.3</v>
      </c>
      <c r="E33" s="228">
        <v>104.3</v>
      </c>
    </row>
    <row r="34" spans="1:5" x14ac:dyDescent="0.25">
      <c r="A34" s="19" t="s">
        <v>51</v>
      </c>
      <c r="B34" s="227">
        <v>100.9</v>
      </c>
      <c r="C34" s="227">
        <v>100.9</v>
      </c>
      <c r="D34" s="228">
        <v>101</v>
      </c>
      <c r="E34" s="228">
        <v>100.8</v>
      </c>
    </row>
    <row r="35" spans="1:5" x14ac:dyDescent="0.25">
      <c r="A35" s="19" t="s">
        <v>52</v>
      </c>
      <c r="B35" s="227">
        <v>101.3</v>
      </c>
      <c r="C35" s="227">
        <v>102.1</v>
      </c>
      <c r="D35" s="228">
        <v>100.3</v>
      </c>
      <c r="E35" s="228">
        <v>101.5</v>
      </c>
    </row>
    <row r="36" spans="1:5" x14ac:dyDescent="0.25">
      <c r="A36" s="92" t="s">
        <v>53</v>
      </c>
      <c r="B36" s="227">
        <v>101.1</v>
      </c>
      <c r="C36" s="227">
        <v>102.4</v>
      </c>
      <c r="D36" s="228">
        <v>100.7</v>
      </c>
      <c r="E36" s="228">
        <v>99.4</v>
      </c>
    </row>
    <row r="37" spans="1:5" x14ac:dyDescent="0.25">
      <c r="A37" s="307" t="s">
        <v>133</v>
      </c>
      <c r="B37" s="308">
        <v>102.5</v>
      </c>
      <c r="C37" s="308">
        <v>103.4</v>
      </c>
      <c r="D37" s="309">
        <v>101.6</v>
      </c>
      <c r="E37" s="309">
        <v>102.2</v>
      </c>
    </row>
  </sheetData>
  <mergeCells count="7">
    <mergeCell ref="A1:E1"/>
    <mergeCell ref="A3:E3"/>
    <mergeCell ref="A5:E5"/>
    <mergeCell ref="A7:E7"/>
    <mergeCell ref="A8:A9"/>
    <mergeCell ref="B8:B9"/>
    <mergeCell ref="C8:E8"/>
  </mergeCells>
  <pageMargins left="0.7" right="0.7" top="0.75" bottom="0.75" header="0.3" footer="0.3"/>
  <pageSetup paperSize="9"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8"/>
  <sheetViews>
    <sheetView zoomScale="80" zoomScaleNormal="80" workbookViewId="0">
      <selection activeCell="D6" sqref="D6"/>
    </sheetView>
  </sheetViews>
  <sheetFormatPr defaultRowHeight="13.2" x14ac:dyDescent="0.25"/>
  <cols>
    <col min="1" max="1" width="35.6640625" customWidth="1"/>
    <col min="2" max="4" width="20.109375" customWidth="1"/>
  </cols>
  <sheetData>
    <row r="1" spans="1:5" ht="13.8" x14ac:dyDescent="0.25">
      <c r="A1" s="653" t="s">
        <v>155</v>
      </c>
      <c r="B1" s="653"/>
      <c r="C1" s="653"/>
      <c r="D1" s="653"/>
    </row>
    <row r="2" spans="1:5" x14ac:dyDescent="0.25">
      <c r="A2" s="36"/>
      <c r="B2" s="20"/>
      <c r="C2" s="20"/>
    </row>
    <row r="3" spans="1:5" ht="13.2" customHeight="1" x14ac:dyDescent="0.25">
      <c r="A3" s="699" t="s">
        <v>156</v>
      </c>
      <c r="B3" s="699"/>
      <c r="C3" s="699"/>
      <c r="D3" s="699"/>
    </row>
    <row r="4" spans="1:5" x14ac:dyDescent="0.25">
      <c r="A4" s="678"/>
      <c r="B4" s="658" t="s">
        <v>642</v>
      </c>
      <c r="C4" s="700"/>
      <c r="D4" s="659"/>
    </row>
    <row r="5" spans="1:5" ht="39.6" x14ac:dyDescent="0.25">
      <c r="A5" s="696"/>
      <c r="B5" s="507" t="s">
        <v>500</v>
      </c>
      <c r="C5" s="507" t="s">
        <v>512</v>
      </c>
      <c r="D5" s="204" t="s">
        <v>490</v>
      </c>
    </row>
    <row r="6" spans="1:5" x14ac:dyDescent="0.25">
      <c r="A6" s="54" t="s">
        <v>157</v>
      </c>
      <c r="B6" s="229">
        <v>98.5</v>
      </c>
      <c r="C6" s="229">
        <v>104.4</v>
      </c>
      <c r="D6" s="229">
        <v>110.6</v>
      </c>
      <c r="E6" s="244"/>
    </row>
    <row r="7" spans="1:5" ht="26.4" x14ac:dyDescent="0.25">
      <c r="A7" s="63" t="s">
        <v>158</v>
      </c>
      <c r="B7" s="229">
        <v>98.2</v>
      </c>
      <c r="C7" s="229">
        <v>103.7</v>
      </c>
      <c r="D7" s="229">
        <v>110.4</v>
      </c>
      <c r="E7" s="56"/>
    </row>
    <row r="8" spans="1:5" x14ac:dyDescent="0.25">
      <c r="A8" s="68" t="s">
        <v>159</v>
      </c>
      <c r="B8" s="229">
        <v>100.3</v>
      </c>
      <c r="C8" s="229">
        <v>109</v>
      </c>
      <c r="D8" s="229">
        <v>113.1</v>
      </c>
      <c r="E8" s="56"/>
    </row>
    <row r="9" spans="1:5" ht="26.4" x14ac:dyDescent="0.25">
      <c r="A9" s="68" t="s">
        <v>160</v>
      </c>
      <c r="B9" s="229">
        <v>100.9</v>
      </c>
      <c r="C9" s="229">
        <v>102</v>
      </c>
      <c r="D9" s="229">
        <v>106.1</v>
      </c>
      <c r="E9" s="56"/>
    </row>
    <row r="10" spans="1:5" x14ac:dyDescent="0.25">
      <c r="A10" s="68" t="s">
        <v>161</v>
      </c>
      <c r="B10" s="229">
        <v>97.4</v>
      </c>
      <c r="C10" s="229">
        <v>109.5</v>
      </c>
      <c r="D10" s="229">
        <v>117.6</v>
      </c>
      <c r="E10" s="56"/>
    </row>
    <row r="11" spans="1:5" x14ac:dyDescent="0.25">
      <c r="A11" s="68" t="s">
        <v>162</v>
      </c>
      <c r="B11" s="229">
        <v>105.2</v>
      </c>
      <c r="C11" s="229">
        <v>99.8</v>
      </c>
      <c r="D11" s="229">
        <v>125.3</v>
      </c>
      <c r="E11" s="56"/>
    </row>
    <row r="12" spans="1:5" x14ac:dyDescent="0.25">
      <c r="A12" s="68" t="s">
        <v>163</v>
      </c>
      <c r="B12" s="229">
        <v>100.4</v>
      </c>
      <c r="C12" s="229">
        <v>104</v>
      </c>
      <c r="D12" s="229">
        <v>114.7</v>
      </c>
      <c r="E12" s="56"/>
    </row>
    <row r="13" spans="1:5" x14ac:dyDescent="0.25">
      <c r="A13" s="68" t="s">
        <v>164</v>
      </c>
      <c r="B13" s="229">
        <v>100.9</v>
      </c>
      <c r="C13" s="229">
        <v>105.2</v>
      </c>
      <c r="D13" s="229">
        <v>117.1</v>
      </c>
      <c r="E13" s="56"/>
    </row>
    <row r="14" spans="1:5" x14ac:dyDescent="0.25">
      <c r="A14" s="68" t="s">
        <v>165</v>
      </c>
      <c r="B14" s="229">
        <v>95.9</v>
      </c>
      <c r="C14" s="229">
        <v>100.8</v>
      </c>
      <c r="D14" s="229">
        <v>111</v>
      </c>
      <c r="E14" s="56"/>
    </row>
    <row r="15" spans="1:5" x14ac:dyDescent="0.25">
      <c r="A15" s="84" t="s">
        <v>393</v>
      </c>
      <c r="B15" s="229">
        <v>100.6</v>
      </c>
      <c r="C15" s="229">
        <v>79.400000000000006</v>
      </c>
      <c r="D15" s="229">
        <v>87.8</v>
      </c>
      <c r="E15" s="56"/>
    </row>
    <row r="16" spans="1:5" x14ac:dyDescent="0.25">
      <c r="A16" s="68" t="s">
        <v>166</v>
      </c>
      <c r="B16" s="229">
        <v>100.3</v>
      </c>
      <c r="C16" s="229">
        <v>101.5</v>
      </c>
      <c r="D16" s="229">
        <v>97.1</v>
      </c>
      <c r="E16" s="56"/>
    </row>
    <row r="17" spans="1:6" x14ac:dyDescent="0.25">
      <c r="A17" s="68" t="s">
        <v>167</v>
      </c>
      <c r="B17" s="229">
        <v>99.2</v>
      </c>
      <c r="C17" s="229">
        <v>103.8</v>
      </c>
      <c r="D17" s="229">
        <v>110.8</v>
      </c>
      <c r="E17" s="56"/>
    </row>
    <row r="18" spans="1:6" x14ac:dyDescent="0.25">
      <c r="A18" s="68" t="s">
        <v>168</v>
      </c>
      <c r="B18" s="229">
        <v>99.7</v>
      </c>
      <c r="C18" s="229">
        <v>115.1</v>
      </c>
      <c r="D18" s="229">
        <v>121.1</v>
      </c>
      <c r="E18" s="56"/>
    </row>
    <row r="19" spans="1:6" x14ac:dyDescent="0.25">
      <c r="A19" s="68" t="s">
        <v>169</v>
      </c>
      <c r="B19" s="229">
        <v>102.5</v>
      </c>
      <c r="C19" s="229">
        <v>106.9</v>
      </c>
      <c r="D19" s="229">
        <v>108.6</v>
      </c>
      <c r="E19" s="56"/>
    </row>
    <row r="20" spans="1:6" x14ac:dyDescent="0.25">
      <c r="A20" s="68" t="s">
        <v>170</v>
      </c>
      <c r="B20" s="229">
        <v>98.2</v>
      </c>
      <c r="C20" s="229">
        <v>109.5</v>
      </c>
      <c r="D20" s="229">
        <v>107.4</v>
      </c>
      <c r="E20" s="56"/>
    </row>
    <row r="21" spans="1:6" ht="13.8" x14ac:dyDescent="0.25">
      <c r="A21" s="100" t="s">
        <v>171</v>
      </c>
      <c r="B21" s="229">
        <v>87</v>
      </c>
      <c r="C21" s="229">
        <v>87.6</v>
      </c>
      <c r="D21" s="229">
        <v>102.7</v>
      </c>
      <c r="E21" s="56"/>
      <c r="F21" s="491"/>
    </row>
    <row r="22" spans="1:6" x14ac:dyDescent="0.25">
      <c r="A22" s="132" t="s">
        <v>172</v>
      </c>
      <c r="B22" s="276">
        <v>100.3</v>
      </c>
      <c r="C22" s="276">
        <v>110.5</v>
      </c>
      <c r="D22" s="276">
        <v>112.3</v>
      </c>
      <c r="E22" s="56"/>
    </row>
    <row r="23" spans="1:6" x14ac:dyDescent="0.25">
      <c r="B23" s="56"/>
      <c r="C23" s="56"/>
      <c r="D23" s="56"/>
      <c r="E23" s="56"/>
    </row>
    <row r="24" spans="1:6" x14ac:dyDescent="0.25">
      <c r="B24" s="237"/>
      <c r="C24" s="95"/>
      <c r="D24" s="95"/>
      <c r="E24" s="95"/>
    </row>
    <row r="25" spans="1:6" x14ac:dyDescent="0.25">
      <c r="B25" s="95"/>
      <c r="C25" s="95"/>
      <c r="D25" s="95"/>
      <c r="E25" s="95"/>
    </row>
    <row r="26" spans="1:6" x14ac:dyDescent="0.25">
      <c r="B26" s="95"/>
    </row>
    <row r="27" spans="1:6" x14ac:dyDescent="0.25">
      <c r="B27" s="95"/>
    </row>
    <row r="28" spans="1:6" ht="33" customHeight="1" x14ac:dyDescent="0.25"/>
  </sheetData>
  <mergeCells count="4">
    <mergeCell ref="A1:D1"/>
    <mergeCell ref="A3:D3"/>
    <mergeCell ref="A4:A5"/>
    <mergeCell ref="B4:D4"/>
  </mergeCells>
  <pageMargins left="0.7" right="0.7" top="0.75" bottom="0.75" header="0.3" footer="0.3"/>
  <pageSetup paperSize="9" scale="93" fitToHeight="0" orientation="portrait" verticalDpi="0"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2"/>
  <sheetViews>
    <sheetView zoomScale="80" zoomScaleNormal="80" workbookViewId="0">
      <selection activeCell="D6" sqref="D6"/>
    </sheetView>
  </sheetViews>
  <sheetFormatPr defaultRowHeight="13.2" x14ac:dyDescent="0.25"/>
  <cols>
    <col min="1" max="1" width="34" customWidth="1"/>
    <col min="2" max="2" width="23.5546875" customWidth="1"/>
    <col min="3" max="3" width="23.21875" customWidth="1"/>
    <col min="4" max="4" width="22.5546875" customWidth="1"/>
  </cols>
  <sheetData>
    <row r="1" spans="1:5" ht="13.8" x14ac:dyDescent="0.25">
      <c r="A1" s="653" t="s">
        <v>174</v>
      </c>
      <c r="B1" s="653"/>
      <c r="C1" s="653"/>
      <c r="D1" s="653"/>
    </row>
    <row r="2" spans="1:5" x14ac:dyDescent="0.25">
      <c r="A2" s="36"/>
      <c r="B2" s="20"/>
      <c r="C2" s="20"/>
    </row>
    <row r="3" spans="1:5" x14ac:dyDescent="0.25">
      <c r="A3" s="699" t="s">
        <v>156</v>
      </c>
      <c r="B3" s="699"/>
      <c r="C3" s="699"/>
      <c r="D3" s="699"/>
    </row>
    <row r="4" spans="1:5" x14ac:dyDescent="0.25">
      <c r="A4" s="647"/>
      <c r="B4" s="658" t="s">
        <v>642</v>
      </c>
      <c r="C4" s="700"/>
      <c r="D4" s="659"/>
    </row>
    <row r="5" spans="1:5" ht="31.8" customHeight="1" x14ac:dyDescent="0.25">
      <c r="A5" s="701"/>
      <c r="B5" s="439" t="s">
        <v>173</v>
      </c>
      <c r="C5" s="439" t="s">
        <v>512</v>
      </c>
      <c r="D5" s="204" t="s">
        <v>490</v>
      </c>
    </row>
    <row r="6" spans="1:5" x14ac:dyDescent="0.25">
      <c r="A6" s="54" t="s">
        <v>175</v>
      </c>
      <c r="B6" s="335">
        <v>100.4</v>
      </c>
      <c r="C6" s="229">
        <v>101</v>
      </c>
      <c r="D6" s="229">
        <v>103.1</v>
      </c>
      <c r="E6" s="95"/>
    </row>
    <row r="7" spans="1:5" x14ac:dyDescent="0.25">
      <c r="A7" s="64" t="s">
        <v>176</v>
      </c>
      <c r="B7" s="229">
        <v>100.2</v>
      </c>
      <c r="C7" s="360">
        <v>99</v>
      </c>
      <c r="D7" s="229">
        <v>100.8</v>
      </c>
      <c r="E7" s="95"/>
    </row>
    <row r="8" spans="1:5" ht="13.2" customHeight="1" x14ac:dyDescent="0.25">
      <c r="A8" s="64" t="s">
        <v>177</v>
      </c>
      <c r="B8" s="229">
        <v>100.2</v>
      </c>
      <c r="C8" s="360">
        <v>97.7</v>
      </c>
      <c r="D8" s="229">
        <v>97.8</v>
      </c>
      <c r="E8" s="95"/>
    </row>
    <row r="9" spans="1:5" x14ac:dyDescent="0.25">
      <c r="A9" s="64" t="s">
        <v>178</v>
      </c>
      <c r="B9" s="229">
        <v>99.9</v>
      </c>
      <c r="C9" s="360">
        <v>102.2</v>
      </c>
      <c r="D9" s="229">
        <v>102.1</v>
      </c>
      <c r="E9" s="95"/>
    </row>
    <row r="10" spans="1:5" x14ac:dyDescent="0.25">
      <c r="A10" s="64" t="s">
        <v>179</v>
      </c>
      <c r="B10" s="229">
        <v>100.8</v>
      </c>
      <c r="C10" s="360">
        <v>94.4</v>
      </c>
      <c r="D10" s="229">
        <v>94.5</v>
      </c>
      <c r="E10" s="95"/>
    </row>
    <row r="11" spans="1:5" x14ac:dyDescent="0.25">
      <c r="A11" s="64" t="s">
        <v>180</v>
      </c>
      <c r="B11" s="229">
        <v>100.1</v>
      </c>
      <c r="C11" s="360">
        <v>104.4</v>
      </c>
      <c r="D11" s="229">
        <v>104.5</v>
      </c>
      <c r="E11" s="95"/>
    </row>
    <row r="12" spans="1:5" x14ac:dyDescent="0.25">
      <c r="A12" s="64" t="s">
        <v>181</v>
      </c>
      <c r="B12" s="229">
        <v>100</v>
      </c>
      <c r="C12" s="360">
        <v>101</v>
      </c>
      <c r="D12" s="229">
        <v>104.2</v>
      </c>
      <c r="E12" s="95"/>
    </row>
    <row r="13" spans="1:5" x14ac:dyDescent="0.25">
      <c r="A13" s="64" t="s">
        <v>182</v>
      </c>
      <c r="B13" s="229">
        <v>99.6</v>
      </c>
      <c r="C13" s="360">
        <v>86.2</v>
      </c>
      <c r="D13" s="229">
        <v>88.7</v>
      </c>
      <c r="E13" s="95"/>
    </row>
    <row r="14" spans="1:5" x14ac:dyDescent="0.25">
      <c r="A14" s="64" t="s">
        <v>183</v>
      </c>
      <c r="B14" s="229">
        <v>100.7</v>
      </c>
      <c r="C14" s="360">
        <v>105.7</v>
      </c>
      <c r="D14" s="229">
        <v>110</v>
      </c>
      <c r="E14" s="95"/>
    </row>
    <row r="15" spans="1:5" x14ac:dyDescent="0.25">
      <c r="A15" s="64" t="s">
        <v>184</v>
      </c>
      <c r="B15" s="229">
        <v>100.1</v>
      </c>
      <c r="C15" s="360">
        <v>109.4</v>
      </c>
      <c r="D15" s="229">
        <v>113.6</v>
      </c>
      <c r="E15" s="95"/>
    </row>
    <row r="16" spans="1:5" x14ac:dyDescent="0.25">
      <c r="A16" s="64" t="s">
        <v>185</v>
      </c>
      <c r="B16" s="229">
        <v>98.4</v>
      </c>
      <c r="C16" s="360">
        <v>99.6</v>
      </c>
      <c r="D16" s="229">
        <v>98.8</v>
      </c>
      <c r="E16" s="95"/>
    </row>
    <row r="17" spans="1:5" ht="26.4" x14ac:dyDescent="0.25">
      <c r="A17" s="64" t="s">
        <v>186</v>
      </c>
      <c r="B17" s="229">
        <v>101.4</v>
      </c>
      <c r="C17" s="360">
        <v>93.2</v>
      </c>
      <c r="D17" s="229">
        <v>100.8</v>
      </c>
      <c r="E17" s="95"/>
    </row>
    <row r="18" spans="1:5" x14ac:dyDescent="0.25">
      <c r="A18" s="64" t="s">
        <v>187</v>
      </c>
      <c r="B18" s="229">
        <v>100</v>
      </c>
      <c r="C18" s="360">
        <v>100.5</v>
      </c>
      <c r="D18" s="229">
        <v>101.6</v>
      </c>
      <c r="E18" s="95"/>
    </row>
    <row r="19" spans="1:5" x14ac:dyDescent="0.25">
      <c r="A19" s="98" t="s">
        <v>188</v>
      </c>
      <c r="B19" s="276">
        <v>100.1</v>
      </c>
      <c r="C19" s="276">
        <v>101.1</v>
      </c>
      <c r="D19" s="276">
        <v>101.9</v>
      </c>
      <c r="E19" s="95"/>
    </row>
    <row r="20" spans="1:5" x14ac:dyDescent="0.25">
      <c r="B20" s="95"/>
      <c r="C20" s="95"/>
      <c r="D20" s="95"/>
      <c r="E20" s="95"/>
    </row>
    <row r="21" spans="1:5" x14ac:dyDescent="0.25">
      <c r="B21" s="95"/>
      <c r="C21" s="95"/>
      <c r="D21" s="95"/>
      <c r="E21" s="95"/>
    </row>
    <row r="22" spans="1:5" x14ac:dyDescent="0.25">
      <c r="B22" s="95"/>
      <c r="C22" s="95"/>
      <c r="D22" s="95"/>
      <c r="E22" s="95"/>
    </row>
  </sheetData>
  <mergeCells count="4">
    <mergeCell ref="A1:D1"/>
    <mergeCell ref="A4:A5"/>
    <mergeCell ref="B4:D4"/>
    <mergeCell ref="A3:D3"/>
  </mergeCells>
  <pageMargins left="0.7" right="0.7" top="0.75" bottom="0.75" header="0.3" footer="0.3"/>
  <pageSetup paperSize="9" scale="86"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80" zoomScaleNormal="80" workbookViewId="0">
      <selection activeCell="D6" sqref="D6"/>
    </sheetView>
  </sheetViews>
  <sheetFormatPr defaultRowHeight="13.2" x14ac:dyDescent="0.25"/>
  <cols>
    <col min="1" max="1" width="34.44140625" customWidth="1"/>
    <col min="2" max="3" width="22.5546875" customWidth="1"/>
    <col min="4" max="4" width="20.6640625" customWidth="1"/>
    <col min="5" max="5" width="8.44140625" customWidth="1"/>
  </cols>
  <sheetData>
    <row r="1" spans="1:5" ht="19.2" customHeight="1" x14ac:dyDescent="0.25">
      <c r="A1" s="653" t="s">
        <v>189</v>
      </c>
      <c r="B1" s="653"/>
      <c r="C1" s="653"/>
      <c r="D1" s="653"/>
    </row>
    <row r="2" spans="1:5" x14ac:dyDescent="0.25">
      <c r="A2" s="36"/>
      <c r="B2" s="20"/>
      <c r="C2" s="20"/>
    </row>
    <row r="3" spans="1:5" x14ac:dyDescent="0.25">
      <c r="A3" s="699" t="s">
        <v>156</v>
      </c>
      <c r="B3" s="699"/>
      <c r="C3" s="699"/>
      <c r="D3" s="699"/>
    </row>
    <row r="4" spans="1:5" x14ac:dyDescent="0.25">
      <c r="A4" s="647"/>
      <c r="B4" s="658" t="s">
        <v>642</v>
      </c>
      <c r="C4" s="700"/>
      <c r="D4" s="659"/>
    </row>
    <row r="5" spans="1:5" ht="37.200000000000003" customHeight="1" x14ac:dyDescent="0.25">
      <c r="A5" s="702"/>
      <c r="B5" s="439" t="s">
        <v>500</v>
      </c>
      <c r="C5" s="439" t="s">
        <v>512</v>
      </c>
      <c r="D5" s="204" t="s">
        <v>490</v>
      </c>
    </row>
    <row r="6" spans="1:5" x14ac:dyDescent="0.25">
      <c r="A6" s="54" t="s">
        <v>190</v>
      </c>
      <c r="B6" s="335">
        <v>100</v>
      </c>
      <c r="C6" s="229">
        <v>109.2</v>
      </c>
      <c r="D6" s="229">
        <v>112</v>
      </c>
      <c r="E6" s="95"/>
    </row>
    <row r="7" spans="1:5" x14ac:dyDescent="0.25">
      <c r="A7" s="68" t="s">
        <v>191</v>
      </c>
      <c r="B7" s="229">
        <v>100.5</v>
      </c>
      <c r="C7" s="360">
        <v>108.5</v>
      </c>
      <c r="D7" s="229">
        <v>111.1</v>
      </c>
      <c r="E7" s="95"/>
    </row>
    <row r="8" spans="1:5" x14ac:dyDescent="0.25">
      <c r="A8" s="262" t="s">
        <v>192</v>
      </c>
      <c r="B8" s="229">
        <v>98.3</v>
      </c>
      <c r="C8" s="360">
        <v>108</v>
      </c>
      <c r="D8" s="229">
        <v>113.3</v>
      </c>
      <c r="E8" s="95"/>
    </row>
    <row r="9" spans="1:5" x14ac:dyDescent="0.25">
      <c r="A9" s="262" t="s">
        <v>472</v>
      </c>
      <c r="B9" s="229">
        <v>100.6</v>
      </c>
      <c r="C9" s="360">
        <v>99.9</v>
      </c>
      <c r="D9" s="229">
        <v>106.1</v>
      </c>
      <c r="E9" s="95"/>
    </row>
    <row r="10" spans="1:5" x14ac:dyDescent="0.25">
      <c r="A10" s="262" t="s">
        <v>408</v>
      </c>
      <c r="B10" s="229">
        <v>98.2</v>
      </c>
      <c r="C10" s="360">
        <v>98.1</v>
      </c>
      <c r="D10" s="229">
        <v>107.9</v>
      </c>
      <c r="E10" s="95"/>
    </row>
    <row r="11" spans="1:5" ht="26.4" x14ac:dyDescent="0.25">
      <c r="A11" s="262" t="s">
        <v>351</v>
      </c>
      <c r="B11" s="229">
        <v>100.7</v>
      </c>
      <c r="C11" s="360">
        <v>113.7</v>
      </c>
      <c r="D11" s="229">
        <v>112.4</v>
      </c>
      <c r="E11" s="95"/>
    </row>
    <row r="12" spans="1:5" x14ac:dyDescent="0.25">
      <c r="A12" s="262" t="s">
        <v>473</v>
      </c>
      <c r="B12" s="229">
        <v>100</v>
      </c>
      <c r="C12" s="360">
        <v>101.2</v>
      </c>
      <c r="D12" s="229">
        <v>112.2</v>
      </c>
      <c r="E12" s="95"/>
    </row>
    <row r="13" spans="1:5" ht="26.4" x14ac:dyDescent="0.25">
      <c r="A13" s="262" t="s">
        <v>496</v>
      </c>
      <c r="B13" s="229">
        <v>102.5</v>
      </c>
      <c r="C13" s="360">
        <v>106.1</v>
      </c>
      <c r="D13" s="229">
        <v>109.3</v>
      </c>
      <c r="E13" s="95"/>
    </row>
    <row r="14" spans="1:5" x14ac:dyDescent="0.25">
      <c r="A14" s="262" t="s">
        <v>193</v>
      </c>
      <c r="B14" s="229">
        <v>100.6</v>
      </c>
      <c r="C14" s="360">
        <v>102.6</v>
      </c>
      <c r="D14" s="229">
        <v>109</v>
      </c>
      <c r="E14" s="95"/>
    </row>
    <row r="15" spans="1:5" x14ac:dyDescent="0.25">
      <c r="A15" s="271" t="s">
        <v>194</v>
      </c>
      <c r="B15" s="229">
        <v>101.6</v>
      </c>
      <c r="C15" s="360">
        <v>104.9</v>
      </c>
      <c r="D15" s="229">
        <v>114.9</v>
      </c>
      <c r="E15" s="95"/>
    </row>
    <row r="16" spans="1:5" x14ac:dyDescent="0.25">
      <c r="A16" s="271" t="s">
        <v>195</v>
      </c>
      <c r="B16" s="229">
        <v>100.7</v>
      </c>
      <c r="C16" s="360">
        <v>112.2</v>
      </c>
      <c r="D16" s="147">
        <v>103.3</v>
      </c>
      <c r="E16" s="95"/>
    </row>
    <row r="17" spans="1:5" ht="16.8" customHeight="1" x14ac:dyDescent="0.25">
      <c r="A17" s="84" t="s">
        <v>474</v>
      </c>
      <c r="B17" s="229">
        <v>100.7</v>
      </c>
      <c r="C17" s="360">
        <v>108.2</v>
      </c>
      <c r="D17" s="147">
        <v>111.5</v>
      </c>
      <c r="E17" s="95"/>
    </row>
    <row r="18" spans="1:5" x14ac:dyDescent="0.25">
      <c r="A18" s="271" t="s">
        <v>196</v>
      </c>
      <c r="B18" s="229">
        <v>100</v>
      </c>
      <c r="C18" s="360">
        <v>104.8</v>
      </c>
      <c r="D18" s="147">
        <v>113.6</v>
      </c>
      <c r="E18" s="95"/>
    </row>
    <row r="19" spans="1:5" x14ac:dyDescent="0.25">
      <c r="A19" s="271" t="s">
        <v>197</v>
      </c>
      <c r="B19" s="229">
        <v>100</v>
      </c>
      <c r="C19" s="360">
        <v>110.3</v>
      </c>
      <c r="D19" s="147">
        <v>110.3</v>
      </c>
      <c r="E19" s="95"/>
    </row>
    <row r="20" spans="1:5" x14ac:dyDescent="0.25">
      <c r="A20" s="84" t="s">
        <v>475</v>
      </c>
      <c r="B20" s="147">
        <v>97.2</v>
      </c>
      <c r="C20" s="358">
        <v>99.4</v>
      </c>
      <c r="D20" s="147">
        <v>97.5</v>
      </c>
      <c r="E20" s="95"/>
    </row>
    <row r="21" spans="1:5" ht="18.600000000000001" customHeight="1" x14ac:dyDescent="0.25">
      <c r="A21" s="291" t="s">
        <v>476</v>
      </c>
      <c r="B21" s="211">
        <v>100.9</v>
      </c>
      <c r="C21" s="150">
        <v>104.5</v>
      </c>
      <c r="D21" s="211">
        <v>107</v>
      </c>
      <c r="E21" s="95"/>
    </row>
    <row r="22" spans="1:5" x14ac:dyDescent="0.25">
      <c r="B22" s="95"/>
      <c r="C22" s="95"/>
      <c r="D22" s="95"/>
      <c r="E22" s="95"/>
    </row>
    <row r="23" spans="1:5" x14ac:dyDescent="0.25">
      <c r="B23" s="95"/>
      <c r="C23" s="95"/>
      <c r="D23" s="95"/>
      <c r="E23" s="95"/>
    </row>
    <row r="24" spans="1:5" x14ac:dyDescent="0.25">
      <c r="B24" s="95"/>
      <c r="C24" s="95"/>
      <c r="D24" s="95"/>
    </row>
  </sheetData>
  <mergeCells count="4">
    <mergeCell ref="A4:A5"/>
    <mergeCell ref="B4:D4"/>
    <mergeCell ref="A1:D1"/>
    <mergeCell ref="A3:D3"/>
  </mergeCells>
  <pageMargins left="0.7" right="0.7" top="0.75" bottom="0.75" header="0.3" footer="0.3"/>
  <pageSetup paperSize="9" scale="89"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colBreaks count="1" manualBreakCount="1">
    <brk id="4"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8"/>
  <sheetViews>
    <sheetView zoomScale="80" zoomScaleNormal="80" workbookViewId="0">
      <selection activeCell="G20" sqref="G20"/>
    </sheetView>
  </sheetViews>
  <sheetFormatPr defaultRowHeight="13.2" x14ac:dyDescent="0.25"/>
  <cols>
    <col min="1" max="1" width="40" customWidth="1"/>
    <col min="2" max="4" width="18.21875" customWidth="1"/>
  </cols>
  <sheetData>
    <row r="1" spans="1:5" ht="18" customHeight="1" x14ac:dyDescent="0.25">
      <c r="A1" s="653" t="s">
        <v>479</v>
      </c>
      <c r="B1" s="653"/>
      <c r="C1" s="653"/>
      <c r="D1" s="653"/>
    </row>
    <row r="2" spans="1:5" x14ac:dyDescent="0.25">
      <c r="A2" s="36"/>
      <c r="B2" s="20"/>
      <c r="C2" s="20"/>
    </row>
    <row r="3" spans="1:5" x14ac:dyDescent="0.25">
      <c r="A3" s="699" t="s">
        <v>156</v>
      </c>
      <c r="B3" s="699"/>
      <c r="C3" s="699"/>
      <c r="D3" s="699"/>
    </row>
    <row r="4" spans="1:5" ht="14.4" customHeight="1" x14ac:dyDescent="0.25">
      <c r="A4" s="647"/>
      <c r="B4" s="658" t="s">
        <v>642</v>
      </c>
      <c r="C4" s="700"/>
      <c r="D4" s="659"/>
    </row>
    <row r="5" spans="1:5" ht="39.6" customHeight="1" x14ac:dyDescent="0.25">
      <c r="A5" s="702"/>
      <c r="B5" s="439" t="s">
        <v>500</v>
      </c>
      <c r="C5" s="439" t="s">
        <v>512</v>
      </c>
      <c r="D5" s="204" t="s">
        <v>490</v>
      </c>
    </row>
    <row r="6" spans="1:5" ht="26.4" x14ac:dyDescent="0.25">
      <c r="A6" s="323" t="s">
        <v>486</v>
      </c>
      <c r="B6" s="277">
        <v>100.5</v>
      </c>
      <c r="C6" s="155">
        <v>121.3</v>
      </c>
      <c r="D6" s="521">
        <v>122.7</v>
      </c>
    </row>
    <row r="7" spans="1:5" ht="26.4" x14ac:dyDescent="0.25">
      <c r="A7" s="225" t="s">
        <v>198</v>
      </c>
      <c r="B7" s="277">
        <v>100</v>
      </c>
      <c r="C7" s="361">
        <v>104.4</v>
      </c>
      <c r="D7" s="155">
        <v>105.1</v>
      </c>
    </row>
    <row r="8" spans="1:5" ht="26.4" x14ac:dyDescent="0.25">
      <c r="A8" s="251" t="s">
        <v>397</v>
      </c>
      <c r="B8" s="277">
        <v>100</v>
      </c>
      <c r="C8" s="361">
        <v>106.8</v>
      </c>
      <c r="D8" s="155">
        <v>107.9</v>
      </c>
    </row>
    <row r="9" spans="1:5" ht="28.2" customHeight="1" x14ac:dyDescent="0.25">
      <c r="A9" s="225" t="s">
        <v>199</v>
      </c>
      <c r="B9" s="277">
        <v>103.1</v>
      </c>
      <c r="C9" s="361">
        <v>105.8</v>
      </c>
      <c r="D9" s="155">
        <v>112</v>
      </c>
    </row>
    <row r="10" spans="1:5" x14ac:dyDescent="0.25">
      <c r="A10" s="251" t="s">
        <v>477</v>
      </c>
      <c r="B10" s="277">
        <v>100</v>
      </c>
      <c r="C10" s="361">
        <v>146.19999999999999</v>
      </c>
      <c r="D10" s="155">
        <v>146.19999999999999</v>
      </c>
      <c r="E10" s="253"/>
    </row>
    <row r="11" spans="1:5" x14ac:dyDescent="0.25">
      <c r="A11" s="281" t="s">
        <v>200</v>
      </c>
      <c r="B11" s="277">
        <v>100</v>
      </c>
      <c r="C11" s="361">
        <v>114.8</v>
      </c>
      <c r="D11" s="155">
        <v>114.8</v>
      </c>
    </row>
    <row r="12" spans="1:5" ht="26.4" x14ac:dyDescent="0.25">
      <c r="A12" s="251" t="s">
        <v>478</v>
      </c>
      <c r="B12" s="277">
        <v>100</v>
      </c>
      <c r="C12" s="361">
        <v>111.4</v>
      </c>
      <c r="D12" s="155">
        <v>111.4</v>
      </c>
    </row>
    <row r="13" spans="1:5" x14ac:dyDescent="0.25">
      <c r="A13" s="225" t="s">
        <v>201</v>
      </c>
      <c r="B13" s="277">
        <v>100</v>
      </c>
      <c r="C13" s="361">
        <v>111.3</v>
      </c>
      <c r="D13" s="155">
        <v>111.3</v>
      </c>
    </row>
    <row r="14" spans="1:5" x14ac:dyDescent="0.25">
      <c r="A14" s="225" t="s">
        <v>202</v>
      </c>
      <c r="B14" s="277">
        <v>100</v>
      </c>
      <c r="C14" s="361">
        <v>114.2</v>
      </c>
      <c r="D14" s="155">
        <v>114.2</v>
      </c>
    </row>
    <row r="15" spans="1:5" x14ac:dyDescent="0.25">
      <c r="A15" s="225" t="s">
        <v>203</v>
      </c>
      <c r="B15" s="277">
        <v>100</v>
      </c>
      <c r="C15" s="361">
        <v>122.3</v>
      </c>
      <c r="D15" s="155">
        <v>122.3</v>
      </c>
    </row>
    <row r="16" spans="1:5" x14ac:dyDescent="0.25">
      <c r="A16" s="72" t="s">
        <v>204</v>
      </c>
      <c r="B16" s="277">
        <v>100</v>
      </c>
      <c r="C16" s="361">
        <v>117.4</v>
      </c>
      <c r="D16" s="155">
        <v>117.4</v>
      </c>
    </row>
    <row r="17" spans="1:4" ht="14.4" customHeight="1" x14ac:dyDescent="0.25">
      <c r="A17" s="72" t="s">
        <v>205</v>
      </c>
      <c r="B17" s="155">
        <v>100</v>
      </c>
      <c r="C17" s="361">
        <v>110.4</v>
      </c>
      <c r="D17" s="155">
        <v>110.4</v>
      </c>
    </row>
    <row r="18" spans="1:4" x14ac:dyDescent="0.25">
      <c r="A18" s="111" t="s">
        <v>206</v>
      </c>
      <c r="B18" s="211">
        <v>100</v>
      </c>
      <c r="C18" s="211">
        <v>112.4</v>
      </c>
      <c r="D18" s="211">
        <v>112.4</v>
      </c>
    </row>
  </sheetData>
  <mergeCells count="4">
    <mergeCell ref="A4:A5"/>
    <mergeCell ref="B4:D4"/>
    <mergeCell ref="A1:D1"/>
    <mergeCell ref="A3:D3"/>
  </mergeCells>
  <pageMargins left="0.7" right="0.7" top="0.75" bottom="0.75" header="0.3" footer="0.3"/>
  <pageSetup paperSize="9" scale="94"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colBreaks count="1" manualBreakCount="1">
    <brk id="4"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
  <sheetViews>
    <sheetView zoomScale="80" zoomScaleNormal="80" workbookViewId="0">
      <selection activeCell="D6" sqref="D6"/>
    </sheetView>
  </sheetViews>
  <sheetFormatPr defaultColWidth="8.88671875" defaultRowHeight="13.2" x14ac:dyDescent="0.25"/>
  <cols>
    <col min="1" max="1" width="28.88671875" style="20" customWidth="1"/>
    <col min="2" max="3" width="20" style="52" customWidth="1"/>
    <col min="4" max="4" width="20" style="20" customWidth="1"/>
    <col min="5" max="16384" width="8.88671875" style="20"/>
  </cols>
  <sheetData>
    <row r="1" spans="1:4" ht="13.8" x14ac:dyDescent="0.25">
      <c r="A1" s="705" t="s">
        <v>404</v>
      </c>
      <c r="B1" s="705"/>
      <c r="C1" s="705"/>
      <c r="D1" s="705"/>
    </row>
    <row r="2" spans="1:4" ht="13.8" x14ac:dyDescent="0.25">
      <c r="A2" s="432"/>
      <c r="B2" s="432"/>
      <c r="C2" s="432"/>
    </row>
    <row r="3" spans="1:4" x14ac:dyDescent="0.25">
      <c r="A3" s="706" t="s">
        <v>262</v>
      </c>
      <c r="B3" s="706"/>
      <c r="C3" s="706"/>
      <c r="D3" s="706"/>
    </row>
    <row r="4" spans="1:4" x14ac:dyDescent="0.25">
      <c r="A4" s="703"/>
      <c r="B4" s="644" t="s">
        <v>398</v>
      </c>
      <c r="C4" s="707" t="s">
        <v>37</v>
      </c>
      <c r="D4" s="708"/>
    </row>
    <row r="5" spans="1:4" ht="26.4" x14ac:dyDescent="0.25">
      <c r="A5" s="704"/>
      <c r="B5" s="685"/>
      <c r="C5" s="439" t="s">
        <v>513</v>
      </c>
      <c r="D5" s="439" t="s">
        <v>427</v>
      </c>
    </row>
    <row r="6" spans="1:4" x14ac:dyDescent="0.25">
      <c r="A6" s="128" t="s">
        <v>485</v>
      </c>
      <c r="B6" s="464"/>
      <c r="C6" s="510"/>
      <c r="D6" s="509"/>
    </row>
    <row r="7" spans="1:4" x14ac:dyDescent="0.25">
      <c r="A7" s="75" t="s">
        <v>40</v>
      </c>
      <c r="B7" s="230">
        <v>21964.98</v>
      </c>
      <c r="C7" s="275">
        <v>101.24</v>
      </c>
      <c r="D7" s="155">
        <v>101.24</v>
      </c>
    </row>
    <row r="8" spans="1:4" x14ac:dyDescent="0.25">
      <c r="A8" s="117" t="s">
        <v>41</v>
      </c>
      <c r="B8" s="230">
        <v>22142.99</v>
      </c>
      <c r="C8" s="275">
        <v>100.81</v>
      </c>
      <c r="D8" s="155">
        <v>102.06</v>
      </c>
    </row>
    <row r="9" spans="1:4" x14ac:dyDescent="0.25">
      <c r="A9" s="75" t="s">
        <v>42</v>
      </c>
      <c r="B9" s="230">
        <v>22600.29</v>
      </c>
      <c r="C9" s="360">
        <v>102.07</v>
      </c>
      <c r="D9" s="155">
        <v>104.17</v>
      </c>
    </row>
    <row r="10" spans="1:4" x14ac:dyDescent="0.25">
      <c r="A10" s="75" t="s">
        <v>44</v>
      </c>
      <c r="B10" s="230">
        <v>22854.43</v>
      </c>
      <c r="C10" s="360">
        <v>101.12</v>
      </c>
      <c r="D10" s="155">
        <v>105.34</v>
      </c>
    </row>
    <row r="11" spans="1:4" x14ac:dyDescent="0.25">
      <c r="A11" s="75" t="s">
        <v>45</v>
      </c>
      <c r="B11" s="230">
        <v>23116.78</v>
      </c>
      <c r="C11" s="360">
        <v>101.15</v>
      </c>
      <c r="D11" s="155">
        <v>106.55</v>
      </c>
    </row>
    <row r="12" spans="1:4" x14ac:dyDescent="0.25">
      <c r="A12" s="75" t="s">
        <v>46</v>
      </c>
      <c r="B12" s="230">
        <v>22986.79</v>
      </c>
      <c r="C12" s="360">
        <v>99.44</v>
      </c>
      <c r="D12" s="155">
        <v>105.95</v>
      </c>
    </row>
    <row r="13" spans="1:4" x14ac:dyDescent="0.25">
      <c r="A13" s="75" t="s">
        <v>48</v>
      </c>
      <c r="B13" s="230">
        <v>23275.62</v>
      </c>
      <c r="C13" s="360">
        <v>101.26</v>
      </c>
      <c r="D13" s="155">
        <v>107.28</v>
      </c>
    </row>
    <row r="14" spans="1:4" x14ac:dyDescent="0.25">
      <c r="A14" s="75" t="s">
        <v>26</v>
      </c>
      <c r="B14" s="230">
        <v>22928.37</v>
      </c>
      <c r="C14" s="360">
        <v>98.51</v>
      </c>
      <c r="D14" s="155">
        <v>105.68</v>
      </c>
    </row>
    <row r="15" spans="1:4" x14ac:dyDescent="0.25">
      <c r="A15" s="128" t="s">
        <v>432</v>
      </c>
      <c r="B15" s="509"/>
      <c r="C15" s="510"/>
      <c r="D15" s="509"/>
    </row>
    <row r="16" spans="1:4" x14ac:dyDescent="0.25">
      <c r="A16" s="75" t="s">
        <v>40</v>
      </c>
      <c r="B16" s="230">
        <v>19285.650000000001</v>
      </c>
      <c r="C16" s="275">
        <v>100.52</v>
      </c>
      <c r="D16" s="155">
        <v>100.52</v>
      </c>
    </row>
    <row r="17" spans="1:4" x14ac:dyDescent="0.25">
      <c r="A17" s="117" t="s">
        <v>41</v>
      </c>
      <c r="B17" s="230">
        <v>19544.34</v>
      </c>
      <c r="C17" s="275">
        <v>101.34</v>
      </c>
      <c r="D17" s="155">
        <v>101.87</v>
      </c>
    </row>
    <row r="18" spans="1:4" x14ac:dyDescent="0.25">
      <c r="A18" s="75" t="s">
        <v>42</v>
      </c>
      <c r="B18" s="230">
        <v>19639.66</v>
      </c>
      <c r="C18" s="275">
        <v>100.49</v>
      </c>
      <c r="D18" s="155">
        <v>102.36</v>
      </c>
    </row>
    <row r="19" spans="1:4" x14ac:dyDescent="0.25">
      <c r="A19" s="75" t="s">
        <v>44</v>
      </c>
      <c r="B19" s="230">
        <v>19883.02</v>
      </c>
      <c r="C19" s="275">
        <v>101.24</v>
      </c>
      <c r="D19" s="155">
        <v>103.63</v>
      </c>
    </row>
    <row r="20" spans="1:4" x14ac:dyDescent="0.25">
      <c r="A20" s="75" t="s">
        <v>45</v>
      </c>
      <c r="B20" s="394">
        <v>20104.849999999999</v>
      </c>
      <c r="C20" s="277">
        <v>101.12</v>
      </c>
      <c r="D20" s="155">
        <v>104.79</v>
      </c>
    </row>
    <row r="21" spans="1:4" x14ac:dyDescent="0.25">
      <c r="A21" s="75" t="s">
        <v>46</v>
      </c>
      <c r="B21" s="230">
        <v>20278.16</v>
      </c>
      <c r="C21" s="275">
        <v>100.86</v>
      </c>
      <c r="D21" s="155">
        <v>105.69</v>
      </c>
    </row>
    <row r="22" spans="1:4" x14ac:dyDescent="0.25">
      <c r="A22" s="75" t="s">
        <v>48</v>
      </c>
      <c r="B22" s="230">
        <v>20727.810000000001</v>
      </c>
      <c r="C22" s="275">
        <v>102.22</v>
      </c>
      <c r="D22" s="155">
        <v>108.04</v>
      </c>
    </row>
    <row r="23" spans="1:4" x14ac:dyDescent="0.25">
      <c r="A23" s="245" t="s">
        <v>26</v>
      </c>
      <c r="B23" s="394">
        <v>20620.810000000001</v>
      </c>
      <c r="C23" s="277">
        <v>99.48</v>
      </c>
      <c r="D23" s="155">
        <v>107.48</v>
      </c>
    </row>
    <row r="24" spans="1:4" x14ac:dyDescent="0.25">
      <c r="A24" s="117" t="s">
        <v>49</v>
      </c>
      <c r="B24" s="394">
        <v>20552.09</v>
      </c>
      <c r="C24" s="277">
        <v>99.67</v>
      </c>
      <c r="D24" s="155">
        <v>107.12</v>
      </c>
    </row>
    <row r="25" spans="1:4" x14ac:dyDescent="0.25">
      <c r="A25" s="86" t="s">
        <v>51</v>
      </c>
      <c r="B25" s="230">
        <v>20743.7</v>
      </c>
      <c r="C25" s="275">
        <v>100.93</v>
      </c>
      <c r="D25" s="155">
        <v>108.12</v>
      </c>
    </row>
    <row r="26" spans="1:4" x14ac:dyDescent="0.25">
      <c r="A26" s="245" t="s">
        <v>52</v>
      </c>
      <c r="B26" s="230">
        <v>21158.66</v>
      </c>
      <c r="C26" s="275">
        <v>102</v>
      </c>
      <c r="D26" s="155">
        <v>110.28</v>
      </c>
    </row>
    <row r="27" spans="1:4" x14ac:dyDescent="0.25">
      <c r="A27" s="210" t="s">
        <v>53</v>
      </c>
      <c r="B27" s="465">
        <v>21466.49</v>
      </c>
      <c r="C27" s="463">
        <v>101.45</v>
      </c>
      <c r="D27" s="211">
        <v>111.89</v>
      </c>
    </row>
    <row r="39" spans="2:3" x14ac:dyDescent="0.25">
      <c r="B39" s="20"/>
      <c r="C39" s="20"/>
    </row>
    <row r="48" spans="2:3" x14ac:dyDescent="0.25">
      <c r="B48" s="20"/>
      <c r="C48" s="20"/>
    </row>
  </sheetData>
  <mergeCells count="5">
    <mergeCell ref="A4:A5"/>
    <mergeCell ref="A1:D1"/>
    <mergeCell ref="A3:D3"/>
    <mergeCell ref="B4:B5"/>
    <mergeCell ref="C4:D4"/>
  </mergeCells>
  <pageMargins left="0.7" right="0.7" top="0.75" bottom="0.75" header="0.3" footer="0.3"/>
  <pageSetup paperSize="9" scale="91"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zoomScale="80" zoomScaleNormal="80" workbookViewId="0">
      <selection activeCell="D6" sqref="D6"/>
    </sheetView>
  </sheetViews>
  <sheetFormatPr defaultRowHeight="13.2" x14ac:dyDescent="0.25"/>
  <cols>
    <col min="1" max="1" width="34.6640625" customWidth="1"/>
    <col min="2" max="4" width="19.77734375" customWidth="1"/>
  </cols>
  <sheetData>
    <row r="1" spans="1:4" ht="13.8" x14ac:dyDescent="0.25">
      <c r="A1" s="710" t="s">
        <v>312</v>
      </c>
      <c r="B1" s="710"/>
      <c r="C1" s="710"/>
      <c r="D1" s="710"/>
    </row>
    <row r="2" spans="1:4" x14ac:dyDescent="0.25">
      <c r="A2" s="33"/>
      <c r="B2" s="20"/>
      <c r="C2" s="20"/>
    </row>
    <row r="3" spans="1:4" x14ac:dyDescent="0.25">
      <c r="A3" s="699" t="s">
        <v>216</v>
      </c>
      <c r="B3" s="699"/>
      <c r="C3" s="699"/>
      <c r="D3" s="699"/>
    </row>
    <row r="4" spans="1:4" x14ac:dyDescent="0.25">
      <c r="A4" s="709"/>
      <c r="B4" s="711" t="s">
        <v>636</v>
      </c>
      <c r="C4" s="666" t="s">
        <v>217</v>
      </c>
      <c r="D4" s="667"/>
    </row>
    <row r="5" spans="1:4" x14ac:dyDescent="0.25">
      <c r="A5" s="679"/>
      <c r="B5" s="712"/>
      <c r="C5" s="212" t="s">
        <v>643</v>
      </c>
      <c r="D5" s="439" t="s">
        <v>498</v>
      </c>
    </row>
    <row r="6" spans="1:4" x14ac:dyDescent="0.25">
      <c r="A6" s="76" t="s">
        <v>183</v>
      </c>
      <c r="B6" s="336">
        <v>60.45</v>
      </c>
      <c r="C6" s="336">
        <v>57.38</v>
      </c>
      <c r="D6" s="517">
        <v>59.77</v>
      </c>
    </row>
    <row r="7" spans="1:4" x14ac:dyDescent="0.25">
      <c r="A7" s="99" t="s">
        <v>139</v>
      </c>
      <c r="B7" s="336"/>
      <c r="C7" s="395"/>
      <c r="D7" s="518"/>
    </row>
    <row r="8" spans="1:4" x14ac:dyDescent="0.25">
      <c r="A8" s="100" t="s">
        <v>218</v>
      </c>
      <c r="B8" s="336">
        <v>57.12</v>
      </c>
      <c r="C8" s="395">
        <v>52.07</v>
      </c>
      <c r="D8" s="518">
        <v>54.03</v>
      </c>
    </row>
    <row r="9" spans="1:4" x14ac:dyDescent="0.25">
      <c r="A9" s="100" t="s">
        <v>219</v>
      </c>
      <c r="B9" s="336">
        <v>62.92</v>
      </c>
      <c r="C9" s="395">
        <v>57.33</v>
      </c>
      <c r="D9" s="230">
        <v>59.6</v>
      </c>
    </row>
    <row r="10" spans="1:4" x14ac:dyDescent="0.25">
      <c r="A10" s="269" t="s">
        <v>505</v>
      </c>
      <c r="B10" s="336">
        <v>81.48</v>
      </c>
      <c r="C10" s="395">
        <v>76.69</v>
      </c>
      <c r="D10" s="518">
        <v>81.05</v>
      </c>
    </row>
    <row r="11" spans="1:4" x14ac:dyDescent="0.25">
      <c r="A11" s="101" t="s">
        <v>220</v>
      </c>
      <c r="B11" s="336">
        <v>71.09</v>
      </c>
      <c r="C11" s="395">
        <v>66.739999999999995</v>
      </c>
      <c r="D11" s="518">
        <v>70.010000000000005</v>
      </c>
    </row>
    <row r="12" spans="1:4" x14ac:dyDescent="0.25">
      <c r="A12" s="74" t="s">
        <v>311</v>
      </c>
      <c r="B12" s="337">
        <v>21.43</v>
      </c>
      <c r="C12" s="337">
        <v>25.94</v>
      </c>
      <c r="D12" s="519">
        <v>29.44</v>
      </c>
    </row>
  </sheetData>
  <mergeCells count="5">
    <mergeCell ref="A4:A5"/>
    <mergeCell ref="A1:D1"/>
    <mergeCell ref="A3:D3"/>
    <mergeCell ref="B4:B5"/>
    <mergeCell ref="C4:D4"/>
  </mergeCells>
  <pageMargins left="0.7" right="0.7" top="0.75" bottom="0.75" header="0.3" footer="0.3"/>
  <pageSetup paperSize="9" scale="95"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colBreaks count="1" manualBreakCount="1">
    <brk id="4" max="21"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
  <sheetViews>
    <sheetView zoomScale="80" zoomScaleNormal="80" workbookViewId="0">
      <selection activeCell="D6" sqref="D6"/>
    </sheetView>
  </sheetViews>
  <sheetFormatPr defaultRowHeight="13.2" x14ac:dyDescent="0.25"/>
  <cols>
    <col min="1" max="1" width="31.88671875" customWidth="1"/>
    <col min="2" max="2" width="20.44140625" customWidth="1"/>
    <col min="3" max="3" width="20.77734375" customWidth="1"/>
    <col min="4" max="4" width="19.33203125" customWidth="1"/>
  </cols>
  <sheetData>
    <row r="1" spans="1:11" ht="13.8" x14ac:dyDescent="0.25">
      <c r="A1" s="710" t="s">
        <v>313</v>
      </c>
      <c r="B1" s="710"/>
      <c r="C1" s="710"/>
      <c r="D1" s="710"/>
    </row>
    <row r="2" spans="1:11" x14ac:dyDescent="0.25">
      <c r="A2" s="41"/>
      <c r="B2" s="20"/>
    </row>
    <row r="3" spans="1:11" x14ac:dyDescent="0.25">
      <c r="A3" s="715" t="s">
        <v>156</v>
      </c>
      <c r="B3" s="715"/>
      <c r="C3" s="715"/>
      <c r="D3" s="715"/>
    </row>
    <row r="4" spans="1:11" x14ac:dyDescent="0.25">
      <c r="A4" s="713"/>
      <c r="B4" s="658" t="s">
        <v>642</v>
      </c>
      <c r="C4" s="700"/>
      <c r="D4" s="659"/>
    </row>
    <row r="5" spans="1:11" ht="52.8" x14ac:dyDescent="0.25">
      <c r="A5" s="714"/>
      <c r="B5" s="439" t="s">
        <v>499</v>
      </c>
      <c r="C5" s="212" t="s">
        <v>512</v>
      </c>
      <c r="D5" s="439" t="s">
        <v>514</v>
      </c>
    </row>
    <row r="6" spans="1:11" x14ac:dyDescent="0.25">
      <c r="A6" s="86" t="s">
        <v>183</v>
      </c>
      <c r="B6" s="362">
        <v>100.7</v>
      </c>
      <c r="C6" s="362">
        <v>105.7</v>
      </c>
      <c r="D6" s="521">
        <v>110</v>
      </c>
      <c r="E6" s="95"/>
      <c r="F6" s="95"/>
      <c r="G6" s="95"/>
      <c r="H6" s="95"/>
    </row>
    <row r="7" spans="1:11" x14ac:dyDescent="0.25">
      <c r="A7" s="268" t="s">
        <v>139</v>
      </c>
      <c r="B7" s="362"/>
      <c r="C7" s="363"/>
      <c r="D7" s="147"/>
      <c r="E7" s="95"/>
      <c r="F7" s="95"/>
      <c r="G7" s="95"/>
      <c r="H7" s="95"/>
    </row>
    <row r="8" spans="1:11" x14ac:dyDescent="0.25">
      <c r="A8" s="269" t="s">
        <v>218</v>
      </c>
      <c r="B8" s="362">
        <v>100.8</v>
      </c>
      <c r="C8" s="363">
        <v>105.9</v>
      </c>
      <c r="D8" s="147">
        <v>109.9</v>
      </c>
      <c r="E8" s="95"/>
      <c r="F8" s="95"/>
      <c r="G8" s="95"/>
      <c r="H8" s="95"/>
    </row>
    <row r="9" spans="1:11" x14ac:dyDescent="0.25">
      <c r="A9" s="269" t="s">
        <v>219</v>
      </c>
      <c r="B9" s="362">
        <v>100.6</v>
      </c>
      <c r="C9" s="363">
        <v>105.7</v>
      </c>
      <c r="D9" s="147">
        <v>109.9</v>
      </c>
      <c r="E9" s="95"/>
      <c r="F9" s="95"/>
      <c r="G9" s="95"/>
      <c r="H9" s="95"/>
    </row>
    <row r="10" spans="1:11" x14ac:dyDescent="0.25">
      <c r="A10" s="269" t="s">
        <v>505</v>
      </c>
      <c r="B10" s="362">
        <v>100.1</v>
      </c>
      <c r="C10" s="363">
        <v>101.1</v>
      </c>
      <c r="D10" s="147">
        <v>106.9</v>
      </c>
      <c r="E10" s="95"/>
      <c r="F10" s="95"/>
      <c r="G10" s="95"/>
      <c r="H10" s="95"/>
    </row>
    <row r="11" spans="1:11" x14ac:dyDescent="0.25">
      <c r="A11" s="137" t="s">
        <v>220</v>
      </c>
      <c r="B11" s="362">
        <v>100</v>
      </c>
      <c r="C11" s="617">
        <v>101.6</v>
      </c>
      <c r="D11" s="329">
        <v>106.5</v>
      </c>
      <c r="E11" s="95"/>
      <c r="F11" s="95"/>
      <c r="G11" s="95"/>
      <c r="H11" s="95"/>
    </row>
    <row r="12" spans="1:11" s="95" customFormat="1" x14ac:dyDescent="0.25">
      <c r="A12" s="74" t="s">
        <v>311</v>
      </c>
      <c r="B12" s="364">
        <v>100</v>
      </c>
      <c r="C12" s="618">
        <v>73.2</v>
      </c>
      <c r="D12" s="305">
        <v>83</v>
      </c>
      <c r="E12" s="112"/>
      <c r="F12" s="606"/>
      <c r="G12" s="112"/>
      <c r="H12" s="112"/>
      <c r="I12" s="112"/>
      <c r="J12" s="112"/>
      <c r="K12" s="112"/>
    </row>
    <row r="13" spans="1:11" x14ac:dyDescent="0.25">
      <c r="B13" s="237"/>
      <c r="C13" s="95"/>
      <c r="D13" s="95"/>
      <c r="E13" s="95"/>
      <c r="F13" s="95"/>
      <c r="G13" s="95"/>
      <c r="H13" s="95"/>
    </row>
    <row r="14" spans="1:11" x14ac:dyDescent="0.25">
      <c r="B14" s="95"/>
      <c r="C14" s="95"/>
      <c r="D14" s="95"/>
      <c r="E14" s="95"/>
      <c r="F14" s="95"/>
      <c r="G14" s="95"/>
      <c r="H14" s="95"/>
    </row>
  </sheetData>
  <mergeCells count="4">
    <mergeCell ref="A4:A5"/>
    <mergeCell ref="A1:D1"/>
    <mergeCell ref="A3:D3"/>
    <mergeCell ref="B4:D4"/>
  </mergeCells>
  <pageMargins left="0.7" right="0.7" top="0.75" bottom="0.75" header="0.3" footer="0.3"/>
  <pageSetup paperSize="9" scale="88"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7"/>
  <sheetViews>
    <sheetView topLeftCell="A4" zoomScale="80" zoomScaleNormal="80" workbookViewId="0">
      <selection activeCell="I33" sqref="I33"/>
    </sheetView>
  </sheetViews>
  <sheetFormatPr defaultRowHeight="13.2" x14ac:dyDescent="0.25"/>
  <cols>
    <col min="1" max="1" width="24.109375" customWidth="1"/>
    <col min="2" max="3" width="12.6640625" customWidth="1"/>
    <col min="4" max="4" width="14.33203125" customWidth="1"/>
    <col min="5" max="5" width="12.6640625" customWidth="1"/>
    <col min="6" max="6" width="13.77734375" customWidth="1"/>
  </cols>
  <sheetData>
    <row r="1" spans="1:6" ht="13.8" x14ac:dyDescent="0.25">
      <c r="A1" s="651" t="s">
        <v>207</v>
      </c>
      <c r="B1" s="651"/>
      <c r="C1" s="651"/>
      <c r="D1" s="651"/>
      <c r="E1" s="651"/>
      <c r="F1" s="651"/>
    </row>
    <row r="3" spans="1:6" ht="31.95" customHeight="1" x14ac:dyDescent="0.25">
      <c r="A3" s="676" t="s">
        <v>616</v>
      </c>
      <c r="B3" s="676"/>
      <c r="C3" s="676"/>
      <c r="D3" s="676"/>
      <c r="E3" s="676"/>
      <c r="F3" s="676"/>
    </row>
    <row r="4" spans="1:6" x14ac:dyDescent="0.25">
      <c r="A4" s="39"/>
      <c r="B4" s="20"/>
      <c r="C4" s="20"/>
      <c r="D4" s="20"/>
      <c r="E4" s="20"/>
      <c r="F4" s="20"/>
    </row>
    <row r="5" spans="1:6" x14ac:dyDescent="0.25">
      <c r="A5" s="717" t="s">
        <v>150</v>
      </c>
      <c r="B5" s="695"/>
      <c r="C5" s="695"/>
      <c r="D5" s="695"/>
      <c r="E5" s="695"/>
      <c r="F5" s="695"/>
    </row>
    <row r="6" spans="1:6" ht="13.2" customHeight="1" x14ac:dyDescent="0.25">
      <c r="A6" s="647"/>
      <c r="B6" s="687" t="s">
        <v>208</v>
      </c>
      <c r="C6" s="691" t="s">
        <v>209</v>
      </c>
      <c r="D6" s="691"/>
      <c r="E6" s="691"/>
      <c r="F6" s="667"/>
    </row>
    <row r="7" spans="1:6" ht="145.19999999999999" x14ac:dyDescent="0.25">
      <c r="A7" s="657"/>
      <c r="B7" s="645"/>
      <c r="C7" s="420" t="s">
        <v>210</v>
      </c>
      <c r="D7" s="434" t="s">
        <v>214</v>
      </c>
      <c r="E7" s="434" t="s">
        <v>215</v>
      </c>
      <c r="F7" s="306" t="s">
        <v>614</v>
      </c>
    </row>
    <row r="8" spans="1:6" x14ac:dyDescent="0.25">
      <c r="A8" s="118" t="s">
        <v>485</v>
      </c>
      <c r="B8" s="515"/>
      <c r="C8" s="515"/>
      <c r="D8" s="515"/>
      <c r="E8" s="515"/>
      <c r="F8" s="515"/>
    </row>
    <row r="9" spans="1:6" x14ac:dyDescent="0.25">
      <c r="A9" s="522" t="s">
        <v>40</v>
      </c>
      <c r="B9" s="231">
        <v>99.6</v>
      </c>
      <c r="C9" s="231">
        <v>98.7</v>
      </c>
      <c r="D9" s="232">
        <v>100</v>
      </c>
      <c r="E9" s="232">
        <v>98.7</v>
      </c>
      <c r="F9" s="232">
        <v>100.2</v>
      </c>
    </row>
    <row r="10" spans="1:6" x14ac:dyDescent="0.25">
      <c r="A10" s="523" t="s">
        <v>41</v>
      </c>
      <c r="B10" s="231">
        <v>99.1</v>
      </c>
      <c r="C10" s="231">
        <v>98.8</v>
      </c>
      <c r="D10" s="232">
        <v>99.1</v>
      </c>
      <c r="E10" s="232">
        <v>101.9</v>
      </c>
      <c r="F10" s="232">
        <v>95.8</v>
      </c>
    </row>
    <row r="11" spans="1:6" x14ac:dyDescent="0.25">
      <c r="A11" s="376" t="s">
        <v>42</v>
      </c>
      <c r="B11" s="231">
        <v>101.1</v>
      </c>
      <c r="C11" s="231">
        <v>82.9</v>
      </c>
      <c r="D11" s="232">
        <v>108.3</v>
      </c>
      <c r="E11" s="232">
        <v>101.6</v>
      </c>
      <c r="F11" s="232">
        <v>100</v>
      </c>
    </row>
    <row r="12" spans="1:6" x14ac:dyDescent="0.25">
      <c r="A12" s="81" t="s">
        <v>130</v>
      </c>
      <c r="B12" s="231">
        <v>99.8</v>
      </c>
      <c r="C12" s="231">
        <v>80.900000000000006</v>
      </c>
      <c r="D12" s="232">
        <v>107.4</v>
      </c>
      <c r="E12" s="232">
        <v>102.2</v>
      </c>
      <c r="F12" s="232">
        <v>95.9</v>
      </c>
    </row>
    <row r="13" spans="1:6" x14ac:dyDescent="0.25">
      <c r="A13" s="508" t="s">
        <v>44</v>
      </c>
      <c r="B13" s="231">
        <v>98.7</v>
      </c>
      <c r="C13" s="231">
        <v>93.1</v>
      </c>
      <c r="D13" s="232">
        <v>100.4</v>
      </c>
      <c r="E13" s="232">
        <v>99.1</v>
      </c>
      <c r="F13" s="232">
        <v>100</v>
      </c>
    </row>
    <row r="14" spans="1:6" x14ac:dyDescent="0.25">
      <c r="A14" s="378" t="s">
        <v>45</v>
      </c>
      <c r="B14" s="231">
        <v>90.8</v>
      </c>
      <c r="C14" s="231">
        <v>89.9</v>
      </c>
      <c r="D14" s="231">
        <v>90.1</v>
      </c>
      <c r="E14" s="231">
        <v>100.1</v>
      </c>
      <c r="F14" s="231">
        <v>100</v>
      </c>
    </row>
    <row r="15" spans="1:6" x14ac:dyDescent="0.25">
      <c r="A15" s="376" t="s">
        <v>46</v>
      </c>
      <c r="B15" s="231">
        <v>101.6</v>
      </c>
      <c r="C15" s="466">
        <v>93.7</v>
      </c>
      <c r="D15" s="231">
        <v>103.9</v>
      </c>
      <c r="E15" s="466">
        <v>100.5</v>
      </c>
      <c r="F15" s="231">
        <v>100.6</v>
      </c>
    </row>
    <row r="16" spans="1:6" x14ac:dyDescent="0.25">
      <c r="A16" s="81" t="s">
        <v>131</v>
      </c>
      <c r="B16" s="231">
        <v>91</v>
      </c>
      <c r="C16" s="466">
        <v>78.400000000000006</v>
      </c>
      <c r="D16" s="231">
        <v>94</v>
      </c>
      <c r="E16" s="466">
        <v>99.6</v>
      </c>
      <c r="F16" s="231">
        <v>100.6</v>
      </c>
    </row>
    <row r="17" spans="1:8" x14ac:dyDescent="0.25">
      <c r="A17" s="376" t="s">
        <v>48</v>
      </c>
      <c r="B17" s="231">
        <v>102.9</v>
      </c>
      <c r="C17" s="466">
        <v>110.7</v>
      </c>
      <c r="D17" s="231">
        <v>100.4</v>
      </c>
      <c r="E17" s="392">
        <v>106.6</v>
      </c>
      <c r="F17" s="231">
        <v>110.4</v>
      </c>
    </row>
    <row r="18" spans="1:8" x14ac:dyDescent="0.25">
      <c r="A18" s="376" t="s">
        <v>26</v>
      </c>
      <c r="B18" s="753">
        <v>88.7</v>
      </c>
      <c r="C18" s="754">
        <v>100</v>
      </c>
      <c r="D18" s="753">
        <v>83.7</v>
      </c>
      <c r="E18" s="754">
        <v>105.5</v>
      </c>
      <c r="F18" s="753">
        <v>100</v>
      </c>
      <c r="G18" s="95"/>
      <c r="H18" s="90"/>
    </row>
    <row r="19" spans="1:8" x14ac:dyDescent="0.25">
      <c r="A19" s="128" t="s">
        <v>432</v>
      </c>
      <c r="B19" s="516"/>
      <c r="C19" s="516"/>
      <c r="D19" s="516"/>
      <c r="E19" s="516"/>
      <c r="F19" s="516"/>
    </row>
    <row r="20" spans="1:8" x14ac:dyDescent="0.25">
      <c r="A20" s="522" t="s">
        <v>40</v>
      </c>
      <c r="B20" s="231">
        <v>101.3</v>
      </c>
      <c r="C20" s="231">
        <v>106.2</v>
      </c>
      <c r="D20" s="232">
        <v>99.8</v>
      </c>
      <c r="E20" s="232">
        <v>97.5</v>
      </c>
      <c r="F20" s="232">
        <v>100.3</v>
      </c>
    </row>
    <row r="21" spans="1:8" x14ac:dyDescent="0.25">
      <c r="A21" s="376" t="s">
        <v>41</v>
      </c>
      <c r="B21" s="231">
        <v>97.4</v>
      </c>
      <c r="C21" s="231">
        <v>97.7</v>
      </c>
      <c r="D21" s="232">
        <v>97</v>
      </c>
      <c r="E21" s="232">
        <v>100.1</v>
      </c>
      <c r="F21" s="232">
        <v>100</v>
      </c>
    </row>
    <row r="22" spans="1:8" x14ac:dyDescent="0.25">
      <c r="A22" s="376" t="s">
        <v>42</v>
      </c>
      <c r="B22" s="231">
        <v>102.9</v>
      </c>
      <c r="C22" s="231">
        <v>110.1</v>
      </c>
      <c r="D22" s="232">
        <v>100.1</v>
      </c>
      <c r="E22" s="232">
        <v>104.8</v>
      </c>
      <c r="F22" s="232">
        <v>100</v>
      </c>
    </row>
    <row r="23" spans="1:8" ht="13.2" customHeight="1" x14ac:dyDescent="0.25">
      <c r="A23" s="81" t="s">
        <v>130</v>
      </c>
      <c r="B23" s="231">
        <v>101.6</v>
      </c>
      <c r="C23" s="231">
        <v>114.3</v>
      </c>
      <c r="D23" s="232">
        <v>96.9</v>
      </c>
      <c r="E23" s="232">
        <v>102.2</v>
      </c>
      <c r="F23" s="232">
        <v>100.3</v>
      </c>
    </row>
    <row r="24" spans="1:8" x14ac:dyDescent="0.25">
      <c r="A24" s="508" t="s">
        <v>44</v>
      </c>
      <c r="B24" s="231">
        <v>101.5</v>
      </c>
      <c r="C24" s="231">
        <v>103.7</v>
      </c>
      <c r="D24" s="232">
        <v>101</v>
      </c>
      <c r="E24" s="232">
        <v>97.1</v>
      </c>
      <c r="F24" s="232">
        <v>100</v>
      </c>
    </row>
    <row r="25" spans="1:8" x14ac:dyDescent="0.25">
      <c r="A25" s="508" t="s">
        <v>45</v>
      </c>
      <c r="B25" s="231">
        <v>100.8</v>
      </c>
      <c r="C25" s="231">
        <v>104.7</v>
      </c>
      <c r="D25" s="232">
        <v>99.2</v>
      </c>
      <c r="E25" s="232">
        <v>100.5</v>
      </c>
      <c r="F25" s="232">
        <v>100</v>
      </c>
    </row>
    <row r="26" spans="1:8" x14ac:dyDescent="0.25">
      <c r="A26" s="376" t="s">
        <v>46</v>
      </c>
      <c r="B26" s="231">
        <v>96</v>
      </c>
      <c r="C26" s="231">
        <v>87.5</v>
      </c>
      <c r="D26" s="232">
        <v>99.7</v>
      </c>
      <c r="E26" s="232">
        <v>99</v>
      </c>
      <c r="F26" s="232">
        <v>100</v>
      </c>
    </row>
    <row r="27" spans="1:8" x14ac:dyDescent="0.25">
      <c r="A27" s="81" t="s">
        <v>131</v>
      </c>
      <c r="B27" s="231">
        <v>98.3</v>
      </c>
      <c r="C27" s="231">
        <v>95</v>
      </c>
      <c r="D27" s="232">
        <v>99.8</v>
      </c>
      <c r="E27" s="232">
        <v>96.6</v>
      </c>
      <c r="F27" s="232">
        <v>100</v>
      </c>
    </row>
    <row r="28" spans="1:8" x14ac:dyDescent="0.25">
      <c r="A28" s="376" t="s">
        <v>48</v>
      </c>
      <c r="B28" s="231">
        <v>102.6</v>
      </c>
      <c r="C28" s="231">
        <v>107.8</v>
      </c>
      <c r="D28" s="232">
        <v>100.4</v>
      </c>
      <c r="E28" s="227">
        <v>100.5</v>
      </c>
      <c r="F28" s="232">
        <v>110.8</v>
      </c>
    </row>
    <row r="29" spans="1:8" x14ac:dyDescent="0.25">
      <c r="A29" s="376" t="s">
        <v>26</v>
      </c>
      <c r="B29" s="231">
        <v>99.4</v>
      </c>
      <c r="C29" s="231">
        <v>94.6</v>
      </c>
      <c r="D29" s="232">
        <v>101.1</v>
      </c>
      <c r="E29" s="232">
        <v>105.1</v>
      </c>
      <c r="F29" s="232">
        <v>100</v>
      </c>
    </row>
    <row r="30" spans="1:8" x14ac:dyDescent="0.25">
      <c r="A30" s="376" t="s">
        <v>49</v>
      </c>
      <c r="B30" s="231">
        <v>101.6</v>
      </c>
      <c r="C30" s="231">
        <v>103.9</v>
      </c>
      <c r="D30" s="232">
        <v>100.5</v>
      </c>
      <c r="E30" s="232">
        <v>103.8</v>
      </c>
      <c r="F30" s="232">
        <v>100.6</v>
      </c>
    </row>
    <row r="31" spans="1:8" x14ac:dyDescent="0.25">
      <c r="A31" s="81" t="s">
        <v>132</v>
      </c>
      <c r="B31" s="231">
        <v>103.7</v>
      </c>
      <c r="C31" s="231">
        <v>105.9</v>
      </c>
      <c r="D31" s="232">
        <v>102</v>
      </c>
      <c r="E31" s="232">
        <v>109.6</v>
      </c>
      <c r="F31" s="232">
        <v>111.4</v>
      </c>
    </row>
    <row r="32" spans="1:8" x14ac:dyDescent="0.25">
      <c r="A32" s="376" t="s">
        <v>51</v>
      </c>
      <c r="B32" s="231">
        <v>97.1</v>
      </c>
      <c r="C32" s="231">
        <v>89.1</v>
      </c>
      <c r="D32" s="232">
        <v>100.1</v>
      </c>
      <c r="E32" s="232">
        <v>100.9</v>
      </c>
      <c r="F32" s="232">
        <v>100</v>
      </c>
    </row>
    <row r="33" spans="1:6" x14ac:dyDescent="0.25">
      <c r="A33" s="376" t="s">
        <v>52</v>
      </c>
      <c r="B33" s="231">
        <v>100.6</v>
      </c>
      <c r="C33" s="231">
        <v>103.7</v>
      </c>
      <c r="D33" s="232">
        <v>99.4</v>
      </c>
      <c r="E33" s="232">
        <v>100.3</v>
      </c>
      <c r="F33" s="232">
        <v>100</v>
      </c>
    </row>
    <row r="34" spans="1:6" x14ac:dyDescent="0.25">
      <c r="A34" s="508" t="s">
        <v>53</v>
      </c>
      <c r="B34" s="231">
        <v>103</v>
      </c>
      <c r="C34" s="231">
        <v>109.7</v>
      </c>
      <c r="D34" s="232">
        <v>100.7</v>
      </c>
      <c r="E34" s="232">
        <v>99.2</v>
      </c>
      <c r="F34" s="232">
        <v>100</v>
      </c>
    </row>
    <row r="35" spans="1:6" x14ac:dyDescent="0.25">
      <c r="A35" s="131" t="s">
        <v>133</v>
      </c>
      <c r="B35" s="273">
        <v>100.5</v>
      </c>
      <c r="C35" s="273">
        <v>101.3</v>
      </c>
      <c r="D35" s="274">
        <v>100.2</v>
      </c>
      <c r="E35" s="274">
        <v>100.4</v>
      </c>
      <c r="F35" s="274">
        <v>100</v>
      </c>
    </row>
    <row r="37" spans="1:6" ht="48" customHeight="1" x14ac:dyDescent="0.25">
      <c r="A37" s="716" t="s">
        <v>34</v>
      </c>
      <c r="B37" s="716"/>
      <c r="C37" s="716"/>
      <c r="D37" s="716"/>
      <c r="E37" s="716"/>
      <c r="F37" s="716"/>
    </row>
  </sheetData>
  <mergeCells count="7">
    <mergeCell ref="A6:A7"/>
    <mergeCell ref="B6:B7"/>
    <mergeCell ref="C6:F6"/>
    <mergeCell ref="A37:F37"/>
    <mergeCell ref="A1:F1"/>
    <mergeCell ref="A3:F3"/>
    <mergeCell ref="A5:F5"/>
  </mergeCells>
  <pageMargins left="0.7" right="0.7" top="0.75" bottom="0.75" header="0.3" footer="0.3"/>
  <pageSetup paperSize="9" scale="99"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zoomScale="80" zoomScaleNormal="80" workbookViewId="0">
      <selection activeCell="I21" sqref="I21"/>
    </sheetView>
  </sheetViews>
  <sheetFormatPr defaultColWidth="8.88671875" defaultRowHeight="13.2" x14ac:dyDescent="0.25"/>
  <cols>
    <col min="1" max="1" width="43.109375" style="171" customWidth="1"/>
    <col min="2" max="3" width="22.5546875" style="171" customWidth="1"/>
    <col min="4" max="4" width="7.44140625" style="171" customWidth="1"/>
    <col min="5" max="16384" width="8.88671875" style="171"/>
  </cols>
  <sheetData>
    <row r="1" spans="1:4" ht="28.8" customHeight="1" x14ac:dyDescent="0.25">
      <c r="A1" s="718" t="s">
        <v>310</v>
      </c>
      <c r="B1" s="718"/>
      <c r="C1" s="718"/>
    </row>
    <row r="2" spans="1:4" ht="13.8" x14ac:dyDescent="0.25">
      <c r="A2" s="431"/>
      <c r="B2" s="431"/>
      <c r="C2" s="431"/>
    </row>
    <row r="3" spans="1:4" x14ac:dyDescent="0.25">
      <c r="A3" s="719" t="s">
        <v>156</v>
      </c>
      <c r="B3" s="719"/>
      <c r="C3" s="719"/>
    </row>
    <row r="4" spans="1:4" x14ac:dyDescent="0.25">
      <c r="A4" s="678"/>
      <c r="B4" s="644" t="s">
        <v>644</v>
      </c>
      <c r="C4" s="439" t="s">
        <v>440</v>
      </c>
      <c r="D4"/>
    </row>
    <row r="5" spans="1:4" ht="26.4" x14ac:dyDescent="0.25">
      <c r="A5" s="720"/>
      <c r="B5" s="663"/>
      <c r="C5" s="422" t="s">
        <v>645</v>
      </c>
      <c r="D5"/>
    </row>
    <row r="6" spans="1:4" ht="13.2" customHeight="1" x14ac:dyDescent="0.25">
      <c r="A6" s="24" t="s">
        <v>480</v>
      </c>
      <c r="B6" s="483">
        <v>82.9</v>
      </c>
      <c r="C6" s="619">
        <v>101.9</v>
      </c>
      <c r="D6" s="95"/>
    </row>
    <row r="7" spans="1:4" x14ac:dyDescent="0.25">
      <c r="A7" s="24" t="s">
        <v>56</v>
      </c>
      <c r="B7" s="607">
        <v>70.3</v>
      </c>
      <c r="C7" s="607">
        <v>110.6</v>
      </c>
      <c r="D7" s="462"/>
    </row>
    <row r="8" spans="1:4" x14ac:dyDescent="0.25">
      <c r="A8" s="55" t="s">
        <v>357</v>
      </c>
      <c r="B8" s="607">
        <v>69</v>
      </c>
      <c r="C8" s="607">
        <v>109.8</v>
      </c>
      <c r="D8" s="462"/>
    </row>
    <row r="9" spans="1:4" x14ac:dyDescent="0.25">
      <c r="A9" s="26" t="s">
        <v>57</v>
      </c>
      <c r="B9" s="607">
        <v>106</v>
      </c>
      <c r="C9" s="607">
        <v>119.6</v>
      </c>
      <c r="D9" s="462"/>
    </row>
    <row r="10" spans="1:4" x14ac:dyDescent="0.25">
      <c r="A10" s="172" t="s">
        <v>59</v>
      </c>
      <c r="B10" s="607">
        <v>84.8</v>
      </c>
      <c r="C10" s="607">
        <v>98.2</v>
      </c>
      <c r="D10" s="462"/>
    </row>
    <row r="11" spans="1:4" x14ac:dyDescent="0.25">
      <c r="A11" s="173" t="s">
        <v>60</v>
      </c>
      <c r="B11" s="607">
        <v>103.7</v>
      </c>
      <c r="C11" s="607">
        <v>102.9</v>
      </c>
      <c r="D11" s="462"/>
    </row>
    <row r="12" spans="1:4" x14ac:dyDescent="0.25">
      <c r="A12" s="173" t="s">
        <v>61</v>
      </c>
      <c r="B12" s="607">
        <v>114.2</v>
      </c>
      <c r="C12" s="607">
        <v>107.1</v>
      </c>
      <c r="D12" s="462"/>
    </row>
    <row r="13" spans="1:4" x14ac:dyDescent="0.25">
      <c r="A13" s="173" t="s">
        <v>77</v>
      </c>
      <c r="B13" s="607">
        <v>111.1</v>
      </c>
      <c r="C13" s="607">
        <v>98.8</v>
      </c>
      <c r="D13" s="462"/>
    </row>
    <row r="14" spans="1:4" ht="52.8" x14ac:dyDescent="0.25">
      <c r="A14" s="173" t="s">
        <v>62</v>
      </c>
      <c r="B14" s="607">
        <v>95.5</v>
      </c>
      <c r="C14" s="607">
        <v>111.1</v>
      </c>
      <c r="D14" s="95"/>
    </row>
    <row r="15" spans="1:4" x14ac:dyDescent="0.25">
      <c r="A15" s="173" t="s">
        <v>63</v>
      </c>
      <c r="B15" s="607">
        <v>94.3</v>
      </c>
      <c r="C15" s="607">
        <v>107.6</v>
      </c>
      <c r="D15" s="95"/>
    </row>
    <row r="16" spans="1:4" x14ac:dyDescent="0.25">
      <c r="A16" s="173" t="s">
        <v>65</v>
      </c>
      <c r="B16" s="607">
        <v>89.6</v>
      </c>
      <c r="C16" s="607">
        <v>89.8</v>
      </c>
      <c r="D16" s="95"/>
    </row>
    <row r="17" spans="1:4" ht="26.4" x14ac:dyDescent="0.25">
      <c r="A17" s="173" t="s">
        <v>66</v>
      </c>
      <c r="B17" s="607">
        <v>75.099999999999994</v>
      </c>
      <c r="C17" s="607">
        <v>94.9</v>
      </c>
      <c r="D17" s="95"/>
    </row>
    <row r="18" spans="1:4" ht="26.4" x14ac:dyDescent="0.25">
      <c r="A18" s="173" t="s">
        <v>67</v>
      </c>
      <c r="B18" s="607">
        <v>106.8</v>
      </c>
      <c r="C18" s="607">
        <v>107.1</v>
      </c>
      <c r="D18" s="95"/>
    </row>
    <row r="19" spans="1:4" ht="26.4" x14ac:dyDescent="0.25">
      <c r="A19" s="173" t="s">
        <v>68</v>
      </c>
      <c r="B19" s="607">
        <v>102.7</v>
      </c>
      <c r="C19" s="607">
        <v>132.6</v>
      </c>
      <c r="D19" s="95"/>
    </row>
    <row r="20" spans="1:4" x14ac:dyDescent="0.25">
      <c r="A20" s="173" t="s">
        <v>79</v>
      </c>
      <c r="B20" s="607">
        <v>94.2</v>
      </c>
      <c r="C20" s="607">
        <v>100.6</v>
      </c>
      <c r="D20" s="95"/>
    </row>
    <row r="21" spans="1:4" ht="26.4" x14ac:dyDescent="0.25">
      <c r="A21" s="173" t="s">
        <v>69</v>
      </c>
      <c r="B21" s="607">
        <v>101.1</v>
      </c>
      <c r="C21" s="607">
        <v>102</v>
      </c>
      <c r="D21" s="95"/>
    </row>
    <row r="22" spans="1:4" ht="26.4" x14ac:dyDescent="0.25">
      <c r="A22" s="173" t="s">
        <v>70</v>
      </c>
      <c r="B22" s="607">
        <v>100</v>
      </c>
      <c r="C22" s="607">
        <v>109.3</v>
      </c>
      <c r="D22" s="95"/>
    </row>
    <row r="23" spans="1:4" x14ac:dyDescent="0.25">
      <c r="A23" s="173" t="s">
        <v>80</v>
      </c>
      <c r="B23" s="607">
        <v>97.5</v>
      </c>
      <c r="C23" s="607">
        <v>112</v>
      </c>
      <c r="D23" s="95"/>
    </row>
    <row r="24" spans="1:4" ht="26.4" x14ac:dyDescent="0.25">
      <c r="A24" s="263" t="s">
        <v>81</v>
      </c>
      <c r="B24" s="607">
        <v>101.3</v>
      </c>
      <c r="C24" s="607">
        <v>104.3</v>
      </c>
      <c r="D24" s="95"/>
    </row>
    <row r="25" spans="1:4" x14ac:dyDescent="0.25">
      <c r="A25" s="174" t="s">
        <v>72</v>
      </c>
      <c r="B25" s="620">
        <v>102.8</v>
      </c>
      <c r="C25" s="620">
        <v>110.4</v>
      </c>
      <c r="D25" s="95"/>
    </row>
    <row r="26" spans="1:4" ht="25.2" customHeight="1" x14ac:dyDescent="0.25">
      <c r="A26" s="175" t="s">
        <v>74</v>
      </c>
      <c r="B26" s="621">
        <v>114.6</v>
      </c>
      <c r="C26" s="621">
        <v>104.2</v>
      </c>
      <c r="D26" s="95"/>
    </row>
    <row r="27" spans="1:4" ht="39.6" x14ac:dyDescent="0.25">
      <c r="A27" s="176" t="s">
        <v>75</v>
      </c>
      <c r="B27" s="622">
        <v>106.6</v>
      </c>
      <c r="C27" s="622">
        <v>111.1</v>
      </c>
      <c r="D27" s="95"/>
    </row>
    <row r="28" spans="1:4" x14ac:dyDescent="0.25">
      <c r="A28" s="264"/>
      <c r="B28" s="265"/>
      <c r="C28" s="266"/>
      <c r="D28"/>
    </row>
    <row r="29" spans="1:4" ht="50.4" customHeight="1" x14ac:dyDescent="0.25">
      <c r="A29" s="721" t="s">
        <v>417</v>
      </c>
      <c r="B29" s="721"/>
      <c r="C29" s="721"/>
      <c r="D29"/>
    </row>
    <row r="32" spans="1:4" ht="42" customHeight="1" x14ac:dyDescent="0.25"/>
  </sheetData>
  <mergeCells count="5">
    <mergeCell ref="A1:C1"/>
    <mergeCell ref="A3:C3"/>
    <mergeCell ref="A4:A5"/>
    <mergeCell ref="B4:B5"/>
    <mergeCell ref="A29:C29"/>
  </mergeCells>
  <conditionalFormatting sqref="A6:A28">
    <cfRule type="duplicateValues" dxfId="5" priority="1"/>
  </conditionalFormatting>
  <pageMargins left="0.7" right="0.7" top="0.75" bottom="0.75" header="0.3" footer="0.3"/>
  <pageSetup paperSize="9" scale="93"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5"/>
  <sheetViews>
    <sheetView zoomScale="80" zoomScaleNormal="80" workbookViewId="0">
      <selection activeCell="J20" sqref="J20"/>
    </sheetView>
  </sheetViews>
  <sheetFormatPr defaultRowHeight="13.2" x14ac:dyDescent="0.25"/>
  <cols>
    <col min="1" max="1" width="40.33203125" customWidth="1"/>
    <col min="2" max="4" width="18.77734375" customWidth="1"/>
  </cols>
  <sheetData>
    <row r="1" spans="1:5" ht="29.4" customHeight="1" x14ac:dyDescent="0.25">
      <c r="A1" s="676" t="s">
        <v>297</v>
      </c>
      <c r="B1" s="676"/>
      <c r="C1" s="676"/>
      <c r="D1" s="676"/>
    </row>
    <row r="2" spans="1:5" x14ac:dyDescent="0.25">
      <c r="A2" s="41"/>
      <c r="B2" s="20"/>
      <c r="C2" s="20"/>
    </row>
    <row r="3" spans="1:5" ht="17.399999999999999" customHeight="1" x14ac:dyDescent="0.25">
      <c r="A3" s="699" t="s">
        <v>156</v>
      </c>
      <c r="B3" s="699"/>
      <c r="C3" s="699"/>
      <c r="D3" s="699"/>
    </row>
    <row r="4" spans="1:5" x14ac:dyDescent="0.25">
      <c r="A4" s="647"/>
      <c r="B4" s="658" t="s">
        <v>646</v>
      </c>
      <c r="C4" s="700"/>
      <c r="D4" s="659"/>
    </row>
    <row r="5" spans="1:5" ht="39.6" x14ac:dyDescent="0.25">
      <c r="A5" s="648"/>
      <c r="B5" s="439" t="s">
        <v>515</v>
      </c>
      <c r="C5" s="433" t="s">
        <v>512</v>
      </c>
      <c r="D5" s="433" t="s">
        <v>490</v>
      </c>
    </row>
    <row r="6" spans="1:5" ht="27" customHeight="1" x14ac:dyDescent="0.25">
      <c r="A6" s="51" t="s">
        <v>298</v>
      </c>
      <c r="B6" s="155">
        <v>100</v>
      </c>
      <c r="C6" s="155">
        <v>69</v>
      </c>
      <c r="D6" s="520">
        <v>72.8</v>
      </c>
      <c r="E6" s="436"/>
    </row>
    <row r="7" spans="1:5" ht="15" customHeight="1" x14ac:dyDescent="0.25">
      <c r="A7" s="82" t="s">
        <v>299</v>
      </c>
      <c r="B7" s="155">
        <v>100</v>
      </c>
      <c r="C7" s="361">
        <v>117.1</v>
      </c>
      <c r="D7" s="147">
        <v>124.9</v>
      </c>
      <c r="E7" s="95"/>
    </row>
    <row r="8" spans="1:5" ht="26.4" x14ac:dyDescent="0.25">
      <c r="A8" s="82" t="s">
        <v>300</v>
      </c>
      <c r="B8" s="155">
        <v>101.4</v>
      </c>
      <c r="C8" s="361">
        <v>98.6</v>
      </c>
      <c r="D8" s="147">
        <v>110.2</v>
      </c>
      <c r="E8" s="95"/>
    </row>
    <row r="9" spans="1:5" ht="26.4" x14ac:dyDescent="0.25">
      <c r="A9" s="82" t="s">
        <v>301</v>
      </c>
      <c r="B9" s="155">
        <v>100</v>
      </c>
      <c r="C9" s="361">
        <v>100.8</v>
      </c>
      <c r="D9" s="155">
        <v>100</v>
      </c>
      <c r="E9" s="95"/>
    </row>
    <row r="10" spans="1:5" ht="39.6" x14ac:dyDescent="0.25">
      <c r="A10" s="82" t="s">
        <v>302</v>
      </c>
      <c r="B10" s="155">
        <v>100.3</v>
      </c>
      <c r="C10" s="361">
        <v>111.1</v>
      </c>
      <c r="D10" s="147">
        <v>115.7</v>
      </c>
      <c r="E10" s="95"/>
    </row>
    <row r="11" spans="1:5" x14ac:dyDescent="0.25">
      <c r="A11" s="82" t="s">
        <v>303</v>
      </c>
      <c r="B11" s="155">
        <v>98.9</v>
      </c>
      <c r="C11" s="361">
        <v>100.9</v>
      </c>
      <c r="D11" s="147">
        <v>119.8</v>
      </c>
      <c r="E11" s="95"/>
    </row>
    <row r="12" spans="1:5" x14ac:dyDescent="0.25">
      <c r="A12" s="83" t="s">
        <v>304</v>
      </c>
      <c r="B12" s="155">
        <v>100.5</v>
      </c>
      <c r="C12" s="361">
        <v>96.8</v>
      </c>
      <c r="D12" s="147">
        <v>102.2</v>
      </c>
      <c r="E12" s="95"/>
    </row>
    <row r="13" spans="1:5" ht="26.4" x14ac:dyDescent="0.25">
      <c r="A13" s="83" t="s">
        <v>305</v>
      </c>
      <c r="B13" s="155">
        <v>103.1</v>
      </c>
      <c r="C13" s="361">
        <v>106.8</v>
      </c>
      <c r="D13" s="147">
        <v>115.7</v>
      </c>
      <c r="E13" s="95"/>
    </row>
    <row r="14" spans="1:5" x14ac:dyDescent="0.25">
      <c r="A14" s="83" t="s">
        <v>306</v>
      </c>
      <c r="B14" s="155">
        <v>100.1</v>
      </c>
      <c r="C14" s="361">
        <v>117.1</v>
      </c>
      <c r="D14" s="147">
        <v>117.1</v>
      </c>
      <c r="E14" s="95"/>
    </row>
    <row r="15" spans="1:5" x14ac:dyDescent="0.25">
      <c r="A15" s="83" t="s">
        <v>307</v>
      </c>
      <c r="B15" s="247">
        <v>100</v>
      </c>
      <c r="C15" s="623">
        <v>112.6</v>
      </c>
      <c r="D15" s="329">
        <v>118.9</v>
      </c>
      <c r="E15" s="95"/>
    </row>
    <row r="16" spans="1:5" x14ac:dyDescent="0.25">
      <c r="A16" s="156" t="s">
        <v>183</v>
      </c>
      <c r="B16" s="247">
        <v>113.4</v>
      </c>
      <c r="C16" s="623">
        <v>125.5</v>
      </c>
      <c r="D16" s="329">
        <v>100.6</v>
      </c>
      <c r="E16" s="253"/>
    </row>
    <row r="17" spans="1:5" x14ac:dyDescent="0.25">
      <c r="A17" s="156" t="s">
        <v>407</v>
      </c>
      <c r="B17" s="247">
        <v>96.2</v>
      </c>
      <c r="C17" s="623">
        <v>82.4</v>
      </c>
      <c r="D17" s="329">
        <v>89.6</v>
      </c>
      <c r="E17" s="606"/>
    </row>
    <row r="18" spans="1:5" ht="26.4" x14ac:dyDescent="0.25">
      <c r="A18" s="83" t="s">
        <v>308</v>
      </c>
      <c r="B18" s="247">
        <v>106.3</v>
      </c>
      <c r="C18" s="623">
        <v>107.7</v>
      </c>
      <c r="D18" s="329">
        <v>109.8</v>
      </c>
      <c r="E18" s="606"/>
    </row>
    <row r="19" spans="1:5" x14ac:dyDescent="0.25">
      <c r="A19" s="107" t="s">
        <v>309</v>
      </c>
      <c r="B19" s="305">
        <v>100</v>
      </c>
      <c r="C19" s="305">
        <v>119.7</v>
      </c>
      <c r="D19" s="310">
        <v>119.8</v>
      </c>
    </row>
    <row r="20" spans="1:5" x14ac:dyDescent="0.25">
      <c r="B20" s="95"/>
      <c r="C20" s="95"/>
      <c r="D20" s="95"/>
    </row>
    <row r="21" spans="1:5" x14ac:dyDescent="0.25">
      <c r="B21" s="95"/>
      <c r="C21" s="95"/>
      <c r="D21" s="95"/>
      <c r="E21" s="95"/>
    </row>
    <row r="22" spans="1:5" x14ac:dyDescent="0.25">
      <c r="B22" s="95"/>
      <c r="C22" s="95"/>
      <c r="D22" s="95"/>
    </row>
    <row r="23" spans="1:5" x14ac:dyDescent="0.25">
      <c r="B23" s="95"/>
      <c r="C23" s="95"/>
      <c r="D23" s="95"/>
    </row>
    <row r="24" spans="1:5" x14ac:dyDescent="0.25">
      <c r="B24" s="95"/>
      <c r="C24" s="95"/>
      <c r="D24" s="95"/>
    </row>
    <row r="25" spans="1:5" x14ac:dyDescent="0.25">
      <c r="B25" s="95"/>
      <c r="C25" s="95"/>
      <c r="D25" s="95"/>
    </row>
    <row r="26" spans="1:5" ht="28.2" customHeight="1" x14ac:dyDescent="0.25">
      <c r="B26" s="95"/>
      <c r="C26" s="95"/>
      <c r="D26" s="95"/>
    </row>
    <row r="27" spans="1:5" x14ac:dyDescent="0.25">
      <c r="B27" s="95"/>
      <c r="C27" s="95"/>
      <c r="D27" s="95"/>
    </row>
    <row r="28" spans="1:5" x14ac:dyDescent="0.25">
      <c r="B28" s="95"/>
      <c r="C28" s="95"/>
    </row>
    <row r="29" spans="1:5" ht="36.6" customHeight="1" x14ac:dyDescent="0.25">
      <c r="B29" s="95"/>
      <c r="C29" s="95"/>
    </row>
    <row r="30" spans="1:5" x14ac:dyDescent="0.25">
      <c r="B30" s="95"/>
      <c r="C30" s="95"/>
    </row>
    <row r="31" spans="1:5" x14ac:dyDescent="0.25">
      <c r="B31" s="95"/>
      <c r="C31" s="95"/>
    </row>
    <row r="32" spans="1:5" x14ac:dyDescent="0.25">
      <c r="B32" s="95"/>
      <c r="C32" s="95"/>
    </row>
    <row r="33" spans="2:3" x14ac:dyDescent="0.25">
      <c r="B33" s="95"/>
      <c r="C33" s="95"/>
    </row>
    <row r="34" spans="2:3" x14ac:dyDescent="0.25">
      <c r="B34" s="95"/>
      <c r="C34" s="95"/>
    </row>
    <row r="35" spans="2:3" x14ac:dyDescent="0.25">
      <c r="B35" s="95"/>
      <c r="C35" s="95"/>
    </row>
    <row r="36" spans="2:3" x14ac:dyDescent="0.25">
      <c r="B36" s="95"/>
      <c r="C36" s="95"/>
    </row>
    <row r="37" spans="2:3" x14ac:dyDescent="0.25">
      <c r="B37" s="95"/>
      <c r="C37" s="95"/>
    </row>
    <row r="38" spans="2:3" x14ac:dyDescent="0.25">
      <c r="B38" s="95"/>
      <c r="C38" s="95"/>
    </row>
    <row r="39" spans="2:3" x14ac:dyDescent="0.25">
      <c r="B39" s="95"/>
      <c r="C39" s="95"/>
    </row>
    <row r="40" spans="2:3" x14ac:dyDescent="0.25">
      <c r="B40" s="95"/>
      <c r="C40" s="95"/>
    </row>
    <row r="41" spans="2:3" x14ac:dyDescent="0.25">
      <c r="B41" s="95"/>
      <c r="C41" s="95"/>
    </row>
    <row r="42" spans="2:3" x14ac:dyDescent="0.25">
      <c r="B42" s="95"/>
      <c r="C42" s="95"/>
    </row>
    <row r="43" spans="2:3" x14ac:dyDescent="0.25">
      <c r="B43" s="95"/>
      <c r="C43" s="95"/>
    </row>
    <row r="44" spans="2:3" x14ac:dyDescent="0.25">
      <c r="B44" s="95"/>
      <c r="C44" s="95"/>
    </row>
    <row r="45" spans="2:3" x14ac:dyDescent="0.25">
      <c r="B45" s="95"/>
      <c r="C45" s="95"/>
    </row>
    <row r="46" spans="2:3" x14ac:dyDescent="0.25">
      <c r="B46" s="95"/>
      <c r="C46" s="95"/>
    </row>
    <row r="47" spans="2:3" x14ac:dyDescent="0.25">
      <c r="B47" s="95"/>
      <c r="C47" s="95"/>
    </row>
    <row r="48" spans="2:3" x14ac:dyDescent="0.25">
      <c r="B48" s="95"/>
      <c r="C48" s="95"/>
    </row>
    <row r="49" spans="2:3" x14ac:dyDescent="0.25">
      <c r="B49" s="95"/>
      <c r="C49" s="95"/>
    </row>
    <row r="50" spans="2:3" x14ac:dyDescent="0.25">
      <c r="B50" s="95"/>
      <c r="C50" s="95"/>
    </row>
    <row r="51" spans="2:3" x14ac:dyDescent="0.25">
      <c r="B51" s="95"/>
      <c r="C51" s="95"/>
    </row>
    <row r="52" spans="2:3" x14ac:dyDescent="0.25">
      <c r="B52" s="95"/>
      <c r="C52" s="95"/>
    </row>
    <row r="53" spans="2:3" x14ac:dyDescent="0.25">
      <c r="B53" s="95"/>
      <c r="C53" s="95"/>
    </row>
    <row r="54" spans="2:3" x14ac:dyDescent="0.25">
      <c r="B54" s="95"/>
      <c r="C54" s="95"/>
    </row>
    <row r="55" spans="2:3" x14ac:dyDescent="0.25">
      <c r="B55" s="95"/>
      <c r="C55" s="95"/>
    </row>
    <row r="56" spans="2:3" x14ac:dyDescent="0.25">
      <c r="B56" s="95"/>
      <c r="C56" s="95"/>
    </row>
    <row r="57" spans="2:3" x14ac:dyDescent="0.25">
      <c r="B57" s="95"/>
      <c r="C57" s="95"/>
    </row>
    <row r="58" spans="2:3" x14ac:dyDescent="0.25">
      <c r="B58" s="95"/>
      <c r="C58" s="95"/>
    </row>
    <row r="59" spans="2:3" x14ac:dyDescent="0.25">
      <c r="B59" s="95"/>
      <c r="C59" s="95"/>
    </row>
    <row r="60" spans="2:3" x14ac:dyDescent="0.25">
      <c r="B60" s="95"/>
      <c r="C60" s="95"/>
    </row>
    <row r="61" spans="2:3" x14ac:dyDescent="0.25">
      <c r="B61" s="95"/>
      <c r="C61" s="95"/>
    </row>
    <row r="62" spans="2:3" x14ac:dyDescent="0.25">
      <c r="B62" s="95"/>
      <c r="C62" s="95"/>
    </row>
    <row r="63" spans="2:3" x14ac:dyDescent="0.25">
      <c r="B63" s="95"/>
      <c r="C63" s="95"/>
    </row>
    <row r="64" spans="2:3" x14ac:dyDescent="0.25">
      <c r="B64" s="95"/>
      <c r="C64" s="95"/>
    </row>
    <row r="65" spans="2:3" x14ac:dyDescent="0.25">
      <c r="B65" s="95"/>
      <c r="C65" s="95"/>
    </row>
    <row r="66" spans="2:3" x14ac:dyDescent="0.25">
      <c r="B66" s="95"/>
      <c r="C66" s="95"/>
    </row>
    <row r="67" spans="2:3" x14ac:dyDescent="0.25">
      <c r="B67" s="95"/>
      <c r="C67" s="95"/>
    </row>
    <row r="68" spans="2:3" x14ac:dyDescent="0.25">
      <c r="B68" s="95"/>
      <c r="C68" s="95"/>
    </row>
    <row r="69" spans="2:3" x14ac:dyDescent="0.25">
      <c r="B69" s="95"/>
      <c r="C69" s="95"/>
    </row>
    <row r="70" spans="2:3" x14ac:dyDescent="0.25">
      <c r="B70" s="95"/>
      <c r="C70" s="95"/>
    </row>
    <row r="71" spans="2:3" x14ac:dyDescent="0.25">
      <c r="B71" s="95"/>
      <c r="C71" s="95"/>
    </row>
    <row r="72" spans="2:3" x14ac:dyDescent="0.25">
      <c r="B72" s="95"/>
      <c r="C72" s="95"/>
    </row>
    <row r="73" spans="2:3" x14ac:dyDescent="0.25">
      <c r="B73" s="95"/>
      <c r="C73" s="95"/>
    </row>
    <row r="74" spans="2:3" x14ac:dyDescent="0.25">
      <c r="B74" s="95"/>
      <c r="C74" s="95"/>
    </row>
    <row r="75" spans="2:3" x14ac:dyDescent="0.25">
      <c r="B75" s="95"/>
      <c r="C75" s="95"/>
    </row>
    <row r="76" spans="2:3" x14ac:dyDescent="0.25">
      <c r="B76" s="95"/>
      <c r="C76" s="95"/>
    </row>
    <row r="77" spans="2:3" x14ac:dyDescent="0.25">
      <c r="B77" s="95"/>
      <c r="C77" s="95"/>
    </row>
    <row r="78" spans="2:3" x14ac:dyDescent="0.25">
      <c r="B78" s="95"/>
      <c r="C78" s="95"/>
    </row>
    <row r="79" spans="2:3" x14ac:dyDescent="0.25">
      <c r="B79" s="95"/>
      <c r="C79" s="95"/>
    </row>
    <row r="80" spans="2:3" x14ac:dyDescent="0.25">
      <c r="B80" s="95"/>
      <c r="C80" s="95"/>
    </row>
    <row r="81" spans="2:3" x14ac:dyDescent="0.25">
      <c r="B81" s="95"/>
      <c r="C81" s="95"/>
    </row>
    <row r="82" spans="2:3" x14ac:dyDescent="0.25">
      <c r="B82" s="95"/>
      <c r="C82" s="95"/>
    </row>
    <row r="83" spans="2:3" x14ac:dyDescent="0.25">
      <c r="B83" s="95"/>
      <c r="C83" s="95"/>
    </row>
    <row r="84" spans="2:3" x14ac:dyDescent="0.25">
      <c r="B84" s="95"/>
      <c r="C84" s="95"/>
    </row>
    <row r="85" spans="2:3" x14ac:dyDescent="0.25">
      <c r="B85" s="95"/>
      <c r="C85" s="95"/>
    </row>
    <row r="86" spans="2:3" x14ac:dyDescent="0.25">
      <c r="B86" s="95"/>
      <c r="C86" s="95"/>
    </row>
    <row r="87" spans="2:3" x14ac:dyDescent="0.25">
      <c r="B87" s="95"/>
      <c r="C87" s="95"/>
    </row>
    <row r="88" spans="2:3" x14ac:dyDescent="0.25">
      <c r="B88" s="95"/>
      <c r="C88" s="95"/>
    </row>
    <row r="89" spans="2:3" x14ac:dyDescent="0.25">
      <c r="B89" s="95"/>
      <c r="C89" s="95"/>
    </row>
    <row r="90" spans="2:3" x14ac:dyDescent="0.25">
      <c r="B90" s="95"/>
      <c r="C90" s="95"/>
    </row>
    <row r="91" spans="2:3" x14ac:dyDescent="0.25">
      <c r="B91" s="95"/>
      <c r="C91" s="95"/>
    </row>
    <row r="92" spans="2:3" x14ac:dyDescent="0.25">
      <c r="B92" s="95"/>
      <c r="C92" s="95"/>
    </row>
    <row r="93" spans="2:3" x14ac:dyDescent="0.25">
      <c r="B93" s="95"/>
      <c r="C93" s="95"/>
    </row>
    <row r="94" spans="2:3" x14ac:dyDescent="0.25">
      <c r="B94" s="95"/>
      <c r="C94" s="95"/>
    </row>
    <row r="95" spans="2:3" x14ac:dyDescent="0.25">
      <c r="B95" s="95"/>
      <c r="C95" s="95"/>
    </row>
    <row r="96" spans="2:3" x14ac:dyDescent="0.25">
      <c r="B96" s="95"/>
      <c r="C96" s="95"/>
    </row>
    <row r="97" spans="2:3" x14ac:dyDescent="0.25">
      <c r="B97" s="95"/>
      <c r="C97" s="95"/>
    </row>
    <row r="98" spans="2:3" x14ac:dyDescent="0.25">
      <c r="B98" s="95"/>
      <c r="C98" s="95"/>
    </row>
    <row r="99" spans="2:3" x14ac:dyDescent="0.25">
      <c r="B99" s="95"/>
      <c r="C99" s="95"/>
    </row>
    <row r="100" spans="2:3" x14ac:dyDescent="0.25">
      <c r="B100" s="95"/>
      <c r="C100" s="95"/>
    </row>
    <row r="101" spans="2:3" x14ac:dyDescent="0.25">
      <c r="B101" s="95"/>
      <c r="C101" s="95"/>
    </row>
    <row r="102" spans="2:3" x14ac:dyDescent="0.25">
      <c r="B102" s="95"/>
      <c r="C102" s="95"/>
    </row>
    <row r="103" spans="2:3" x14ac:dyDescent="0.25">
      <c r="B103" s="95"/>
      <c r="C103" s="95"/>
    </row>
    <row r="104" spans="2:3" x14ac:dyDescent="0.25">
      <c r="B104" s="95"/>
      <c r="C104" s="95"/>
    </row>
    <row r="105" spans="2:3" x14ac:dyDescent="0.25">
      <c r="B105" s="95"/>
      <c r="C105" s="95"/>
    </row>
    <row r="106" spans="2:3" x14ac:dyDescent="0.25">
      <c r="B106" s="95"/>
      <c r="C106" s="95"/>
    </row>
    <row r="107" spans="2:3" x14ac:dyDescent="0.25">
      <c r="B107" s="95"/>
      <c r="C107" s="95"/>
    </row>
    <row r="108" spans="2:3" x14ac:dyDescent="0.25">
      <c r="B108" s="95"/>
      <c r="C108" s="95"/>
    </row>
    <row r="109" spans="2:3" x14ac:dyDescent="0.25">
      <c r="B109" s="95"/>
      <c r="C109" s="95"/>
    </row>
    <row r="110" spans="2:3" x14ac:dyDescent="0.25">
      <c r="B110" s="95"/>
      <c r="C110" s="95"/>
    </row>
    <row r="111" spans="2:3" x14ac:dyDescent="0.25">
      <c r="B111" s="95"/>
      <c r="C111" s="95"/>
    </row>
    <row r="112" spans="2:3" x14ac:dyDescent="0.25">
      <c r="B112" s="95"/>
      <c r="C112" s="95"/>
    </row>
    <row r="113" spans="2:3" x14ac:dyDescent="0.25">
      <c r="B113" s="95"/>
      <c r="C113" s="95"/>
    </row>
    <row r="114" spans="2:3" x14ac:dyDescent="0.25">
      <c r="B114" s="95"/>
      <c r="C114" s="95"/>
    </row>
    <row r="115" spans="2:3" x14ac:dyDescent="0.25">
      <c r="B115" s="95"/>
      <c r="C115" s="95"/>
    </row>
    <row r="116" spans="2:3" x14ac:dyDescent="0.25">
      <c r="B116" s="95"/>
      <c r="C116" s="95"/>
    </row>
    <row r="117" spans="2:3" x14ac:dyDescent="0.25">
      <c r="B117" s="95"/>
      <c r="C117" s="95"/>
    </row>
    <row r="118" spans="2:3" x14ac:dyDescent="0.25">
      <c r="B118" s="95"/>
      <c r="C118" s="95"/>
    </row>
    <row r="119" spans="2:3" x14ac:dyDescent="0.25">
      <c r="B119" s="95"/>
      <c r="C119" s="95"/>
    </row>
    <row r="120" spans="2:3" x14ac:dyDescent="0.25">
      <c r="B120" s="95"/>
      <c r="C120" s="95"/>
    </row>
    <row r="121" spans="2:3" x14ac:dyDescent="0.25">
      <c r="B121" s="95"/>
      <c r="C121" s="95"/>
    </row>
    <row r="122" spans="2:3" x14ac:dyDescent="0.25">
      <c r="B122" s="95"/>
      <c r="C122" s="95"/>
    </row>
    <row r="123" spans="2:3" x14ac:dyDescent="0.25">
      <c r="B123" s="95"/>
      <c r="C123" s="95"/>
    </row>
    <row r="124" spans="2:3" x14ac:dyDescent="0.25">
      <c r="B124" s="95"/>
      <c r="C124" s="95"/>
    </row>
    <row r="125" spans="2:3" x14ac:dyDescent="0.25">
      <c r="B125" s="95"/>
      <c r="C125" s="95"/>
    </row>
    <row r="126" spans="2:3" x14ac:dyDescent="0.25">
      <c r="B126" s="95"/>
      <c r="C126" s="95"/>
    </row>
    <row r="127" spans="2:3" x14ac:dyDescent="0.25">
      <c r="B127" s="95"/>
      <c r="C127" s="95"/>
    </row>
    <row r="128" spans="2:3" x14ac:dyDescent="0.25">
      <c r="B128" s="95"/>
      <c r="C128" s="95"/>
    </row>
    <row r="129" spans="2:3" x14ac:dyDescent="0.25">
      <c r="B129" s="95"/>
      <c r="C129" s="95"/>
    </row>
    <row r="130" spans="2:3" x14ac:dyDescent="0.25">
      <c r="B130" s="95"/>
      <c r="C130" s="95"/>
    </row>
    <row r="131" spans="2:3" x14ac:dyDescent="0.25">
      <c r="B131" s="95"/>
      <c r="C131" s="95"/>
    </row>
    <row r="132" spans="2:3" x14ac:dyDescent="0.25">
      <c r="B132" s="95"/>
      <c r="C132" s="95"/>
    </row>
    <row r="133" spans="2:3" x14ac:dyDescent="0.25">
      <c r="B133" s="95"/>
      <c r="C133" s="95"/>
    </row>
    <row r="134" spans="2:3" x14ac:dyDescent="0.25">
      <c r="B134" s="95"/>
      <c r="C134" s="95"/>
    </row>
    <row r="135" spans="2:3" x14ac:dyDescent="0.25">
      <c r="B135" s="95"/>
      <c r="C135" s="95"/>
    </row>
    <row r="136" spans="2:3" x14ac:dyDescent="0.25">
      <c r="B136" s="95"/>
      <c r="C136" s="95"/>
    </row>
    <row r="137" spans="2:3" x14ac:dyDescent="0.25">
      <c r="B137" s="95"/>
      <c r="C137" s="95"/>
    </row>
    <row r="138" spans="2:3" x14ac:dyDescent="0.25">
      <c r="B138" s="95"/>
      <c r="C138" s="95"/>
    </row>
    <row r="139" spans="2:3" x14ac:dyDescent="0.25">
      <c r="B139" s="95"/>
      <c r="C139" s="95"/>
    </row>
    <row r="140" spans="2:3" x14ac:dyDescent="0.25">
      <c r="B140" s="95"/>
      <c r="C140" s="95"/>
    </row>
    <row r="141" spans="2:3" x14ac:dyDescent="0.25">
      <c r="B141" s="95"/>
      <c r="C141" s="95"/>
    </row>
    <row r="142" spans="2:3" x14ac:dyDescent="0.25">
      <c r="B142" s="95"/>
      <c r="C142" s="95"/>
    </row>
    <row r="143" spans="2:3" x14ac:dyDescent="0.25">
      <c r="B143" s="95"/>
      <c r="C143" s="95"/>
    </row>
    <row r="144" spans="2:3" x14ac:dyDescent="0.25">
      <c r="B144" s="95"/>
      <c r="C144" s="95"/>
    </row>
    <row r="145" spans="2:3" x14ac:dyDescent="0.25">
      <c r="B145" s="95"/>
      <c r="C145" s="95"/>
    </row>
    <row r="146" spans="2:3" x14ac:dyDescent="0.25">
      <c r="B146" s="95"/>
      <c r="C146" s="95"/>
    </row>
    <row r="147" spans="2:3" x14ac:dyDescent="0.25">
      <c r="B147" s="95"/>
      <c r="C147" s="95"/>
    </row>
    <row r="148" spans="2:3" x14ac:dyDescent="0.25">
      <c r="B148" s="95"/>
      <c r="C148" s="95"/>
    </row>
    <row r="149" spans="2:3" x14ac:dyDescent="0.25">
      <c r="B149" s="95"/>
      <c r="C149" s="95"/>
    </row>
    <row r="150" spans="2:3" x14ac:dyDescent="0.25">
      <c r="B150" s="95"/>
      <c r="C150" s="95"/>
    </row>
    <row r="151" spans="2:3" x14ac:dyDescent="0.25">
      <c r="B151" s="95"/>
      <c r="C151" s="95"/>
    </row>
    <row r="152" spans="2:3" x14ac:dyDescent="0.25">
      <c r="B152" s="95"/>
      <c r="C152" s="95"/>
    </row>
    <row r="153" spans="2:3" x14ac:dyDescent="0.25">
      <c r="B153" s="95"/>
      <c r="C153" s="95"/>
    </row>
    <row r="154" spans="2:3" x14ac:dyDescent="0.25">
      <c r="B154" s="95"/>
      <c r="C154" s="95"/>
    </row>
    <row r="155" spans="2:3" x14ac:dyDescent="0.25">
      <c r="B155" s="95"/>
      <c r="C155" s="95"/>
    </row>
    <row r="156" spans="2:3" x14ac:dyDescent="0.25">
      <c r="B156" s="95"/>
      <c r="C156" s="95"/>
    </row>
    <row r="157" spans="2:3" x14ac:dyDescent="0.25">
      <c r="B157" s="95"/>
      <c r="C157" s="95"/>
    </row>
    <row r="158" spans="2:3" x14ac:dyDescent="0.25">
      <c r="B158" s="95"/>
      <c r="C158" s="95"/>
    </row>
    <row r="159" spans="2:3" x14ac:dyDescent="0.25">
      <c r="B159" s="95"/>
      <c r="C159" s="95"/>
    </row>
    <row r="160" spans="2:3" x14ac:dyDescent="0.25">
      <c r="B160" s="95"/>
      <c r="C160" s="95"/>
    </row>
    <row r="161" spans="2:3" x14ac:dyDescent="0.25">
      <c r="B161" s="95"/>
      <c r="C161" s="95"/>
    </row>
    <row r="162" spans="2:3" x14ac:dyDescent="0.25">
      <c r="B162" s="95"/>
      <c r="C162" s="95"/>
    </row>
    <row r="163" spans="2:3" x14ac:dyDescent="0.25">
      <c r="B163" s="95"/>
      <c r="C163" s="95"/>
    </row>
    <row r="164" spans="2:3" x14ac:dyDescent="0.25">
      <c r="B164" s="95"/>
      <c r="C164" s="95"/>
    </row>
    <row r="165" spans="2:3" x14ac:dyDescent="0.25">
      <c r="B165" s="95"/>
      <c r="C165" s="95"/>
    </row>
    <row r="166" spans="2:3" x14ac:dyDescent="0.25">
      <c r="B166" s="95"/>
      <c r="C166" s="95"/>
    </row>
    <row r="167" spans="2:3" x14ac:dyDescent="0.25">
      <c r="B167" s="95"/>
      <c r="C167" s="95"/>
    </row>
    <row r="168" spans="2:3" x14ac:dyDescent="0.25">
      <c r="B168" s="95"/>
      <c r="C168" s="95"/>
    </row>
    <row r="169" spans="2:3" x14ac:dyDescent="0.25">
      <c r="B169" s="95"/>
      <c r="C169" s="95"/>
    </row>
    <row r="170" spans="2:3" x14ac:dyDescent="0.25">
      <c r="B170" s="95"/>
      <c r="C170" s="95"/>
    </row>
    <row r="171" spans="2:3" x14ac:dyDescent="0.25">
      <c r="B171" s="95"/>
      <c r="C171" s="95"/>
    </row>
    <row r="172" spans="2:3" x14ac:dyDescent="0.25">
      <c r="B172" s="95"/>
      <c r="C172" s="95"/>
    </row>
    <row r="173" spans="2:3" x14ac:dyDescent="0.25">
      <c r="B173" s="95"/>
      <c r="C173" s="95"/>
    </row>
    <row r="174" spans="2:3" x14ac:dyDescent="0.25">
      <c r="B174" s="95"/>
      <c r="C174" s="95"/>
    </row>
    <row r="175" spans="2:3" x14ac:dyDescent="0.25">
      <c r="B175" s="95"/>
      <c r="C175" s="95"/>
    </row>
  </sheetData>
  <mergeCells count="4">
    <mergeCell ref="A4:A5"/>
    <mergeCell ref="A1:D1"/>
    <mergeCell ref="A3:D3"/>
    <mergeCell ref="B4:D4"/>
  </mergeCells>
  <conditionalFormatting sqref="A6:A28">
    <cfRule type="duplicateValues" dxfId="4" priority="1"/>
  </conditionalFormatting>
  <pageMargins left="0.7" right="0.7" top="0.75" bottom="0.75" header="0.3" footer="0.3"/>
  <pageSetup paperSize="9" scale="92"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Views>
    <sheetView zoomScale="80" zoomScaleNormal="80" workbookViewId="0">
      <selection activeCell="J32" sqref="J32"/>
    </sheetView>
  </sheetViews>
  <sheetFormatPr defaultRowHeight="13.2" x14ac:dyDescent="0.25"/>
  <cols>
    <col min="1" max="1" width="25.6640625" customWidth="1"/>
    <col min="2" max="4" width="20.88671875" customWidth="1"/>
    <col min="5" max="5" width="5.88671875" customWidth="1"/>
  </cols>
  <sheetData>
    <row r="1" spans="1:4" ht="31.8" customHeight="1" x14ac:dyDescent="0.25">
      <c r="A1" s="724" t="s">
        <v>420</v>
      </c>
      <c r="B1" s="724"/>
      <c r="C1" s="724"/>
      <c r="D1" s="724"/>
    </row>
    <row r="2" spans="1:4" x14ac:dyDescent="0.25">
      <c r="A2" s="20"/>
      <c r="B2" s="20"/>
      <c r="C2" s="20"/>
      <c r="D2" s="20"/>
    </row>
    <row r="3" spans="1:4" x14ac:dyDescent="0.25">
      <c r="A3" s="699" t="s">
        <v>150</v>
      </c>
      <c r="B3" s="699"/>
      <c r="C3" s="699"/>
      <c r="D3" s="699"/>
    </row>
    <row r="4" spans="1:4" x14ac:dyDescent="0.25">
      <c r="A4" s="722"/>
      <c r="B4" s="644" t="s">
        <v>138</v>
      </c>
      <c r="C4" s="658" t="s">
        <v>270</v>
      </c>
      <c r="D4" s="659"/>
    </row>
    <row r="5" spans="1:4" x14ac:dyDescent="0.25">
      <c r="A5" s="723"/>
      <c r="B5" s="697"/>
      <c r="C5" s="438" t="s">
        <v>271</v>
      </c>
      <c r="D5" s="306" t="s">
        <v>272</v>
      </c>
    </row>
    <row r="6" spans="1:4" x14ac:dyDescent="0.25">
      <c r="A6" s="118" t="s">
        <v>485</v>
      </c>
      <c r="B6" s="396"/>
      <c r="C6" s="396"/>
      <c r="D6" s="396"/>
    </row>
    <row r="7" spans="1:4" x14ac:dyDescent="0.25">
      <c r="A7" s="86" t="s">
        <v>40</v>
      </c>
      <c r="B7" s="278">
        <v>102.6</v>
      </c>
      <c r="C7" s="278">
        <v>106.4</v>
      </c>
      <c r="D7" s="280">
        <v>101.4</v>
      </c>
    </row>
    <row r="8" spans="1:4" x14ac:dyDescent="0.25">
      <c r="A8" s="103" t="s">
        <v>41</v>
      </c>
      <c r="B8" s="278">
        <v>102.3</v>
      </c>
      <c r="C8" s="278">
        <v>102.4</v>
      </c>
      <c r="D8" s="280">
        <v>102.3</v>
      </c>
    </row>
    <row r="9" spans="1:4" x14ac:dyDescent="0.25">
      <c r="A9" s="86" t="s">
        <v>42</v>
      </c>
      <c r="B9" s="278">
        <v>95.7</v>
      </c>
      <c r="C9" s="278">
        <v>90.5</v>
      </c>
      <c r="D9" s="280">
        <v>97.4</v>
      </c>
    </row>
    <row r="10" spans="1:4" x14ac:dyDescent="0.25">
      <c r="A10" s="81" t="s">
        <v>130</v>
      </c>
      <c r="B10" s="278">
        <v>100.43</v>
      </c>
      <c r="C10" s="278">
        <v>98.7</v>
      </c>
      <c r="D10" s="280">
        <v>100.98</v>
      </c>
    </row>
    <row r="11" spans="1:4" x14ac:dyDescent="0.25">
      <c r="A11" s="376" t="s">
        <v>44</v>
      </c>
      <c r="B11" s="278">
        <v>99.5</v>
      </c>
      <c r="C11" s="278">
        <v>101.8</v>
      </c>
      <c r="D11" s="280">
        <v>98.8</v>
      </c>
    </row>
    <row r="12" spans="1:4" x14ac:dyDescent="0.25">
      <c r="A12" s="86" t="s">
        <v>45</v>
      </c>
      <c r="B12" s="252">
        <v>102.1</v>
      </c>
      <c r="C12" s="252">
        <v>98.1</v>
      </c>
      <c r="D12" s="252">
        <v>103.4</v>
      </c>
    </row>
    <row r="13" spans="1:4" x14ac:dyDescent="0.25">
      <c r="A13" s="86" t="s">
        <v>46</v>
      </c>
      <c r="B13" s="252">
        <v>98.5</v>
      </c>
      <c r="C13" s="252">
        <v>95.9</v>
      </c>
      <c r="D13" s="252">
        <v>99.3</v>
      </c>
    </row>
    <row r="14" spans="1:4" x14ac:dyDescent="0.25">
      <c r="A14" s="81" t="s">
        <v>131</v>
      </c>
      <c r="B14" s="252">
        <v>100.1</v>
      </c>
      <c r="C14" s="467">
        <v>95.7</v>
      </c>
      <c r="D14" s="252">
        <v>101.4</v>
      </c>
    </row>
    <row r="15" spans="1:4" x14ac:dyDescent="0.25">
      <c r="A15" s="19" t="s">
        <v>48</v>
      </c>
      <c r="B15" s="252">
        <v>98.1</v>
      </c>
      <c r="C15" s="467">
        <v>94.4</v>
      </c>
      <c r="D15" s="252">
        <v>99.1</v>
      </c>
    </row>
    <row r="16" spans="1:4" x14ac:dyDescent="0.25">
      <c r="A16" s="86" t="s">
        <v>26</v>
      </c>
      <c r="B16" s="252">
        <v>99</v>
      </c>
      <c r="C16" s="467">
        <v>94.8</v>
      </c>
      <c r="D16" s="252">
        <v>100.2</v>
      </c>
    </row>
    <row r="17" spans="1:5" x14ac:dyDescent="0.25">
      <c r="A17" s="128" t="s">
        <v>432</v>
      </c>
      <c r="B17" s="397"/>
      <c r="C17" s="397"/>
      <c r="D17" s="397"/>
    </row>
    <row r="18" spans="1:5" x14ac:dyDescent="0.25">
      <c r="A18" s="86" t="s">
        <v>40</v>
      </c>
      <c r="B18" s="278">
        <v>104</v>
      </c>
      <c r="C18" s="278">
        <v>110.8</v>
      </c>
      <c r="D18" s="398">
        <v>102.3</v>
      </c>
    </row>
    <row r="19" spans="1:5" x14ac:dyDescent="0.25">
      <c r="A19" s="19" t="s">
        <v>41</v>
      </c>
      <c r="B19" s="278">
        <v>98.2</v>
      </c>
      <c r="C19" s="278">
        <v>107.9</v>
      </c>
      <c r="D19" s="280">
        <v>95.6</v>
      </c>
    </row>
    <row r="20" spans="1:5" x14ac:dyDescent="0.25">
      <c r="A20" s="86" t="s">
        <v>42</v>
      </c>
      <c r="B20" s="278">
        <v>95.2</v>
      </c>
      <c r="C20" s="278">
        <v>85</v>
      </c>
      <c r="D20" s="280">
        <v>98.2</v>
      </c>
    </row>
    <row r="21" spans="1:5" x14ac:dyDescent="0.25">
      <c r="A21" s="81" t="s">
        <v>130</v>
      </c>
      <c r="B21" s="278">
        <v>97.1</v>
      </c>
      <c r="C21" s="278">
        <v>101.6</v>
      </c>
      <c r="D21" s="280">
        <v>96.1</v>
      </c>
    </row>
    <row r="22" spans="1:5" x14ac:dyDescent="0.25">
      <c r="A22" s="86" t="s">
        <v>44</v>
      </c>
      <c r="B22" s="278">
        <v>93.9</v>
      </c>
      <c r="C22" s="278">
        <v>99.4</v>
      </c>
      <c r="D22" s="280">
        <v>92.6</v>
      </c>
    </row>
    <row r="23" spans="1:5" x14ac:dyDescent="0.25">
      <c r="A23" s="86" t="s">
        <v>45</v>
      </c>
      <c r="B23" s="278">
        <v>95.8</v>
      </c>
      <c r="C23" s="278">
        <v>89.7</v>
      </c>
      <c r="D23" s="280">
        <v>97.4</v>
      </c>
      <c r="E23" s="95"/>
    </row>
    <row r="24" spans="1:5" x14ac:dyDescent="0.25">
      <c r="A24" s="86" t="s">
        <v>46</v>
      </c>
      <c r="B24" s="252">
        <v>98.9</v>
      </c>
      <c r="C24" s="252">
        <v>92.2</v>
      </c>
      <c r="D24" s="250">
        <v>100.5</v>
      </c>
      <c r="E24" s="95"/>
    </row>
    <row r="25" spans="1:5" x14ac:dyDescent="0.25">
      <c r="A25" s="81" t="s">
        <v>131</v>
      </c>
      <c r="B25" s="252">
        <v>88.9</v>
      </c>
      <c r="C25" s="252">
        <v>82.3</v>
      </c>
      <c r="D25" s="250">
        <v>90.6</v>
      </c>
      <c r="E25" s="95"/>
    </row>
    <row r="26" spans="1:5" x14ac:dyDescent="0.25">
      <c r="A26" s="19" t="s">
        <v>48</v>
      </c>
      <c r="B26" s="252">
        <v>102.2</v>
      </c>
      <c r="C26" s="252">
        <v>108.6</v>
      </c>
      <c r="D26" s="250">
        <v>100.8</v>
      </c>
      <c r="E26" s="95"/>
    </row>
    <row r="27" spans="1:5" x14ac:dyDescent="0.25">
      <c r="A27" s="86" t="s">
        <v>26</v>
      </c>
      <c r="B27" s="252">
        <v>95.7</v>
      </c>
      <c r="C27" s="252">
        <v>89.5</v>
      </c>
      <c r="D27" s="250">
        <v>97.3</v>
      </c>
      <c r="E27" s="95"/>
    </row>
    <row r="28" spans="1:5" x14ac:dyDescent="0.25">
      <c r="A28" s="86" t="s">
        <v>49</v>
      </c>
      <c r="B28" s="252">
        <v>100</v>
      </c>
      <c r="C28" s="252">
        <v>104.2</v>
      </c>
      <c r="D28" s="250">
        <v>99.1</v>
      </c>
      <c r="E28" s="95"/>
    </row>
    <row r="29" spans="1:5" x14ac:dyDescent="0.25">
      <c r="A29" s="81" t="s">
        <v>132</v>
      </c>
      <c r="B29" s="252">
        <v>97.9</v>
      </c>
      <c r="C29" s="252">
        <v>101.4</v>
      </c>
      <c r="D29" s="250">
        <v>97.1</v>
      </c>
      <c r="E29" s="95"/>
    </row>
    <row r="30" spans="1:5" x14ac:dyDescent="0.25">
      <c r="A30" s="86" t="s">
        <v>51</v>
      </c>
      <c r="B30" s="252">
        <v>98.6</v>
      </c>
      <c r="C30" s="252">
        <v>96.5</v>
      </c>
      <c r="D30" s="250">
        <v>99.2</v>
      </c>
      <c r="E30" s="95"/>
    </row>
    <row r="31" spans="1:5" x14ac:dyDescent="0.25">
      <c r="A31" s="86" t="s">
        <v>52</v>
      </c>
      <c r="B31" s="252">
        <v>106.1</v>
      </c>
      <c r="C31" s="252">
        <v>123.2</v>
      </c>
      <c r="D31" s="250">
        <v>102.1</v>
      </c>
      <c r="E31" s="436"/>
    </row>
    <row r="32" spans="1:5" x14ac:dyDescent="0.25">
      <c r="A32" s="86" t="s">
        <v>53</v>
      </c>
      <c r="B32" s="252">
        <v>104</v>
      </c>
      <c r="C32" s="252">
        <v>111.1</v>
      </c>
      <c r="D32" s="250">
        <v>102</v>
      </c>
      <c r="E32" s="436"/>
    </row>
    <row r="33" spans="1:5" x14ac:dyDescent="0.25">
      <c r="A33" s="106" t="s">
        <v>133</v>
      </c>
      <c r="B33" s="311">
        <v>108.9</v>
      </c>
      <c r="C33" s="311">
        <v>132</v>
      </c>
      <c r="D33" s="312">
        <v>103.3</v>
      </c>
      <c r="E33" s="436"/>
    </row>
    <row r="35" spans="1:5" x14ac:dyDescent="0.25">
      <c r="A35" s="182"/>
    </row>
  </sheetData>
  <mergeCells count="5">
    <mergeCell ref="A4:A5"/>
    <mergeCell ref="A1:D1"/>
    <mergeCell ref="A3:D3"/>
    <mergeCell ref="B4:B5"/>
    <mergeCell ref="C4:D4"/>
  </mergeCells>
  <pageMargins left="0.7" right="0.7" top="0.75" bottom="0.75" header="0.3" footer="0.3"/>
  <pageSetup paperSize="9"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5"/>
  <sheetViews>
    <sheetView topLeftCell="A7" zoomScale="80" zoomScaleNormal="80" workbookViewId="0">
      <selection activeCell="D6" sqref="D6"/>
    </sheetView>
  </sheetViews>
  <sheetFormatPr defaultColWidth="8.88671875" defaultRowHeight="13.2" x14ac:dyDescent="0.25"/>
  <cols>
    <col min="1" max="1" width="17.6640625" style="48" customWidth="1"/>
    <col min="2" max="5" width="17.44140625" style="48" customWidth="1"/>
    <col min="6" max="16384" width="8.88671875" style="48"/>
  </cols>
  <sheetData>
    <row r="1" spans="1:6" ht="33" customHeight="1" x14ac:dyDescent="0.25">
      <c r="A1" s="676" t="s">
        <v>277</v>
      </c>
      <c r="B1" s="676"/>
      <c r="C1" s="676"/>
      <c r="D1" s="676"/>
      <c r="E1" s="676"/>
    </row>
    <row r="2" spans="1:6" ht="12.75" customHeight="1" x14ac:dyDescent="0.25">
      <c r="A2" s="430"/>
      <c r="B2" s="49"/>
      <c r="C2" s="49"/>
      <c r="D2" s="49"/>
      <c r="E2" s="49"/>
    </row>
    <row r="3" spans="1:6" x14ac:dyDescent="0.25">
      <c r="A3" s="717" t="s">
        <v>150</v>
      </c>
      <c r="B3" s="717"/>
      <c r="C3" s="717"/>
      <c r="D3" s="717"/>
      <c r="E3" s="717"/>
    </row>
    <row r="4" spans="1:6" x14ac:dyDescent="0.25">
      <c r="A4" s="725"/>
      <c r="B4" s="644" t="s">
        <v>399</v>
      </c>
      <c r="C4" s="680" t="s">
        <v>273</v>
      </c>
      <c r="D4" s="727"/>
      <c r="E4" s="728"/>
    </row>
    <row r="5" spans="1:6" ht="69" customHeight="1" x14ac:dyDescent="0.25">
      <c r="A5" s="726"/>
      <c r="B5" s="697"/>
      <c r="C5" s="438" t="s">
        <v>274</v>
      </c>
      <c r="D5" s="438" t="s">
        <v>275</v>
      </c>
      <c r="E5" s="306" t="s">
        <v>276</v>
      </c>
    </row>
    <row r="6" spans="1:6" x14ac:dyDescent="0.25">
      <c r="A6" s="118" t="s">
        <v>485</v>
      </c>
      <c r="B6" s="450"/>
      <c r="C6" s="450"/>
      <c r="D6" s="450"/>
      <c r="E6" s="450"/>
    </row>
    <row r="7" spans="1:6" ht="14.25" customHeight="1" x14ac:dyDescent="0.25">
      <c r="A7" s="86" t="s">
        <v>40</v>
      </c>
      <c r="B7" s="451">
        <v>99.9</v>
      </c>
      <c r="C7" s="452">
        <v>100.3</v>
      </c>
      <c r="D7" s="453">
        <v>99</v>
      </c>
      <c r="E7" s="452">
        <v>100.2</v>
      </c>
    </row>
    <row r="8" spans="1:6" x14ac:dyDescent="0.25">
      <c r="A8" s="86" t="s">
        <v>41</v>
      </c>
      <c r="B8" s="451">
        <v>100</v>
      </c>
      <c r="C8" s="452">
        <v>100.1</v>
      </c>
      <c r="D8" s="454">
        <v>99.6</v>
      </c>
      <c r="E8" s="452">
        <v>100.3</v>
      </c>
    </row>
    <row r="9" spans="1:6" x14ac:dyDescent="0.25">
      <c r="A9" s="86" t="s">
        <v>42</v>
      </c>
      <c r="B9" s="451">
        <v>99.6</v>
      </c>
      <c r="C9" s="455">
        <v>100.73</v>
      </c>
      <c r="D9" s="456">
        <v>98.6</v>
      </c>
      <c r="E9" s="455">
        <v>93.48</v>
      </c>
    </row>
    <row r="10" spans="1:6" ht="15" customHeight="1" x14ac:dyDescent="0.25">
      <c r="A10" s="81" t="s">
        <v>130</v>
      </c>
      <c r="B10" s="451">
        <v>99.4</v>
      </c>
      <c r="C10" s="447">
        <v>101.2</v>
      </c>
      <c r="D10" s="447">
        <v>97.2</v>
      </c>
      <c r="E10" s="447">
        <v>94</v>
      </c>
    </row>
    <row r="11" spans="1:6" ht="15" customHeight="1" x14ac:dyDescent="0.25">
      <c r="A11" s="86" t="s">
        <v>44</v>
      </c>
      <c r="B11" s="451">
        <v>96.7</v>
      </c>
      <c r="C11" s="447">
        <v>100.7</v>
      </c>
      <c r="D11" s="456">
        <v>88.3</v>
      </c>
      <c r="E11" s="455">
        <v>99.91</v>
      </c>
    </row>
    <row r="12" spans="1:6" ht="15" customHeight="1" x14ac:dyDescent="0.25">
      <c r="A12" s="86" t="s">
        <v>45</v>
      </c>
      <c r="B12" s="451">
        <v>102.3</v>
      </c>
      <c r="C12" s="447">
        <v>100.9</v>
      </c>
      <c r="D12" s="456">
        <v>105.7</v>
      </c>
      <c r="E12" s="455">
        <v>100.4</v>
      </c>
    </row>
    <row r="13" spans="1:6" ht="15" customHeight="1" x14ac:dyDescent="0.25">
      <c r="A13" s="86" t="s">
        <v>46</v>
      </c>
      <c r="B13" s="231">
        <v>105.2</v>
      </c>
      <c r="C13" s="231">
        <v>100.7</v>
      </c>
      <c r="D13" s="466">
        <v>115.8</v>
      </c>
      <c r="E13" s="231">
        <v>99.9</v>
      </c>
      <c r="F13"/>
    </row>
    <row r="14" spans="1:6" ht="15" customHeight="1" x14ac:dyDescent="0.25">
      <c r="A14" s="81" t="s">
        <v>131</v>
      </c>
      <c r="B14" s="231">
        <v>104.1</v>
      </c>
      <c r="C14" s="231">
        <v>102.4</v>
      </c>
      <c r="D14" s="466">
        <v>108.2</v>
      </c>
      <c r="E14" s="231">
        <v>100.2</v>
      </c>
    </row>
    <row r="15" spans="1:6" ht="15" customHeight="1" x14ac:dyDescent="0.25">
      <c r="A15" s="86" t="s">
        <v>48</v>
      </c>
      <c r="B15" s="231">
        <v>101.9</v>
      </c>
      <c r="C15" s="231">
        <v>100.3</v>
      </c>
      <c r="D15" s="466">
        <v>105.2</v>
      </c>
      <c r="E15" s="231">
        <v>100</v>
      </c>
    </row>
    <row r="16" spans="1:6" ht="15" customHeight="1" x14ac:dyDescent="0.25">
      <c r="A16" s="86" t="s">
        <v>26</v>
      </c>
      <c r="B16" s="231">
        <v>99.7</v>
      </c>
      <c r="C16" s="231">
        <v>100.9</v>
      </c>
      <c r="D16" s="466">
        <v>97.6</v>
      </c>
      <c r="E16" s="231">
        <v>100</v>
      </c>
    </row>
    <row r="17" spans="1:5" x14ac:dyDescent="0.25">
      <c r="A17" s="128" t="s">
        <v>432</v>
      </c>
      <c r="B17" s="457"/>
      <c r="C17" s="457"/>
      <c r="D17" s="457"/>
      <c r="E17" s="457"/>
    </row>
    <row r="18" spans="1:5" x14ac:dyDescent="0.25">
      <c r="A18" s="86" t="s">
        <v>40</v>
      </c>
      <c r="B18" s="451">
        <v>98.9</v>
      </c>
      <c r="C18" s="447">
        <v>98.4</v>
      </c>
      <c r="D18" s="447">
        <v>99.6</v>
      </c>
      <c r="E18" s="447">
        <v>100</v>
      </c>
    </row>
    <row r="19" spans="1:5" x14ac:dyDescent="0.25">
      <c r="A19" s="86" t="s">
        <v>41</v>
      </c>
      <c r="B19" s="451">
        <v>101.2</v>
      </c>
      <c r="C19" s="447">
        <v>100.2</v>
      </c>
      <c r="D19" s="447">
        <v>101.3</v>
      </c>
      <c r="E19" s="447">
        <v>108.5</v>
      </c>
    </row>
    <row r="20" spans="1:5" x14ac:dyDescent="0.25">
      <c r="A20" s="86" t="s">
        <v>42</v>
      </c>
      <c r="B20" s="451">
        <v>100.2</v>
      </c>
      <c r="C20" s="447">
        <v>100.1</v>
      </c>
      <c r="D20" s="447">
        <v>100.4</v>
      </c>
      <c r="E20" s="447">
        <v>99.8</v>
      </c>
    </row>
    <row r="21" spans="1:5" x14ac:dyDescent="0.25">
      <c r="A21" s="81" t="s">
        <v>130</v>
      </c>
      <c r="B21" s="451">
        <v>100.3</v>
      </c>
      <c r="C21" s="447">
        <v>98.7</v>
      </c>
      <c r="D21" s="447">
        <v>101.3</v>
      </c>
      <c r="E21" s="447">
        <v>108.2</v>
      </c>
    </row>
    <row r="22" spans="1:5" ht="14.4" customHeight="1" x14ac:dyDescent="0.25">
      <c r="A22" s="86" t="s">
        <v>44</v>
      </c>
      <c r="B22" s="451">
        <v>100.5</v>
      </c>
      <c r="C22" s="447">
        <v>100.4</v>
      </c>
      <c r="D22" s="447">
        <v>101</v>
      </c>
      <c r="E22" s="447">
        <v>99.7</v>
      </c>
    </row>
    <row r="23" spans="1:5" ht="12.75" customHeight="1" x14ac:dyDescent="0.25">
      <c r="A23" s="86" t="s">
        <v>45</v>
      </c>
      <c r="B23" s="458">
        <v>101.5</v>
      </c>
      <c r="C23" s="459">
        <v>100.3</v>
      </c>
      <c r="D23" s="459">
        <v>100.6</v>
      </c>
      <c r="E23" s="459">
        <v>113</v>
      </c>
    </row>
    <row r="24" spans="1:5" x14ac:dyDescent="0.25">
      <c r="A24" s="86" t="s">
        <v>46</v>
      </c>
      <c r="B24" s="458">
        <v>100.5</v>
      </c>
      <c r="C24" s="459">
        <v>100.9</v>
      </c>
      <c r="D24" s="459">
        <v>99.8</v>
      </c>
      <c r="E24" s="459">
        <v>99.7</v>
      </c>
    </row>
    <row r="25" spans="1:5" x14ac:dyDescent="0.25">
      <c r="A25" s="81" t="s">
        <v>131</v>
      </c>
      <c r="B25" s="458">
        <v>102.5</v>
      </c>
      <c r="C25" s="459">
        <v>101.6</v>
      </c>
      <c r="D25" s="459">
        <v>101.4</v>
      </c>
      <c r="E25" s="459">
        <v>112.4</v>
      </c>
    </row>
    <row r="26" spans="1:5" x14ac:dyDescent="0.25">
      <c r="A26" s="86" t="s">
        <v>48</v>
      </c>
      <c r="B26" s="458">
        <v>100.2</v>
      </c>
      <c r="C26" s="459">
        <v>100.4</v>
      </c>
      <c r="D26" s="459">
        <v>99.8</v>
      </c>
      <c r="E26" s="459">
        <v>100.1</v>
      </c>
    </row>
    <row r="27" spans="1:5" x14ac:dyDescent="0.25">
      <c r="A27" s="86" t="s">
        <v>26</v>
      </c>
      <c r="B27" s="458">
        <v>100.4</v>
      </c>
      <c r="C27" s="459">
        <v>100.2</v>
      </c>
      <c r="D27" s="459">
        <v>101</v>
      </c>
      <c r="E27" s="459">
        <v>99.9</v>
      </c>
    </row>
    <row r="28" spans="1:5" x14ac:dyDescent="0.25">
      <c r="A28" s="86" t="s">
        <v>49</v>
      </c>
      <c r="B28" s="458">
        <v>100.8</v>
      </c>
      <c r="C28" s="459">
        <v>100.5</v>
      </c>
      <c r="D28" s="459">
        <v>101.6</v>
      </c>
      <c r="E28" s="459">
        <v>100.2</v>
      </c>
    </row>
    <row r="29" spans="1:5" x14ac:dyDescent="0.25">
      <c r="A29" s="81" t="s">
        <v>132</v>
      </c>
      <c r="B29" s="458">
        <v>101.5</v>
      </c>
      <c r="C29" s="459">
        <v>101.1</v>
      </c>
      <c r="D29" s="459">
        <v>102.4</v>
      </c>
      <c r="E29" s="459">
        <v>100.2</v>
      </c>
    </row>
    <row r="30" spans="1:5" x14ac:dyDescent="0.25">
      <c r="A30" s="86" t="s">
        <v>51</v>
      </c>
      <c r="B30" s="458">
        <v>100.6</v>
      </c>
      <c r="C30" s="459">
        <v>100.4</v>
      </c>
      <c r="D30" s="459">
        <v>101.2</v>
      </c>
      <c r="E30" s="459">
        <v>100.2</v>
      </c>
    </row>
    <row r="31" spans="1:5" x14ac:dyDescent="0.25">
      <c r="A31" s="86" t="s">
        <v>52</v>
      </c>
      <c r="B31" s="458">
        <v>100.9</v>
      </c>
      <c r="C31" s="459">
        <v>100.5</v>
      </c>
      <c r="D31" s="459">
        <v>101.8</v>
      </c>
      <c r="E31" s="459">
        <v>100.3</v>
      </c>
    </row>
    <row r="32" spans="1:5" x14ac:dyDescent="0.25">
      <c r="A32" s="86" t="s">
        <v>53</v>
      </c>
      <c r="B32" s="458">
        <v>101.2</v>
      </c>
      <c r="C32" s="459">
        <v>101.5</v>
      </c>
      <c r="D32" s="459">
        <v>100.9</v>
      </c>
      <c r="E32" s="459">
        <v>100.4</v>
      </c>
    </row>
    <row r="33" spans="1:5" x14ac:dyDescent="0.25">
      <c r="A33" s="87" t="s">
        <v>133</v>
      </c>
      <c r="B33" s="460">
        <v>102.7</v>
      </c>
      <c r="C33" s="460">
        <v>102.4</v>
      </c>
      <c r="D33" s="460">
        <v>103.9</v>
      </c>
      <c r="E33" s="460">
        <v>101</v>
      </c>
    </row>
    <row r="34" spans="1:5" x14ac:dyDescent="0.25">
      <c r="B34"/>
      <c r="C34"/>
      <c r="D34"/>
      <c r="E34"/>
    </row>
    <row r="35" spans="1:5" ht="13.8" x14ac:dyDescent="0.25">
      <c r="A35" s="461"/>
    </row>
  </sheetData>
  <mergeCells count="5">
    <mergeCell ref="A4:A5"/>
    <mergeCell ref="B4:B5"/>
    <mergeCell ref="A1:E1"/>
    <mergeCell ref="A3:E3"/>
    <mergeCell ref="C4:E4"/>
  </mergeCells>
  <pageMargins left="0.7" right="0.7" top="0.75" bottom="0.75" header="0.3" footer="0.3"/>
  <pageSetup paperSize="9"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colBreaks count="1" manualBreakCount="1">
    <brk id="4" max="1048575"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3"/>
  <sheetViews>
    <sheetView zoomScale="80" zoomScaleNormal="80" workbookViewId="0">
      <selection activeCell="D6" sqref="D6"/>
    </sheetView>
  </sheetViews>
  <sheetFormatPr defaultColWidth="8.88671875" defaultRowHeight="13.2" x14ac:dyDescent="0.25"/>
  <cols>
    <col min="1" max="1" width="22.109375" style="48" customWidth="1"/>
    <col min="2" max="5" width="17.5546875" style="48" customWidth="1"/>
    <col min="6" max="6" width="7.33203125" style="48" customWidth="1"/>
    <col min="7" max="16384" width="8.88671875" style="48"/>
  </cols>
  <sheetData>
    <row r="1" spans="1:6" ht="13.8" x14ac:dyDescent="0.25">
      <c r="A1" s="676" t="s">
        <v>278</v>
      </c>
      <c r="B1" s="676"/>
      <c r="C1" s="676"/>
      <c r="D1" s="676"/>
      <c r="E1" s="676"/>
    </row>
    <row r="2" spans="1:6" x14ac:dyDescent="0.25">
      <c r="A2" s="430"/>
      <c r="B2" s="49"/>
      <c r="C2" s="49"/>
      <c r="D2" s="49"/>
    </row>
    <row r="3" spans="1:6" x14ac:dyDescent="0.25">
      <c r="A3" s="715" t="s">
        <v>150</v>
      </c>
      <c r="B3" s="715"/>
      <c r="C3" s="715"/>
      <c r="D3" s="715"/>
      <c r="E3" s="715"/>
    </row>
    <row r="4" spans="1:6" x14ac:dyDescent="0.25">
      <c r="A4" s="725"/>
      <c r="B4" s="644" t="s">
        <v>138</v>
      </c>
      <c r="C4" s="727" t="s">
        <v>414</v>
      </c>
      <c r="D4" s="727"/>
      <c r="E4" s="728"/>
    </row>
    <row r="5" spans="1:6" ht="26.4" x14ac:dyDescent="0.25">
      <c r="A5" s="729"/>
      <c r="B5" s="730"/>
      <c r="C5" s="438" t="s">
        <v>279</v>
      </c>
      <c r="D5" s="306" t="s">
        <v>280</v>
      </c>
      <c r="E5" s="420" t="s">
        <v>281</v>
      </c>
    </row>
    <row r="6" spans="1:6" s="49" customFormat="1" x14ac:dyDescent="0.25">
      <c r="A6" s="121" t="s">
        <v>485</v>
      </c>
      <c r="B6" s="118"/>
      <c r="C6" s="118"/>
      <c r="D6" s="118"/>
      <c r="E6" s="118"/>
    </row>
    <row r="7" spans="1:6" s="49" customFormat="1" x14ac:dyDescent="0.25">
      <c r="A7" s="86" t="s">
        <v>40</v>
      </c>
      <c r="B7" s="227">
        <v>109.3</v>
      </c>
      <c r="C7" s="228">
        <v>103.4</v>
      </c>
      <c r="D7" s="228">
        <v>109.9</v>
      </c>
      <c r="E7" s="104">
        <v>100</v>
      </c>
    </row>
    <row r="8" spans="1:6" s="49" customFormat="1" x14ac:dyDescent="0.25">
      <c r="A8" s="86" t="s">
        <v>41</v>
      </c>
      <c r="B8" s="227">
        <v>100.2</v>
      </c>
      <c r="C8" s="228">
        <v>102.8</v>
      </c>
      <c r="D8" s="228">
        <v>100</v>
      </c>
      <c r="E8" s="104">
        <v>100</v>
      </c>
    </row>
    <row r="9" spans="1:6" s="49" customFormat="1" x14ac:dyDescent="0.25">
      <c r="A9" s="103" t="s">
        <v>42</v>
      </c>
      <c r="B9" s="227">
        <v>100</v>
      </c>
      <c r="C9" s="228">
        <v>100.7</v>
      </c>
      <c r="D9" s="228">
        <v>100</v>
      </c>
      <c r="E9" s="104">
        <v>100</v>
      </c>
    </row>
    <row r="10" spans="1:6" s="49" customFormat="1" x14ac:dyDescent="0.25">
      <c r="A10" s="105" t="s">
        <v>130</v>
      </c>
      <c r="B10" s="227">
        <v>109.5</v>
      </c>
      <c r="C10" s="228">
        <v>107.1</v>
      </c>
      <c r="D10" s="228">
        <v>109.9</v>
      </c>
      <c r="E10" s="104">
        <v>100</v>
      </c>
    </row>
    <row r="11" spans="1:6" s="49" customFormat="1" x14ac:dyDescent="0.25">
      <c r="A11" s="103" t="s">
        <v>44</v>
      </c>
      <c r="B11" s="227">
        <v>100</v>
      </c>
      <c r="C11" s="228">
        <v>100.7</v>
      </c>
      <c r="D11" s="228">
        <v>100</v>
      </c>
      <c r="E11" s="104">
        <v>100</v>
      </c>
    </row>
    <row r="12" spans="1:6" s="49" customFormat="1" x14ac:dyDescent="0.25">
      <c r="A12" s="103" t="s">
        <v>45</v>
      </c>
      <c r="B12" s="227">
        <v>100.2</v>
      </c>
      <c r="C12" s="227">
        <v>103</v>
      </c>
      <c r="D12" s="392">
        <v>100</v>
      </c>
      <c r="E12" s="485">
        <v>101.2</v>
      </c>
    </row>
    <row r="13" spans="1:6" s="49" customFormat="1" x14ac:dyDescent="0.25">
      <c r="A13" s="103" t="s">
        <v>46</v>
      </c>
      <c r="B13" s="227">
        <v>100.2</v>
      </c>
      <c r="C13" s="227">
        <v>99.9</v>
      </c>
      <c r="D13" s="392">
        <v>100</v>
      </c>
      <c r="E13" s="485">
        <v>108.9</v>
      </c>
      <c r="F13"/>
    </row>
    <row r="14" spans="1:6" s="49" customFormat="1" x14ac:dyDescent="0.25">
      <c r="A14" s="105" t="s">
        <v>131</v>
      </c>
      <c r="B14" s="227">
        <v>100.4</v>
      </c>
      <c r="C14" s="227">
        <v>103.6</v>
      </c>
      <c r="D14" s="392">
        <v>100</v>
      </c>
      <c r="E14" s="104">
        <v>110.2</v>
      </c>
    </row>
    <row r="15" spans="1:6" s="49" customFormat="1" x14ac:dyDescent="0.25">
      <c r="A15" s="103" t="s">
        <v>48</v>
      </c>
      <c r="B15" s="227">
        <v>100</v>
      </c>
      <c r="C15" s="227">
        <v>100.8</v>
      </c>
      <c r="D15" s="392">
        <v>100</v>
      </c>
      <c r="E15" s="104">
        <v>100</v>
      </c>
    </row>
    <row r="16" spans="1:6" s="49" customFormat="1" x14ac:dyDescent="0.25">
      <c r="A16" s="103" t="s">
        <v>26</v>
      </c>
      <c r="B16" s="227">
        <v>99.9</v>
      </c>
      <c r="C16" s="227">
        <v>98.6</v>
      </c>
      <c r="D16" s="392">
        <v>100</v>
      </c>
      <c r="E16" s="104">
        <v>100</v>
      </c>
    </row>
    <row r="17" spans="1:6" x14ac:dyDescent="0.25">
      <c r="A17" s="120" t="s">
        <v>432</v>
      </c>
      <c r="B17" s="128"/>
      <c r="C17" s="128"/>
      <c r="D17" s="128"/>
      <c r="E17" s="128"/>
    </row>
    <row r="18" spans="1:6" x14ac:dyDescent="0.25">
      <c r="A18" s="86" t="s">
        <v>40</v>
      </c>
      <c r="B18" s="227">
        <v>106.8</v>
      </c>
      <c r="C18" s="228">
        <v>103.6</v>
      </c>
      <c r="D18" s="228">
        <v>107.2</v>
      </c>
      <c r="E18" s="104">
        <v>100</v>
      </c>
      <c r="F18" s="216"/>
    </row>
    <row r="19" spans="1:6" x14ac:dyDescent="0.25">
      <c r="A19" s="86" t="s">
        <v>41</v>
      </c>
      <c r="B19" s="227">
        <v>100.1</v>
      </c>
      <c r="C19" s="228">
        <v>103.1</v>
      </c>
      <c r="D19" s="228">
        <v>100</v>
      </c>
      <c r="E19" s="104">
        <v>100</v>
      </c>
      <c r="F19" s="216"/>
    </row>
    <row r="20" spans="1:6" x14ac:dyDescent="0.25">
      <c r="A20" s="103" t="s">
        <v>42</v>
      </c>
      <c r="B20" s="227">
        <v>100</v>
      </c>
      <c r="C20" s="228">
        <v>100</v>
      </c>
      <c r="D20" s="228">
        <v>100</v>
      </c>
      <c r="E20" s="104">
        <v>100</v>
      </c>
      <c r="F20" s="216"/>
    </row>
    <row r="21" spans="1:6" x14ac:dyDescent="0.25">
      <c r="A21" s="105" t="s">
        <v>130</v>
      </c>
      <c r="B21" s="227">
        <v>106.9</v>
      </c>
      <c r="C21" s="228">
        <v>106.8</v>
      </c>
      <c r="D21" s="228">
        <v>107.2</v>
      </c>
      <c r="E21" s="104">
        <v>100</v>
      </c>
      <c r="F21" s="216"/>
    </row>
    <row r="22" spans="1:6" x14ac:dyDescent="0.25">
      <c r="A22" s="103" t="s">
        <v>44</v>
      </c>
      <c r="B22" s="227">
        <v>100</v>
      </c>
      <c r="C22" s="228">
        <v>100.1</v>
      </c>
      <c r="D22" s="228">
        <v>100</v>
      </c>
      <c r="E22" s="104">
        <v>100</v>
      </c>
      <c r="F22" s="216"/>
    </row>
    <row r="23" spans="1:6" x14ac:dyDescent="0.25">
      <c r="A23" s="103" t="s">
        <v>45</v>
      </c>
      <c r="B23" s="227">
        <v>100</v>
      </c>
      <c r="C23" s="228">
        <v>99.7</v>
      </c>
      <c r="D23" s="228">
        <v>100</v>
      </c>
      <c r="E23" s="104">
        <v>100.3</v>
      </c>
      <c r="F23" s="216"/>
    </row>
    <row r="24" spans="1:6" x14ac:dyDescent="0.25">
      <c r="A24" s="103" t="s">
        <v>46</v>
      </c>
      <c r="B24" s="227">
        <v>100</v>
      </c>
      <c r="C24" s="228">
        <v>100</v>
      </c>
      <c r="D24" s="228">
        <v>100</v>
      </c>
      <c r="E24" s="104">
        <v>100</v>
      </c>
      <c r="F24" s="216"/>
    </row>
    <row r="25" spans="1:6" x14ac:dyDescent="0.25">
      <c r="A25" s="105" t="s">
        <v>131</v>
      </c>
      <c r="B25" s="227">
        <v>100</v>
      </c>
      <c r="C25" s="228">
        <v>99.8</v>
      </c>
      <c r="D25" s="228">
        <v>100</v>
      </c>
      <c r="E25" s="104">
        <v>100.3</v>
      </c>
      <c r="F25" s="216"/>
    </row>
    <row r="26" spans="1:6" x14ac:dyDescent="0.25">
      <c r="A26" s="103" t="s">
        <v>48</v>
      </c>
      <c r="B26" s="227">
        <v>100.3</v>
      </c>
      <c r="C26" s="228">
        <v>109.9</v>
      </c>
      <c r="D26" s="228">
        <v>100</v>
      </c>
      <c r="E26" s="104">
        <v>100</v>
      </c>
      <c r="F26" s="216"/>
    </row>
    <row r="27" spans="1:6" x14ac:dyDescent="0.25">
      <c r="A27" s="103" t="s">
        <v>26</v>
      </c>
      <c r="B27" s="227">
        <v>100</v>
      </c>
      <c r="C27" s="228">
        <v>100</v>
      </c>
      <c r="D27" s="228">
        <v>100</v>
      </c>
      <c r="E27" s="104">
        <v>100</v>
      </c>
      <c r="F27" s="216"/>
    </row>
    <row r="28" spans="1:6" x14ac:dyDescent="0.25">
      <c r="A28" s="103" t="s">
        <v>49</v>
      </c>
      <c r="B28" s="227">
        <v>100</v>
      </c>
      <c r="C28" s="228">
        <v>100</v>
      </c>
      <c r="D28" s="228">
        <v>100</v>
      </c>
      <c r="E28" s="104">
        <v>100</v>
      </c>
      <c r="F28" s="216"/>
    </row>
    <row r="29" spans="1:6" x14ac:dyDescent="0.25">
      <c r="A29" s="105" t="s">
        <v>132</v>
      </c>
      <c r="B29" s="227">
        <v>100.3</v>
      </c>
      <c r="C29" s="228">
        <v>109.9</v>
      </c>
      <c r="D29" s="228">
        <v>100</v>
      </c>
      <c r="E29" s="104">
        <v>100</v>
      </c>
      <c r="F29" s="216"/>
    </row>
    <row r="30" spans="1:6" x14ac:dyDescent="0.25">
      <c r="A30" s="103" t="s">
        <v>51</v>
      </c>
      <c r="B30" s="227">
        <v>100</v>
      </c>
      <c r="C30" s="228">
        <v>100</v>
      </c>
      <c r="D30" s="228">
        <v>100</v>
      </c>
      <c r="E30" s="104">
        <v>100</v>
      </c>
      <c r="F30" s="216"/>
    </row>
    <row r="31" spans="1:6" x14ac:dyDescent="0.25">
      <c r="A31" s="103" t="s">
        <v>52</v>
      </c>
      <c r="B31" s="227">
        <v>100</v>
      </c>
      <c r="C31" s="228">
        <v>100.1</v>
      </c>
      <c r="D31" s="228">
        <v>100</v>
      </c>
      <c r="E31" s="104">
        <v>100</v>
      </c>
      <c r="F31" s="216"/>
    </row>
    <row r="32" spans="1:6" x14ac:dyDescent="0.25">
      <c r="A32" s="103" t="s">
        <v>53</v>
      </c>
      <c r="B32" s="227">
        <v>100</v>
      </c>
      <c r="C32" s="228">
        <v>100</v>
      </c>
      <c r="D32" s="228">
        <v>100</v>
      </c>
      <c r="E32" s="104">
        <v>100</v>
      </c>
      <c r="F32" s="216"/>
    </row>
    <row r="33" spans="1:6" x14ac:dyDescent="0.25">
      <c r="A33" s="106" t="s">
        <v>133</v>
      </c>
      <c r="B33" s="309">
        <v>100</v>
      </c>
      <c r="C33" s="309">
        <v>100.1</v>
      </c>
      <c r="D33" s="309">
        <v>100</v>
      </c>
      <c r="E33" s="279">
        <v>100</v>
      </c>
      <c r="F33" s="216"/>
    </row>
  </sheetData>
  <mergeCells count="5">
    <mergeCell ref="A4:A5"/>
    <mergeCell ref="B4:B5"/>
    <mergeCell ref="A1:E1"/>
    <mergeCell ref="A3:E3"/>
    <mergeCell ref="C4:E4"/>
  </mergeCells>
  <pageMargins left="0.7" right="0.7" top="0.75" bottom="0.75" header="0.3" footer="0.3"/>
  <pageSetup paperSize="9" scale="96"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2"/>
  <sheetViews>
    <sheetView zoomScale="80" zoomScaleNormal="80" workbookViewId="0">
      <selection activeCell="H20" sqref="H20"/>
    </sheetView>
  </sheetViews>
  <sheetFormatPr defaultRowHeight="13.2" x14ac:dyDescent="0.25"/>
  <cols>
    <col min="1" max="1" width="33.44140625" customWidth="1"/>
    <col min="2" max="5" width="15.6640625" customWidth="1"/>
    <col min="6" max="6" width="10.21875" customWidth="1"/>
  </cols>
  <sheetData>
    <row r="1" spans="1:5" ht="13.8" x14ac:dyDescent="0.25">
      <c r="A1" s="733" t="s">
        <v>482</v>
      </c>
      <c r="B1" s="733"/>
      <c r="C1" s="733"/>
      <c r="D1" s="733"/>
      <c r="E1" s="733"/>
    </row>
    <row r="2" spans="1:5" ht="13.8" x14ac:dyDescent="0.25">
      <c r="A2" s="734" t="s">
        <v>481</v>
      </c>
      <c r="B2" s="734"/>
      <c r="C2" s="734"/>
      <c r="D2" s="734"/>
      <c r="E2" s="734"/>
    </row>
    <row r="3" spans="1:5" x14ac:dyDescent="0.25">
      <c r="A3" s="267"/>
      <c r="B3" s="267"/>
      <c r="C3" s="267"/>
      <c r="D3" s="267"/>
      <c r="E3" s="267"/>
    </row>
    <row r="4" spans="1:5" ht="25.2" customHeight="1" x14ac:dyDescent="0.25">
      <c r="A4" s="718" t="s">
        <v>647</v>
      </c>
      <c r="B4" s="718"/>
      <c r="C4" s="718"/>
      <c r="D4" s="718"/>
      <c r="E4" s="718"/>
    </row>
    <row r="5" spans="1:5" x14ac:dyDescent="0.25">
      <c r="A5" s="42"/>
      <c r="B5" s="20"/>
      <c r="C5" s="20"/>
      <c r="D5" s="20"/>
      <c r="E5" s="20"/>
    </row>
    <row r="6" spans="1:5" x14ac:dyDescent="0.25">
      <c r="A6" s="695" t="s">
        <v>221</v>
      </c>
      <c r="B6" s="695"/>
      <c r="C6" s="695"/>
      <c r="D6" s="695"/>
      <c r="E6" s="695"/>
    </row>
    <row r="7" spans="1:5" x14ac:dyDescent="0.25">
      <c r="A7" s="647"/>
      <c r="B7" s="731" t="s">
        <v>433</v>
      </c>
      <c r="C7" s="666" t="s">
        <v>222</v>
      </c>
      <c r="D7" s="691"/>
      <c r="E7" s="667"/>
    </row>
    <row r="8" spans="1:5" ht="52.8" x14ac:dyDescent="0.25">
      <c r="A8" s="648"/>
      <c r="B8" s="732"/>
      <c r="C8" s="421" t="s">
        <v>223</v>
      </c>
      <c r="D8" s="435" t="s">
        <v>224</v>
      </c>
      <c r="E8" s="437" t="s">
        <v>434</v>
      </c>
    </row>
    <row r="9" spans="1:5" x14ac:dyDescent="0.25">
      <c r="A9" s="23" t="s">
        <v>138</v>
      </c>
      <c r="B9" s="524">
        <v>71086.3</v>
      </c>
      <c r="C9" s="524">
        <v>63572.9</v>
      </c>
      <c r="D9" s="524">
        <v>101.1</v>
      </c>
      <c r="E9" s="524">
        <v>34.4</v>
      </c>
    </row>
    <row r="10" spans="1:5" ht="26.4" x14ac:dyDescent="0.25">
      <c r="A10" s="243" t="s">
        <v>225</v>
      </c>
      <c r="B10" s="525"/>
      <c r="C10" s="526"/>
      <c r="D10" s="527"/>
      <c r="E10" s="527"/>
    </row>
    <row r="11" spans="1:5" ht="28.2" customHeight="1" x14ac:dyDescent="0.25">
      <c r="A11" s="68" t="s">
        <v>226</v>
      </c>
      <c r="B11" s="525" t="s">
        <v>347</v>
      </c>
      <c r="C11" s="526" t="s">
        <v>347</v>
      </c>
      <c r="D11" s="528" t="s">
        <v>341</v>
      </c>
      <c r="E11" s="528" t="s">
        <v>341</v>
      </c>
    </row>
    <row r="12" spans="1:5" x14ac:dyDescent="0.25">
      <c r="A12" s="68" t="s">
        <v>210</v>
      </c>
      <c r="B12" s="525">
        <v>49321</v>
      </c>
      <c r="C12" s="526">
        <v>49059.8</v>
      </c>
      <c r="D12" s="528" t="s">
        <v>341</v>
      </c>
      <c r="E12" s="528" t="s">
        <v>341</v>
      </c>
    </row>
    <row r="13" spans="1:5" x14ac:dyDescent="0.25">
      <c r="A13" s="68" t="s">
        <v>211</v>
      </c>
      <c r="B13" s="525">
        <v>11269.2</v>
      </c>
      <c r="C13" s="526">
        <v>5355.3</v>
      </c>
      <c r="D13" s="528" t="s">
        <v>341</v>
      </c>
      <c r="E13" s="528" t="s">
        <v>341</v>
      </c>
    </row>
    <row r="14" spans="1:5" ht="39.6" x14ac:dyDescent="0.25">
      <c r="A14" s="68" t="s">
        <v>212</v>
      </c>
      <c r="B14" s="525">
        <v>70.2</v>
      </c>
      <c r="C14" s="526">
        <v>51.5</v>
      </c>
      <c r="D14" s="528" t="s">
        <v>341</v>
      </c>
      <c r="E14" s="528" t="s">
        <v>341</v>
      </c>
    </row>
    <row r="15" spans="1:5" ht="52.8" x14ac:dyDescent="0.25">
      <c r="A15" s="68" t="s">
        <v>213</v>
      </c>
      <c r="B15" s="525" t="s">
        <v>347</v>
      </c>
      <c r="C15" s="526" t="s">
        <v>347</v>
      </c>
      <c r="D15" s="528" t="s">
        <v>341</v>
      </c>
      <c r="E15" s="528" t="s">
        <v>341</v>
      </c>
    </row>
    <row r="16" spans="1:5" x14ac:dyDescent="0.25">
      <c r="A16" s="68" t="s">
        <v>227</v>
      </c>
      <c r="B16" s="525">
        <v>372</v>
      </c>
      <c r="C16" s="526">
        <v>62.4</v>
      </c>
      <c r="D16" s="528">
        <v>101.1</v>
      </c>
      <c r="E16" s="528">
        <v>0.1</v>
      </c>
    </row>
    <row r="17" spans="1:5" ht="39.6" x14ac:dyDescent="0.25">
      <c r="A17" s="100" t="s">
        <v>228</v>
      </c>
      <c r="B17" s="525" t="s">
        <v>347</v>
      </c>
      <c r="C17" s="526" t="s">
        <v>347</v>
      </c>
      <c r="D17" s="528" t="s">
        <v>341</v>
      </c>
      <c r="E17" s="528" t="s">
        <v>341</v>
      </c>
    </row>
    <row r="18" spans="1:5" x14ac:dyDescent="0.25">
      <c r="A18" s="68" t="s">
        <v>229</v>
      </c>
      <c r="B18" s="525">
        <v>577.1</v>
      </c>
      <c r="C18" s="526">
        <v>328.2</v>
      </c>
      <c r="D18" s="528" t="s">
        <v>341</v>
      </c>
      <c r="E18" s="528">
        <v>34.299999999999997</v>
      </c>
    </row>
    <row r="19" spans="1:5" ht="26.4" x14ac:dyDescent="0.25">
      <c r="A19" s="68" t="s">
        <v>231</v>
      </c>
      <c r="B19" s="525" t="s">
        <v>347</v>
      </c>
      <c r="C19" s="526" t="s">
        <v>347</v>
      </c>
      <c r="D19" s="528" t="s">
        <v>341</v>
      </c>
      <c r="E19" s="528" t="s">
        <v>341</v>
      </c>
    </row>
    <row r="20" spans="1:5" ht="26.4" x14ac:dyDescent="0.25">
      <c r="A20" s="68" t="s">
        <v>233</v>
      </c>
      <c r="B20" s="525">
        <v>9117.1</v>
      </c>
      <c r="C20" s="526">
        <v>8528.2999999999993</v>
      </c>
      <c r="D20" s="528" t="s">
        <v>341</v>
      </c>
      <c r="E20" s="528" t="s">
        <v>341</v>
      </c>
    </row>
    <row r="21" spans="1:5" s="95" customFormat="1" x14ac:dyDescent="0.25">
      <c r="A21" s="468" t="s">
        <v>238</v>
      </c>
      <c r="B21" s="525" t="s">
        <v>347</v>
      </c>
      <c r="C21" s="529" t="s">
        <v>341</v>
      </c>
      <c r="D21" s="528" t="s">
        <v>341</v>
      </c>
      <c r="E21" s="528" t="s">
        <v>341</v>
      </c>
    </row>
    <row r="22" spans="1:5" ht="39.6" x14ac:dyDescent="0.25">
      <c r="A22" s="469" t="s">
        <v>234</v>
      </c>
      <c r="B22" s="530" t="s">
        <v>347</v>
      </c>
      <c r="C22" s="531" t="s">
        <v>341</v>
      </c>
      <c r="D22" s="532" t="s">
        <v>341</v>
      </c>
      <c r="E22" s="532" t="s">
        <v>341</v>
      </c>
    </row>
  </sheetData>
  <mergeCells count="7">
    <mergeCell ref="A6:E6"/>
    <mergeCell ref="A7:A8"/>
    <mergeCell ref="B7:B8"/>
    <mergeCell ref="C7:E7"/>
    <mergeCell ref="A1:E1"/>
    <mergeCell ref="A2:E2"/>
    <mergeCell ref="A4:E4"/>
  </mergeCells>
  <conditionalFormatting sqref="A20:A23">
    <cfRule type="duplicateValues" dxfId="3" priority="3"/>
  </conditionalFormatting>
  <conditionalFormatting sqref="A10:A19">
    <cfRule type="duplicateValues" dxfId="2" priority="5"/>
  </conditionalFormatting>
  <pageMargins left="0.7" right="0.7" top="0.75" bottom="0.75" header="0.3" footer="0.3"/>
  <pageSetup paperSize="9" scale="92"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zoomScale="80" zoomScaleNormal="80" workbookViewId="0">
      <selection activeCell="I15" sqref="I15"/>
    </sheetView>
  </sheetViews>
  <sheetFormatPr defaultRowHeight="13.2" x14ac:dyDescent="0.25"/>
  <cols>
    <col min="1" max="1" width="37.109375" customWidth="1"/>
    <col min="2" max="3" width="23.77734375" customWidth="1"/>
  </cols>
  <sheetData>
    <row r="1" spans="1:3" ht="34.799999999999997" customHeight="1" x14ac:dyDescent="0.25">
      <c r="A1" s="718" t="s">
        <v>648</v>
      </c>
      <c r="B1" s="718"/>
      <c r="C1" s="718"/>
    </row>
    <row r="2" spans="1:3" x14ac:dyDescent="0.25">
      <c r="A2" s="42"/>
      <c r="B2" s="20"/>
      <c r="C2" s="20"/>
    </row>
    <row r="3" spans="1:3" x14ac:dyDescent="0.25">
      <c r="A3" s="695" t="s">
        <v>221</v>
      </c>
      <c r="B3" s="695"/>
      <c r="C3" s="695"/>
    </row>
    <row r="4" spans="1:3" ht="39.6" x14ac:dyDescent="0.25">
      <c r="A4" s="144"/>
      <c r="B4" s="439" t="s">
        <v>483</v>
      </c>
      <c r="C4" s="439" t="s">
        <v>484</v>
      </c>
    </row>
    <row r="5" spans="1:3" x14ac:dyDescent="0.25">
      <c r="A5" s="54" t="s">
        <v>138</v>
      </c>
      <c r="B5" s="470">
        <v>145202.29999999999</v>
      </c>
      <c r="C5" s="470">
        <v>135069.9</v>
      </c>
    </row>
    <row r="6" spans="1:3" ht="26.4" x14ac:dyDescent="0.25">
      <c r="A6" s="243" t="s">
        <v>225</v>
      </c>
      <c r="B6" s="471"/>
      <c r="C6" s="472"/>
    </row>
    <row r="7" spans="1:3" ht="26.4" x14ac:dyDescent="0.25">
      <c r="A7" s="68" t="s">
        <v>226</v>
      </c>
      <c r="B7" s="473">
        <v>104.8</v>
      </c>
      <c r="C7" s="473">
        <v>95.3</v>
      </c>
    </row>
    <row r="8" spans="1:3" x14ac:dyDescent="0.25">
      <c r="A8" s="68" t="s">
        <v>210</v>
      </c>
      <c r="B8" s="473">
        <v>111607.4</v>
      </c>
      <c r="C8" s="473">
        <v>111379.8</v>
      </c>
    </row>
    <row r="9" spans="1:3" x14ac:dyDescent="0.25">
      <c r="A9" s="68" t="s">
        <v>211</v>
      </c>
      <c r="B9" s="473">
        <v>18074.5</v>
      </c>
      <c r="C9" s="473">
        <v>9036.9</v>
      </c>
    </row>
    <row r="10" spans="1:3" ht="39.6" x14ac:dyDescent="0.25">
      <c r="A10" s="68" t="s">
        <v>212</v>
      </c>
      <c r="B10" s="473">
        <v>1357.2</v>
      </c>
      <c r="C10" s="473">
        <v>1197.0999999999999</v>
      </c>
    </row>
    <row r="11" spans="1:3" ht="52.8" x14ac:dyDescent="0.25">
      <c r="A11" s="68" t="s">
        <v>213</v>
      </c>
      <c r="B11" s="473">
        <v>520.70000000000005</v>
      </c>
      <c r="C11" s="473">
        <v>506.1</v>
      </c>
    </row>
    <row r="12" spans="1:3" x14ac:dyDescent="0.25">
      <c r="A12" s="68" t="s">
        <v>227</v>
      </c>
      <c r="B12" s="473">
        <v>1939.3</v>
      </c>
      <c r="C12" s="473">
        <v>1939.3</v>
      </c>
    </row>
    <row r="13" spans="1:3" ht="30" customHeight="1" x14ac:dyDescent="0.25">
      <c r="A13" s="100" t="s">
        <v>228</v>
      </c>
      <c r="B13" s="473">
        <v>1153.7</v>
      </c>
      <c r="C13" s="473">
        <v>1153.7</v>
      </c>
    </row>
    <row r="14" spans="1:3" x14ac:dyDescent="0.25">
      <c r="A14" s="68" t="s">
        <v>229</v>
      </c>
      <c r="B14" s="473">
        <v>759.3</v>
      </c>
      <c r="C14" s="473">
        <v>626.20000000000005</v>
      </c>
    </row>
    <row r="15" spans="1:3" ht="26.4" x14ac:dyDescent="0.25">
      <c r="A15" s="68" t="s">
        <v>231</v>
      </c>
      <c r="B15" s="473">
        <v>189.7</v>
      </c>
      <c r="C15" s="473">
        <v>186.6</v>
      </c>
    </row>
    <row r="16" spans="1:3" x14ac:dyDescent="0.25">
      <c r="A16" s="271" t="s">
        <v>251</v>
      </c>
      <c r="B16" s="474" t="s">
        <v>347</v>
      </c>
      <c r="C16" s="475" t="s">
        <v>347</v>
      </c>
    </row>
    <row r="17" spans="1:3" ht="26.4" x14ac:dyDescent="0.25">
      <c r="A17" s="68" t="s">
        <v>232</v>
      </c>
      <c r="B17" s="473">
        <v>45.3</v>
      </c>
      <c r="C17" s="473">
        <v>45.3</v>
      </c>
    </row>
    <row r="18" spans="1:3" ht="26.4" x14ac:dyDescent="0.25">
      <c r="A18" s="68" t="s">
        <v>233</v>
      </c>
      <c r="B18" s="473">
        <v>8735</v>
      </c>
      <c r="C18" s="473">
        <v>8195</v>
      </c>
    </row>
    <row r="19" spans="1:3" ht="27.6" customHeight="1" x14ac:dyDescent="0.25">
      <c r="A19" s="26" t="s">
        <v>237</v>
      </c>
      <c r="B19" s="473">
        <v>618.79999999999995</v>
      </c>
      <c r="C19" s="473">
        <v>618.79999999999995</v>
      </c>
    </row>
    <row r="20" spans="1:3" x14ac:dyDescent="0.25">
      <c r="A20" s="26" t="s">
        <v>238</v>
      </c>
      <c r="B20" s="476">
        <v>10.1</v>
      </c>
      <c r="C20" s="476">
        <v>10.1</v>
      </c>
    </row>
    <row r="21" spans="1:3" ht="26.4" x14ac:dyDescent="0.25">
      <c r="A21" s="26" t="s">
        <v>234</v>
      </c>
      <c r="B21" s="476" t="s">
        <v>347</v>
      </c>
      <c r="C21" s="476" t="s">
        <v>347</v>
      </c>
    </row>
    <row r="22" spans="1:3" ht="39.6" x14ac:dyDescent="0.25">
      <c r="A22" s="26" t="s">
        <v>254</v>
      </c>
      <c r="B22" s="476" t="s">
        <v>347</v>
      </c>
      <c r="C22" s="476" t="s">
        <v>347</v>
      </c>
    </row>
    <row r="23" spans="1:3" x14ac:dyDescent="0.25">
      <c r="A23" s="272" t="s">
        <v>491</v>
      </c>
      <c r="B23" s="477" t="s">
        <v>347</v>
      </c>
      <c r="C23" s="477" t="s">
        <v>347</v>
      </c>
    </row>
  </sheetData>
  <mergeCells count="2">
    <mergeCell ref="A1:C1"/>
    <mergeCell ref="A3:C3"/>
  </mergeCells>
  <conditionalFormatting sqref="A19:A23">
    <cfRule type="duplicateValues" dxfId="1" priority="1"/>
  </conditionalFormatting>
  <conditionalFormatting sqref="A6:A18">
    <cfRule type="duplicateValues" dxfId="0" priority="2"/>
  </conditionalFormatting>
  <pageMargins left="0.7" right="0.7" top="0.75" bottom="0.75" header="0.3" footer="0.3"/>
  <pageSetup paperSize="9"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zoomScale="80" zoomScaleNormal="80" workbookViewId="0">
      <selection activeCell="J18" sqref="J18"/>
    </sheetView>
  </sheetViews>
  <sheetFormatPr defaultRowHeight="13.2" x14ac:dyDescent="0.25"/>
  <cols>
    <col min="1" max="1" width="19.5546875" customWidth="1"/>
    <col min="2" max="2" width="15.88671875" customWidth="1"/>
    <col min="3" max="6" width="14.109375" customWidth="1"/>
  </cols>
  <sheetData>
    <row r="1" spans="1:6" ht="13.8" x14ac:dyDescent="0.25">
      <c r="A1" s="651" t="s">
        <v>344</v>
      </c>
      <c r="B1" s="651"/>
      <c r="C1" s="651"/>
      <c r="D1" s="651"/>
      <c r="E1" s="651"/>
      <c r="F1" s="651"/>
    </row>
    <row r="3" spans="1:6" ht="13.8" x14ac:dyDescent="0.25">
      <c r="A3" s="651" t="s">
        <v>25</v>
      </c>
      <c r="B3" s="651"/>
      <c r="C3" s="651"/>
      <c r="D3" s="651"/>
      <c r="E3" s="651"/>
      <c r="F3" s="651"/>
    </row>
    <row r="5" spans="1:6" ht="29.4" customHeight="1" x14ac:dyDescent="0.25">
      <c r="A5" s="653" t="s">
        <v>446</v>
      </c>
      <c r="B5" s="653"/>
      <c r="C5" s="653"/>
      <c r="D5" s="653"/>
      <c r="E5" s="653"/>
      <c r="F5" s="653"/>
    </row>
    <row r="6" spans="1:6" x14ac:dyDescent="0.25">
      <c r="A6" s="43"/>
      <c r="B6" s="20"/>
      <c r="C6" s="20"/>
      <c r="D6" s="20"/>
      <c r="E6" s="20"/>
      <c r="F6" s="20"/>
    </row>
    <row r="7" spans="1:6" ht="30" customHeight="1" x14ac:dyDescent="0.25">
      <c r="A7" s="678"/>
      <c r="B7" s="687" t="s">
        <v>438</v>
      </c>
      <c r="C7" s="666" t="s">
        <v>37</v>
      </c>
      <c r="D7" s="667"/>
      <c r="E7" s="666" t="s">
        <v>235</v>
      </c>
      <c r="F7" s="667"/>
    </row>
    <row r="8" spans="1:6" ht="66" x14ac:dyDescent="0.25">
      <c r="A8" s="679"/>
      <c r="B8" s="688"/>
      <c r="C8" s="425" t="s">
        <v>38</v>
      </c>
      <c r="D8" s="427" t="s">
        <v>236</v>
      </c>
      <c r="E8" s="427" t="s">
        <v>38</v>
      </c>
      <c r="F8" s="439" t="s">
        <v>236</v>
      </c>
    </row>
    <row r="9" spans="1:6" x14ac:dyDescent="0.25">
      <c r="A9" s="170" t="s">
        <v>485</v>
      </c>
      <c r="B9" s="169"/>
      <c r="C9" s="169"/>
      <c r="D9" s="169"/>
      <c r="E9" s="121"/>
      <c r="F9" s="121"/>
    </row>
    <row r="10" spans="1:6" x14ac:dyDescent="0.25">
      <c r="A10" s="101" t="s">
        <v>40</v>
      </c>
      <c r="B10" s="164">
        <v>82674</v>
      </c>
      <c r="C10" s="165">
        <v>67.900000000000006</v>
      </c>
      <c r="D10" s="165">
        <v>116</v>
      </c>
      <c r="E10" s="80">
        <v>67.3</v>
      </c>
      <c r="F10" s="80">
        <v>107.7</v>
      </c>
    </row>
    <row r="11" spans="1:6" x14ac:dyDescent="0.25">
      <c r="A11" s="167" t="s">
        <v>41</v>
      </c>
      <c r="B11" s="47">
        <v>86588</v>
      </c>
      <c r="C11" s="40">
        <v>104.2</v>
      </c>
      <c r="D11" s="40">
        <v>108.8</v>
      </c>
      <c r="E11" s="40">
        <v>103.1</v>
      </c>
      <c r="F11" s="40">
        <v>100.6</v>
      </c>
    </row>
    <row r="12" spans="1:6" x14ac:dyDescent="0.25">
      <c r="A12" s="379" t="s">
        <v>42</v>
      </c>
      <c r="B12" s="381">
        <v>89386</v>
      </c>
      <c r="C12" s="382">
        <v>103.2</v>
      </c>
      <c r="D12" s="382">
        <v>105.2</v>
      </c>
      <c r="E12" s="40">
        <v>102.3</v>
      </c>
      <c r="F12" s="40">
        <v>96.8</v>
      </c>
    </row>
    <row r="13" spans="1:6" x14ac:dyDescent="0.25">
      <c r="A13" s="136" t="s">
        <v>130</v>
      </c>
      <c r="B13" s="164">
        <v>86368</v>
      </c>
      <c r="C13" s="165">
        <v>91.7</v>
      </c>
      <c r="D13" s="165">
        <v>109.9</v>
      </c>
      <c r="E13" s="80">
        <v>88.9</v>
      </c>
      <c r="F13" s="80">
        <v>101.6</v>
      </c>
    </row>
    <row r="14" spans="1:6" x14ac:dyDescent="0.25">
      <c r="A14" s="66" t="s">
        <v>44</v>
      </c>
      <c r="B14" s="164">
        <v>87502</v>
      </c>
      <c r="C14" s="165">
        <v>97.6</v>
      </c>
      <c r="D14" s="165">
        <v>111.4</v>
      </c>
      <c r="E14" s="80">
        <v>97.3</v>
      </c>
      <c r="F14" s="80">
        <v>103.1</v>
      </c>
    </row>
    <row r="15" spans="1:6" x14ac:dyDescent="0.25">
      <c r="A15" s="379" t="s">
        <v>45</v>
      </c>
      <c r="B15" s="164">
        <v>94330</v>
      </c>
      <c r="C15" s="165">
        <v>107.8</v>
      </c>
      <c r="D15" s="165">
        <v>113.3</v>
      </c>
      <c r="E15" s="80">
        <v>107.1</v>
      </c>
      <c r="F15" s="80">
        <v>103.6</v>
      </c>
    </row>
    <row r="16" spans="1:6" x14ac:dyDescent="0.25">
      <c r="A16" s="66" t="s">
        <v>46</v>
      </c>
      <c r="B16" s="164">
        <v>96094</v>
      </c>
      <c r="C16" s="165">
        <v>101.8</v>
      </c>
      <c r="D16" s="165">
        <v>113.8</v>
      </c>
      <c r="E16" s="80">
        <v>101.7</v>
      </c>
      <c r="F16" s="80">
        <v>104.2</v>
      </c>
    </row>
    <row r="17" spans="1:6" x14ac:dyDescent="0.25">
      <c r="A17" s="67" t="s">
        <v>131</v>
      </c>
      <c r="B17" s="164">
        <v>92664</v>
      </c>
      <c r="C17" s="165">
        <v>107.2</v>
      </c>
      <c r="D17" s="165">
        <v>112.9</v>
      </c>
      <c r="E17" s="80">
        <v>105.4</v>
      </c>
      <c r="F17" s="80">
        <v>103.7</v>
      </c>
    </row>
    <row r="18" spans="1:6" x14ac:dyDescent="0.25">
      <c r="A18" s="67" t="s">
        <v>47</v>
      </c>
      <c r="B18" s="164">
        <v>89561</v>
      </c>
      <c r="C18" s="165"/>
      <c r="D18" s="165">
        <v>111.5</v>
      </c>
      <c r="E18" s="80"/>
      <c r="F18" s="80">
        <v>102.7</v>
      </c>
    </row>
    <row r="19" spans="1:6" x14ac:dyDescent="0.25">
      <c r="A19" s="66" t="s">
        <v>48</v>
      </c>
      <c r="B19" s="164">
        <v>93419</v>
      </c>
      <c r="C19" s="165">
        <v>96.5</v>
      </c>
      <c r="D19" s="165">
        <v>113.2</v>
      </c>
      <c r="E19" s="80">
        <v>95.6</v>
      </c>
      <c r="F19" s="80">
        <v>103.8</v>
      </c>
    </row>
    <row r="20" spans="1:6" x14ac:dyDescent="0.25">
      <c r="A20" s="67" t="s">
        <v>624</v>
      </c>
      <c r="B20" s="164">
        <v>90213</v>
      </c>
      <c r="C20" s="165"/>
      <c r="D20" s="165">
        <v>111.8</v>
      </c>
      <c r="E20" s="80"/>
      <c r="F20" s="80">
        <v>102.9</v>
      </c>
    </row>
    <row r="21" spans="1:6" x14ac:dyDescent="0.25">
      <c r="A21" s="168" t="s">
        <v>432</v>
      </c>
      <c r="B21" s="163"/>
      <c r="C21" s="163"/>
      <c r="D21" s="163"/>
      <c r="E21" s="120"/>
      <c r="F21" s="120"/>
    </row>
    <row r="22" spans="1:6" x14ac:dyDescent="0.25">
      <c r="A22" s="101" t="s">
        <v>40</v>
      </c>
      <c r="B22" s="164">
        <v>70132</v>
      </c>
      <c r="C22" s="165">
        <v>74.900000000000006</v>
      </c>
      <c r="D22" s="165">
        <v>116.1</v>
      </c>
      <c r="E22" s="80">
        <v>74.2</v>
      </c>
      <c r="F22" s="80">
        <v>110.1</v>
      </c>
    </row>
    <row r="23" spans="1:6" x14ac:dyDescent="0.25">
      <c r="A23" s="167" t="s">
        <v>41</v>
      </c>
      <c r="B23" s="164">
        <v>77525</v>
      </c>
      <c r="C23" s="165">
        <v>109.8</v>
      </c>
      <c r="D23" s="165">
        <v>117.4</v>
      </c>
      <c r="E23" s="80">
        <v>109.1</v>
      </c>
      <c r="F23" s="80">
        <v>110.7</v>
      </c>
    </row>
    <row r="24" spans="1:6" x14ac:dyDescent="0.25">
      <c r="A24" s="101" t="s">
        <v>42</v>
      </c>
      <c r="B24" s="164">
        <v>83402</v>
      </c>
      <c r="C24" s="165">
        <v>107.6</v>
      </c>
      <c r="D24" s="165">
        <v>125.5</v>
      </c>
      <c r="E24" s="80">
        <v>107.2</v>
      </c>
      <c r="F24" s="80">
        <v>117.9</v>
      </c>
    </row>
    <row r="25" spans="1:6" x14ac:dyDescent="0.25">
      <c r="A25" s="136" t="s">
        <v>130</v>
      </c>
      <c r="B25" s="164">
        <v>77175</v>
      </c>
      <c r="C25" s="165">
        <v>99.5</v>
      </c>
      <c r="D25" s="165">
        <v>120</v>
      </c>
      <c r="E25" s="80">
        <v>96.7</v>
      </c>
      <c r="F25" s="80">
        <v>113.2</v>
      </c>
    </row>
    <row r="26" spans="1:6" x14ac:dyDescent="0.25">
      <c r="A26" s="66" t="s">
        <v>44</v>
      </c>
      <c r="B26" s="164">
        <v>77522</v>
      </c>
      <c r="C26" s="165">
        <v>92.3</v>
      </c>
      <c r="D26" s="165">
        <v>116.1</v>
      </c>
      <c r="E26" s="80">
        <v>91.5</v>
      </c>
      <c r="F26" s="80">
        <v>108.2</v>
      </c>
    </row>
    <row r="27" spans="1:6" x14ac:dyDescent="0.25">
      <c r="A27" s="101" t="s">
        <v>45</v>
      </c>
      <c r="B27" s="47">
        <v>82881</v>
      </c>
      <c r="C27" s="40">
        <v>106.9</v>
      </c>
      <c r="D27" s="40">
        <v>114.3</v>
      </c>
      <c r="E27" s="40">
        <v>107.4</v>
      </c>
      <c r="F27" s="40">
        <v>107</v>
      </c>
    </row>
    <row r="28" spans="1:6" x14ac:dyDescent="0.25">
      <c r="A28" s="66" t="s">
        <v>46</v>
      </c>
      <c r="B28" s="242">
        <v>83514</v>
      </c>
      <c r="C28" s="241">
        <v>101.2</v>
      </c>
      <c r="D28" s="241">
        <v>111.9</v>
      </c>
      <c r="E28" s="233">
        <v>101</v>
      </c>
      <c r="F28" s="233">
        <v>104.7</v>
      </c>
    </row>
    <row r="29" spans="1:6" x14ac:dyDescent="0.25">
      <c r="A29" s="67" t="s">
        <v>131</v>
      </c>
      <c r="B29" s="242">
        <v>81188</v>
      </c>
      <c r="C29" s="241">
        <v>105</v>
      </c>
      <c r="D29" s="241">
        <v>113.9</v>
      </c>
      <c r="E29" s="233">
        <v>103.9</v>
      </c>
      <c r="F29" s="233">
        <v>106.4</v>
      </c>
    </row>
    <row r="30" spans="1:6" x14ac:dyDescent="0.25">
      <c r="A30" s="67" t="s">
        <v>47</v>
      </c>
      <c r="B30" s="242">
        <v>79271</v>
      </c>
      <c r="C30" s="241"/>
      <c r="D30" s="241">
        <v>116.9</v>
      </c>
      <c r="E30" s="233"/>
      <c r="F30" s="233">
        <v>109.8</v>
      </c>
    </row>
    <row r="31" spans="1:6" x14ac:dyDescent="0.25">
      <c r="A31" s="66" t="s">
        <v>48</v>
      </c>
      <c r="B31" s="242">
        <v>81555</v>
      </c>
      <c r="C31" s="241">
        <v>96.8</v>
      </c>
      <c r="D31" s="241">
        <v>108.9</v>
      </c>
      <c r="E31" s="233">
        <v>95.8</v>
      </c>
      <c r="F31" s="233">
        <v>101.3</v>
      </c>
    </row>
    <row r="32" spans="1:6" x14ac:dyDescent="0.25">
      <c r="A32" s="137" t="s">
        <v>26</v>
      </c>
      <c r="B32" s="242">
        <v>79472</v>
      </c>
      <c r="C32" s="241">
        <v>97.7</v>
      </c>
      <c r="D32" s="241">
        <v>115.7</v>
      </c>
      <c r="E32" s="233">
        <v>97.6</v>
      </c>
      <c r="F32" s="233">
        <v>107.2</v>
      </c>
    </row>
    <row r="33" spans="1:6" x14ac:dyDescent="0.25">
      <c r="A33" s="66" t="s">
        <v>49</v>
      </c>
      <c r="B33" s="242">
        <v>83012</v>
      </c>
      <c r="C33" s="241">
        <v>104.4</v>
      </c>
      <c r="D33" s="241">
        <v>121.3</v>
      </c>
      <c r="E33" s="233">
        <v>103.9</v>
      </c>
      <c r="F33" s="233">
        <v>112.3</v>
      </c>
    </row>
    <row r="34" spans="1:6" x14ac:dyDescent="0.25">
      <c r="A34" s="67" t="s">
        <v>132</v>
      </c>
      <c r="B34" s="242">
        <v>81272</v>
      </c>
      <c r="C34" s="241">
        <v>99.8</v>
      </c>
      <c r="D34" s="241">
        <v>115</v>
      </c>
      <c r="E34" s="233">
        <v>98.6</v>
      </c>
      <c r="F34" s="233">
        <v>106.6</v>
      </c>
    </row>
    <row r="35" spans="1:6" x14ac:dyDescent="0.25">
      <c r="A35" s="67" t="s">
        <v>50</v>
      </c>
      <c r="B35" s="242">
        <v>80020</v>
      </c>
      <c r="C35" s="241"/>
      <c r="D35" s="241">
        <v>116.4</v>
      </c>
      <c r="E35" s="233"/>
      <c r="F35" s="233">
        <v>108.8</v>
      </c>
    </row>
    <row r="36" spans="1:6" x14ac:dyDescent="0.25">
      <c r="A36" s="101" t="s">
        <v>51</v>
      </c>
      <c r="B36" s="242">
        <v>82231</v>
      </c>
      <c r="C36" s="241">
        <v>98.5</v>
      </c>
      <c r="D36" s="241">
        <v>114.5</v>
      </c>
      <c r="E36" s="233">
        <v>97.6</v>
      </c>
      <c r="F36" s="233">
        <v>105.8</v>
      </c>
    </row>
    <row r="37" spans="1:6" x14ac:dyDescent="0.25">
      <c r="A37" s="66" t="s">
        <v>52</v>
      </c>
      <c r="B37" s="47">
        <v>78316</v>
      </c>
      <c r="C37" s="40">
        <v>95.1</v>
      </c>
      <c r="D37" s="40">
        <v>113.4</v>
      </c>
      <c r="E37" s="40">
        <v>93.9</v>
      </c>
      <c r="F37" s="40">
        <v>105.2</v>
      </c>
    </row>
    <row r="38" spans="1:6" x14ac:dyDescent="0.25">
      <c r="A38" s="66" t="s">
        <v>53</v>
      </c>
      <c r="B38" s="185">
        <v>119673</v>
      </c>
      <c r="C38" s="186">
        <v>153</v>
      </c>
      <c r="D38" s="187">
        <v>126.9</v>
      </c>
      <c r="E38" s="332">
        <v>151.30000000000001</v>
      </c>
      <c r="F38" s="188">
        <v>117.8</v>
      </c>
    </row>
    <row r="39" spans="1:6" x14ac:dyDescent="0.25">
      <c r="A39" s="81" t="s">
        <v>133</v>
      </c>
      <c r="B39" s="185">
        <v>93433</v>
      </c>
      <c r="C39" s="186">
        <v>114.7</v>
      </c>
      <c r="D39" s="187">
        <v>119.2</v>
      </c>
      <c r="E39" s="333">
        <v>111.9</v>
      </c>
      <c r="F39" s="188">
        <v>110.5</v>
      </c>
    </row>
    <row r="40" spans="1:6" x14ac:dyDescent="0.25">
      <c r="A40" s="217" t="s">
        <v>54</v>
      </c>
      <c r="B40" s="218">
        <v>83417</v>
      </c>
      <c r="C40" s="219"/>
      <c r="D40" s="220">
        <v>117.2</v>
      </c>
      <c r="E40" s="334"/>
      <c r="F40" s="221">
        <v>109.3</v>
      </c>
    </row>
  </sheetData>
  <mergeCells count="7">
    <mergeCell ref="A1:F1"/>
    <mergeCell ref="A3:F3"/>
    <mergeCell ref="A5:F5"/>
    <mergeCell ref="A7:A8"/>
    <mergeCell ref="B7:B8"/>
    <mergeCell ref="C7:D7"/>
    <mergeCell ref="E7:F7"/>
  </mergeCells>
  <pageMargins left="0.7" right="0.7" top="0.75" bottom="0.75" header="0.3" footer="0.3"/>
  <pageSetup paperSize="9" scale="97" fitToHeight="0" orientation="portrait" verticalDpi="0"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8"/>
  <sheetViews>
    <sheetView zoomScale="80" zoomScaleNormal="80" zoomScalePageLayoutView="80" workbookViewId="0">
      <selection activeCell="D6" sqref="D6"/>
    </sheetView>
  </sheetViews>
  <sheetFormatPr defaultRowHeight="13.2" x14ac:dyDescent="0.25"/>
  <cols>
    <col min="1" max="1" width="36" customWidth="1"/>
    <col min="2" max="2" width="13" style="339" customWidth="1"/>
    <col min="3" max="6" width="13" customWidth="1"/>
    <col min="7" max="7" width="14.6640625" customWidth="1"/>
  </cols>
  <sheetData>
    <row r="1" spans="1:7" ht="35.4" customHeight="1" x14ac:dyDescent="0.25">
      <c r="A1" s="676" t="s">
        <v>615</v>
      </c>
      <c r="B1" s="676"/>
      <c r="C1" s="676"/>
      <c r="D1" s="676"/>
      <c r="E1" s="676"/>
      <c r="F1" s="676"/>
      <c r="G1" s="676"/>
    </row>
    <row r="2" spans="1:7" ht="13.8" x14ac:dyDescent="0.25">
      <c r="A2" s="110"/>
    </row>
    <row r="3" spans="1:7" ht="13.2" customHeight="1" x14ac:dyDescent="0.25">
      <c r="A3" s="678"/>
      <c r="B3" s="680" t="s">
        <v>622</v>
      </c>
      <c r="C3" s="727"/>
      <c r="D3" s="728"/>
      <c r="E3" s="680" t="s">
        <v>623</v>
      </c>
      <c r="F3" s="727"/>
      <c r="G3" s="728"/>
    </row>
    <row r="4" spans="1:7" x14ac:dyDescent="0.25">
      <c r="A4" s="735"/>
      <c r="B4" s="687" t="s">
        <v>239</v>
      </c>
      <c r="C4" s="666" t="s">
        <v>240</v>
      </c>
      <c r="D4" s="667"/>
      <c r="E4" s="687" t="s">
        <v>239</v>
      </c>
      <c r="F4" s="666" t="s">
        <v>240</v>
      </c>
      <c r="G4" s="667"/>
    </row>
    <row r="5" spans="1:7" ht="79.2" x14ac:dyDescent="0.25">
      <c r="A5" s="736"/>
      <c r="B5" s="685"/>
      <c r="C5" s="422" t="s">
        <v>173</v>
      </c>
      <c r="D5" s="437" t="s">
        <v>523</v>
      </c>
      <c r="E5" s="685"/>
      <c r="F5" s="422" t="s">
        <v>236</v>
      </c>
      <c r="G5" s="437" t="s">
        <v>516</v>
      </c>
    </row>
    <row r="6" spans="1:7" x14ac:dyDescent="0.25">
      <c r="A6" s="142" t="s">
        <v>138</v>
      </c>
      <c r="B6" s="533">
        <v>93419</v>
      </c>
      <c r="C6" s="534">
        <v>96.5</v>
      </c>
      <c r="D6" s="626">
        <v>113.2</v>
      </c>
      <c r="E6" s="627">
        <v>90213</v>
      </c>
      <c r="F6" s="540">
        <v>111.8</v>
      </c>
      <c r="G6" s="534">
        <v>100</v>
      </c>
    </row>
    <row r="7" spans="1:7" ht="26.4" x14ac:dyDescent="0.25">
      <c r="A7" s="37" t="s">
        <v>225</v>
      </c>
      <c r="B7" s="535"/>
      <c r="C7" s="511"/>
      <c r="D7" s="628"/>
      <c r="E7" s="629"/>
      <c r="F7" s="541"/>
      <c r="G7" s="511"/>
    </row>
    <row r="8" spans="1:7" ht="26.4" x14ac:dyDescent="0.25">
      <c r="A8" s="194" t="s">
        <v>226</v>
      </c>
      <c r="B8" s="535">
        <v>68840</v>
      </c>
      <c r="C8" s="511">
        <v>99.3</v>
      </c>
      <c r="D8" s="628">
        <v>117.3</v>
      </c>
      <c r="E8" s="629">
        <v>62120</v>
      </c>
      <c r="F8" s="541">
        <v>123</v>
      </c>
      <c r="G8" s="511">
        <v>68.900000000000006</v>
      </c>
    </row>
    <row r="9" spans="1:7" ht="52.8" x14ac:dyDescent="0.25">
      <c r="A9" s="46" t="s">
        <v>241</v>
      </c>
      <c r="B9" s="535">
        <v>66241</v>
      </c>
      <c r="C9" s="511">
        <v>95.7</v>
      </c>
      <c r="D9" s="628">
        <v>116.5</v>
      </c>
      <c r="E9" s="629">
        <v>62615</v>
      </c>
      <c r="F9" s="541">
        <v>123.1</v>
      </c>
      <c r="G9" s="511">
        <v>69.400000000000006</v>
      </c>
    </row>
    <row r="10" spans="1:7" x14ac:dyDescent="0.25">
      <c r="A10" s="37" t="s">
        <v>242</v>
      </c>
      <c r="B10" s="535">
        <v>85991</v>
      </c>
      <c r="C10" s="511">
        <v>120.3</v>
      </c>
      <c r="D10" s="628">
        <v>123.6</v>
      </c>
      <c r="E10" s="629">
        <v>58811</v>
      </c>
      <c r="F10" s="541">
        <v>124.2</v>
      </c>
      <c r="G10" s="511">
        <v>65.2</v>
      </c>
    </row>
    <row r="11" spans="1:7" x14ac:dyDescent="0.25">
      <c r="A11" s="37" t="s">
        <v>243</v>
      </c>
      <c r="B11" s="535">
        <v>64069</v>
      </c>
      <c r="C11" s="511">
        <v>109.1</v>
      </c>
      <c r="D11" s="628">
        <v>97.1</v>
      </c>
      <c r="E11" s="629">
        <v>63408</v>
      </c>
      <c r="F11" s="541">
        <v>111.7</v>
      </c>
      <c r="G11" s="511">
        <v>70.3</v>
      </c>
    </row>
    <row r="12" spans="1:7" x14ac:dyDescent="0.25">
      <c r="A12" s="26" t="s">
        <v>210</v>
      </c>
      <c r="B12" s="535">
        <v>188012</v>
      </c>
      <c r="C12" s="511">
        <v>101.1</v>
      </c>
      <c r="D12" s="628">
        <v>103.7</v>
      </c>
      <c r="E12" s="629">
        <v>198224</v>
      </c>
      <c r="F12" s="541">
        <v>98</v>
      </c>
      <c r="G12" s="511" t="s">
        <v>489</v>
      </c>
    </row>
    <row r="13" spans="1:7" x14ac:dyDescent="0.25">
      <c r="A13" s="65" t="s">
        <v>357</v>
      </c>
      <c r="B13" s="535">
        <v>201682</v>
      </c>
      <c r="C13" s="511">
        <v>99.7</v>
      </c>
      <c r="D13" s="628">
        <v>105.9</v>
      </c>
      <c r="E13" s="629">
        <v>213312</v>
      </c>
      <c r="F13" s="541">
        <v>96.1</v>
      </c>
      <c r="G13" s="511" t="s">
        <v>669</v>
      </c>
    </row>
    <row r="14" spans="1:7" ht="26.4" x14ac:dyDescent="0.25">
      <c r="A14" s="65" t="s">
        <v>58</v>
      </c>
      <c r="B14" s="535">
        <v>183222</v>
      </c>
      <c r="C14" s="511">
        <v>103.2</v>
      </c>
      <c r="D14" s="628">
        <v>102.9</v>
      </c>
      <c r="E14" s="629">
        <v>191502</v>
      </c>
      <c r="F14" s="541">
        <v>101.3</v>
      </c>
      <c r="G14" s="511" t="s">
        <v>444</v>
      </c>
    </row>
    <row r="15" spans="1:7" x14ac:dyDescent="0.25">
      <c r="A15" s="26" t="s">
        <v>211</v>
      </c>
      <c r="B15" s="535">
        <v>115631</v>
      </c>
      <c r="C15" s="511">
        <v>119</v>
      </c>
      <c r="D15" s="628">
        <v>117.1</v>
      </c>
      <c r="E15" s="629">
        <v>101179</v>
      </c>
      <c r="F15" s="541">
        <v>113</v>
      </c>
      <c r="G15" s="511">
        <v>112.2</v>
      </c>
    </row>
    <row r="16" spans="1:7" x14ac:dyDescent="0.25">
      <c r="A16" s="37" t="s">
        <v>60</v>
      </c>
      <c r="B16" s="535">
        <v>63828</v>
      </c>
      <c r="C16" s="511">
        <v>99.8</v>
      </c>
      <c r="D16" s="628">
        <v>122.9</v>
      </c>
      <c r="E16" s="629">
        <v>61502</v>
      </c>
      <c r="F16" s="541">
        <v>123.6</v>
      </c>
      <c r="G16" s="511">
        <v>68.2</v>
      </c>
    </row>
    <row r="17" spans="1:7" x14ac:dyDescent="0.25">
      <c r="A17" s="37" t="s">
        <v>61</v>
      </c>
      <c r="B17" s="535">
        <v>68074</v>
      </c>
      <c r="C17" s="511">
        <v>91.9</v>
      </c>
      <c r="D17" s="628">
        <v>120.7</v>
      </c>
      <c r="E17" s="629">
        <v>66251</v>
      </c>
      <c r="F17" s="541">
        <v>123.6</v>
      </c>
      <c r="G17" s="511">
        <v>73.400000000000006</v>
      </c>
    </row>
    <row r="18" spans="1:7" x14ac:dyDescent="0.25">
      <c r="A18" s="37" t="s">
        <v>76</v>
      </c>
      <c r="B18" s="535">
        <v>19310</v>
      </c>
      <c r="C18" s="511">
        <v>99.7</v>
      </c>
      <c r="D18" s="628">
        <v>97</v>
      </c>
      <c r="E18" s="629">
        <v>18065</v>
      </c>
      <c r="F18" s="541">
        <v>81</v>
      </c>
      <c r="G18" s="511">
        <v>20</v>
      </c>
    </row>
    <row r="19" spans="1:7" ht="66" x14ac:dyDescent="0.25">
      <c r="A19" s="195" t="s">
        <v>62</v>
      </c>
      <c r="B19" s="535">
        <v>42397</v>
      </c>
      <c r="C19" s="511">
        <v>106</v>
      </c>
      <c r="D19" s="628">
        <v>94.9</v>
      </c>
      <c r="E19" s="629">
        <v>50193</v>
      </c>
      <c r="F19" s="541">
        <v>112.5</v>
      </c>
      <c r="G19" s="511">
        <v>55.6</v>
      </c>
    </row>
    <row r="20" spans="1:7" ht="26.4" x14ac:dyDescent="0.25">
      <c r="A20" s="37" t="s">
        <v>63</v>
      </c>
      <c r="B20" s="535">
        <v>91669</v>
      </c>
      <c r="C20" s="511">
        <v>95.2</v>
      </c>
      <c r="D20" s="628">
        <v>119.7</v>
      </c>
      <c r="E20" s="629">
        <v>93403</v>
      </c>
      <c r="F20" s="541">
        <v>115.2</v>
      </c>
      <c r="G20" s="511">
        <v>103.5</v>
      </c>
    </row>
    <row r="21" spans="1:7" ht="24.6" customHeight="1" x14ac:dyDescent="0.25">
      <c r="A21" s="37" t="s">
        <v>64</v>
      </c>
      <c r="B21" s="535">
        <v>39528</v>
      </c>
      <c r="C21" s="511">
        <v>105.1</v>
      </c>
      <c r="D21" s="628">
        <v>109.4</v>
      </c>
      <c r="E21" s="629">
        <v>36061</v>
      </c>
      <c r="F21" s="541">
        <v>111</v>
      </c>
      <c r="G21" s="511">
        <v>40</v>
      </c>
    </row>
    <row r="22" spans="1:7" ht="26.4" x14ac:dyDescent="0.25">
      <c r="A22" s="37" t="s">
        <v>65</v>
      </c>
      <c r="B22" s="535">
        <v>133370</v>
      </c>
      <c r="C22" s="511">
        <v>97.6</v>
      </c>
      <c r="D22" s="628">
        <v>123.8</v>
      </c>
      <c r="E22" s="629">
        <v>129408</v>
      </c>
      <c r="F22" s="541">
        <v>116.5</v>
      </c>
      <c r="G22" s="511">
        <v>143.4</v>
      </c>
    </row>
    <row r="23" spans="1:7" ht="26.4" x14ac:dyDescent="0.25">
      <c r="A23" s="37" t="s">
        <v>66</v>
      </c>
      <c r="B23" s="535">
        <v>353959</v>
      </c>
      <c r="C23" s="511">
        <v>182.9</v>
      </c>
      <c r="D23" s="628">
        <v>138.69999999999999</v>
      </c>
      <c r="E23" s="629">
        <v>221075</v>
      </c>
      <c r="F23" s="541">
        <v>116</v>
      </c>
      <c r="G23" s="511" t="s">
        <v>670</v>
      </c>
    </row>
    <row r="24" spans="1:7" ht="42.6" customHeight="1" x14ac:dyDescent="0.25">
      <c r="A24" s="166" t="s">
        <v>435</v>
      </c>
      <c r="B24" s="535">
        <v>77337</v>
      </c>
      <c r="C24" s="511">
        <v>112.3</v>
      </c>
      <c r="D24" s="628">
        <v>103.1</v>
      </c>
      <c r="E24" s="629">
        <v>71289</v>
      </c>
      <c r="F24" s="541">
        <v>112.3</v>
      </c>
      <c r="G24" s="511">
        <v>79</v>
      </c>
    </row>
    <row r="25" spans="1:7" s="184" customFormat="1" ht="26.4" x14ac:dyDescent="0.25">
      <c r="A25" s="195" t="s">
        <v>67</v>
      </c>
      <c r="B25" s="535">
        <v>81925</v>
      </c>
      <c r="C25" s="537">
        <v>106.3</v>
      </c>
      <c r="D25" s="538">
        <v>131</v>
      </c>
      <c r="E25" s="630">
        <v>77636</v>
      </c>
      <c r="F25" s="542">
        <v>128.19999999999999</v>
      </c>
      <c r="G25" s="511">
        <v>86.1</v>
      </c>
    </row>
    <row r="26" spans="1:7" ht="39.6" x14ac:dyDescent="0.25">
      <c r="A26" s="37" t="s">
        <v>68</v>
      </c>
      <c r="B26" s="535">
        <v>95443</v>
      </c>
      <c r="C26" s="511">
        <v>108.7</v>
      </c>
      <c r="D26" s="628">
        <v>117.2</v>
      </c>
      <c r="E26" s="629">
        <v>85516</v>
      </c>
      <c r="F26" s="541">
        <v>116.2</v>
      </c>
      <c r="G26" s="537">
        <v>94.8</v>
      </c>
    </row>
    <row r="27" spans="1:7" x14ac:dyDescent="0.25">
      <c r="A27" s="37" t="s">
        <v>79</v>
      </c>
      <c r="B27" s="535">
        <v>136170</v>
      </c>
      <c r="C27" s="511">
        <v>113.2</v>
      </c>
      <c r="D27" s="628">
        <v>76.099999999999994</v>
      </c>
      <c r="E27" s="629">
        <v>115902</v>
      </c>
      <c r="F27" s="541">
        <v>110.2</v>
      </c>
      <c r="G27" s="511">
        <v>128.5</v>
      </c>
    </row>
    <row r="28" spans="1:7" ht="39.6" x14ac:dyDescent="0.25">
      <c r="A28" s="37" t="s">
        <v>69</v>
      </c>
      <c r="B28" s="535">
        <v>80062</v>
      </c>
      <c r="C28" s="511">
        <v>102.8</v>
      </c>
      <c r="D28" s="628">
        <v>101.2</v>
      </c>
      <c r="E28" s="629">
        <v>81245</v>
      </c>
      <c r="F28" s="541">
        <v>103.4</v>
      </c>
      <c r="G28" s="511">
        <v>90.1</v>
      </c>
    </row>
    <row r="29" spans="1:7" ht="26.4" x14ac:dyDescent="0.25">
      <c r="A29" s="37" t="s">
        <v>70</v>
      </c>
      <c r="B29" s="535">
        <v>120529</v>
      </c>
      <c r="C29" s="511">
        <v>118.9</v>
      </c>
      <c r="D29" s="628">
        <v>120.2</v>
      </c>
      <c r="E29" s="629">
        <v>107475</v>
      </c>
      <c r="F29" s="541">
        <v>115.3</v>
      </c>
      <c r="G29" s="511">
        <v>119.1</v>
      </c>
    </row>
    <row r="30" spans="1:7" ht="26.4" x14ac:dyDescent="0.25">
      <c r="A30" s="37" t="s">
        <v>80</v>
      </c>
      <c r="B30" s="535">
        <v>114726</v>
      </c>
      <c r="C30" s="511">
        <v>105.6</v>
      </c>
      <c r="D30" s="628">
        <v>108.6</v>
      </c>
      <c r="E30" s="629">
        <v>105511</v>
      </c>
      <c r="F30" s="541">
        <v>102</v>
      </c>
      <c r="G30" s="511">
        <v>117</v>
      </c>
    </row>
    <row r="31" spans="1:7" ht="39.6" x14ac:dyDescent="0.25">
      <c r="A31" s="37" t="s">
        <v>71</v>
      </c>
      <c r="B31" s="535">
        <v>157672</v>
      </c>
      <c r="C31" s="511">
        <v>106.5</v>
      </c>
      <c r="D31" s="628">
        <v>111.4</v>
      </c>
      <c r="E31" s="629">
        <v>166127</v>
      </c>
      <c r="F31" s="541">
        <v>103</v>
      </c>
      <c r="G31" s="511">
        <v>184.1</v>
      </c>
    </row>
    <row r="32" spans="1:7" ht="26.4" x14ac:dyDescent="0.25">
      <c r="A32" s="37" t="s">
        <v>81</v>
      </c>
      <c r="B32" s="535">
        <v>53945</v>
      </c>
      <c r="C32" s="511">
        <v>88</v>
      </c>
      <c r="D32" s="628">
        <v>86.9</v>
      </c>
      <c r="E32" s="629">
        <v>67037</v>
      </c>
      <c r="F32" s="541">
        <v>115.3</v>
      </c>
      <c r="G32" s="511">
        <v>74.3</v>
      </c>
    </row>
    <row r="33" spans="1:7" ht="26.4" x14ac:dyDescent="0.25">
      <c r="A33" s="37" t="s">
        <v>82</v>
      </c>
      <c r="B33" s="535">
        <v>78904</v>
      </c>
      <c r="C33" s="511">
        <v>116.3</v>
      </c>
      <c r="D33" s="628">
        <v>108.9</v>
      </c>
      <c r="E33" s="629">
        <v>65526</v>
      </c>
      <c r="F33" s="541">
        <v>113.4</v>
      </c>
      <c r="G33" s="511">
        <v>72.599999999999994</v>
      </c>
    </row>
    <row r="34" spans="1:7" x14ac:dyDescent="0.25">
      <c r="A34" s="37" t="s">
        <v>72</v>
      </c>
      <c r="B34" s="535">
        <v>27607</v>
      </c>
      <c r="C34" s="511">
        <v>107.7</v>
      </c>
      <c r="D34" s="628">
        <v>92.8</v>
      </c>
      <c r="E34" s="629">
        <v>27973</v>
      </c>
      <c r="F34" s="541">
        <v>114.5</v>
      </c>
      <c r="G34" s="511">
        <v>31</v>
      </c>
    </row>
    <row r="35" spans="1:7" ht="26.4" x14ac:dyDescent="0.25">
      <c r="A35" s="37" t="s">
        <v>73</v>
      </c>
      <c r="B35" s="535">
        <v>104904</v>
      </c>
      <c r="C35" s="511">
        <v>109.2</v>
      </c>
      <c r="D35" s="628">
        <v>114</v>
      </c>
      <c r="E35" s="629">
        <v>98264</v>
      </c>
      <c r="F35" s="541">
        <v>113.7</v>
      </c>
      <c r="G35" s="511">
        <v>108.9</v>
      </c>
    </row>
    <row r="36" spans="1:7" ht="39.6" x14ac:dyDescent="0.25">
      <c r="A36" s="26" t="s">
        <v>212</v>
      </c>
      <c r="B36" s="535">
        <v>107882</v>
      </c>
      <c r="C36" s="511">
        <v>94.3</v>
      </c>
      <c r="D36" s="628">
        <v>122</v>
      </c>
      <c r="E36" s="629">
        <v>97938</v>
      </c>
      <c r="F36" s="541">
        <v>118</v>
      </c>
      <c r="G36" s="511">
        <v>108.6</v>
      </c>
    </row>
    <row r="37" spans="1:7" ht="52.8" x14ac:dyDescent="0.25">
      <c r="A37" s="26" t="s">
        <v>213</v>
      </c>
      <c r="B37" s="535">
        <v>83807</v>
      </c>
      <c r="C37" s="511">
        <v>112.8</v>
      </c>
      <c r="D37" s="628">
        <v>119.7</v>
      </c>
      <c r="E37" s="629">
        <v>77616</v>
      </c>
      <c r="F37" s="541">
        <v>116.4</v>
      </c>
      <c r="G37" s="511">
        <v>86</v>
      </c>
    </row>
    <row r="38" spans="1:7" x14ac:dyDescent="0.25">
      <c r="A38" s="26" t="s">
        <v>227</v>
      </c>
      <c r="B38" s="535">
        <v>102003</v>
      </c>
      <c r="C38" s="511">
        <v>111.4</v>
      </c>
      <c r="D38" s="628">
        <v>116.5</v>
      </c>
      <c r="E38" s="629">
        <v>87907</v>
      </c>
      <c r="F38" s="541">
        <v>115.4</v>
      </c>
      <c r="G38" s="511">
        <v>97.4</v>
      </c>
    </row>
    <row r="39" spans="1:7" ht="39.6" x14ac:dyDescent="0.25">
      <c r="A39" s="26" t="s">
        <v>228</v>
      </c>
      <c r="B39" s="535">
        <v>64920</v>
      </c>
      <c r="C39" s="511">
        <v>102.6</v>
      </c>
      <c r="D39" s="628">
        <v>114.4</v>
      </c>
      <c r="E39" s="629">
        <v>62871</v>
      </c>
      <c r="F39" s="541">
        <v>113.3</v>
      </c>
      <c r="G39" s="511">
        <v>69.7</v>
      </c>
    </row>
    <row r="40" spans="1:7" ht="39.6" x14ac:dyDescent="0.25">
      <c r="A40" s="37" t="s">
        <v>244</v>
      </c>
      <c r="B40" s="535">
        <v>67042</v>
      </c>
      <c r="C40" s="511">
        <v>106.2</v>
      </c>
      <c r="D40" s="628">
        <v>121.4</v>
      </c>
      <c r="E40" s="629">
        <v>62624</v>
      </c>
      <c r="F40" s="541">
        <v>115.8</v>
      </c>
      <c r="G40" s="511">
        <v>69.400000000000006</v>
      </c>
    </row>
    <row r="41" spans="1:7" ht="39.6" x14ac:dyDescent="0.25">
      <c r="A41" s="37" t="s">
        <v>245</v>
      </c>
      <c r="B41" s="535">
        <v>61172</v>
      </c>
      <c r="C41" s="511">
        <v>99.7</v>
      </c>
      <c r="D41" s="628">
        <v>113.2</v>
      </c>
      <c r="E41" s="629">
        <v>60946</v>
      </c>
      <c r="F41" s="541">
        <v>114.2</v>
      </c>
      <c r="G41" s="511">
        <v>67.599999999999994</v>
      </c>
    </row>
    <row r="42" spans="1:7" x14ac:dyDescent="0.25">
      <c r="A42" s="26" t="s">
        <v>229</v>
      </c>
      <c r="B42" s="535">
        <v>108292</v>
      </c>
      <c r="C42" s="511">
        <v>106.4</v>
      </c>
      <c r="D42" s="628">
        <v>115.7</v>
      </c>
      <c r="E42" s="629">
        <v>104488</v>
      </c>
      <c r="F42" s="541">
        <v>118.1</v>
      </c>
      <c r="G42" s="511">
        <v>115.8</v>
      </c>
    </row>
    <row r="43" spans="1:7" ht="26.4" x14ac:dyDescent="0.25">
      <c r="A43" s="37" t="s">
        <v>246</v>
      </c>
      <c r="B43" s="535">
        <v>107067</v>
      </c>
      <c r="C43" s="511">
        <v>101.1</v>
      </c>
      <c r="D43" s="628">
        <v>119.2</v>
      </c>
      <c r="E43" s="629">
        <v>109702</v>
      </c>
      <c r="F43" s="541">
        <v>120.2</v>
      </c>
      <c r="G43" s="511">
        <v>121.6</v>
      </c>
    </row>
    <row r="44" spans="1:7" x14ac:dyDescent="0.25">
      <c r="A44" s="37" t="s">
        <v>247</v>
      </c>
      <c r="B44" s="535">
        <v>111309</v>
      </c>
      <c r="C44" s="511">
        <v>124.2</v>
      </c>
      <c r="D44" s="628">
        <v>116.5</v>
      </c>
      <c r="E44" s="629">
        <v>69725</v>
      </c>
      <c r="F44" s="541">
        <v>119.6</v>
      </c>
      <c r="G44" s="511">
        <v>77.3</v>
      </c>
    </row>
    <row r="45" spans="1:7" ht="26.4" x14ac:dyDescent="0.25">
      <c r="A45" s="37" t="s">
        <v>248</v>
      </c>
      <c r="B45" s="535">
        <v>182455</v>
      </c>
      <c r="C45" s="511">
        <v>118.8</v>
      </c>
      <c r="D45" s="628">
        <v>109.6</v>
      </c>
      <c r="E45" s="629">
        <v>174515</v>
      </c>
      <c r="F45" s="541">
        <v>113.3</v>
      </c>
      <c r="G45" s="511">
        <v>193.4</v>
      </c>
    </row>
    <row r="46" spans="1:7" ht="39.6" x14ac:dyDescent="0.25">
      <c r="A46" s="37" t="s">
        <v>249</v>
      </c>
      <c r="B46" s="535">
        <v>105566</v>
      </c>
      <c r="C46" s="511">
        <v>111.7</v>
      </c>
      <c r="D46" s="628">
        <v>109.5</v>
      </c>
      <c r="E46" s="629">
        <v>94193</v>
      </c>
      <c r="F46" s="541">
        <v>113.1</v>
      </c>
      <c r="G46" s="511">
        <v>104.4</v>
      </c>
    </row>
    <row r="47" spans="1:7" ht="26.4" x14ac:dyDescent="0.25">
      <c r="A47" s="37" t="s">
        <v>250</v>
      </c>
      <c r="B47" s="535">
        <v>47177</v>
      </c>
      <c r="C47" s="511">
        <v>106.4</v>
      </c>
      <c r="D47" s="628">
        <v>106.7</v>
      </c>
      <c r="E47" s="629">
        <v>45210</v>
      </c>
      <c r="F47" s="541">
        <v>111.7</v>
      </c>
      <c r="G47" s="511">
        <v>50.1</v>
      </c>
    </row>
    <row r="48" spans="1:7" ht="26.4" x14ac:dyDescent="0.25">
      <c r="A48" s="26" t="s">
        <v>230</v>
      </c>
      <c r="B48" s="535">
        <v>46794</v>
      </c>
      <c r="C48" s="511">
        <v>103.2</v>
      </c>
      <c r="D48" s="628">
        <v>117.2</v>
      </c>
      <c r="E48" s="629">
        <v>47298</v>
      </c>
      <c r="F48" s="541">
        <v>117.3</v>
      </c>
      <c r="G48" s="511">
        <v>52.4</v>
      </c>
    </row>
    <row r="49" spans="1:7" ht="26.4" x14ac:dyDescent="0.25">
      <c r="A49" s="26" t="s">
        <v>231</v>
      </c>
      <c r="B49" s="535">
        <v>110151</v>
      </c>
      <c r="C49" s="511">
        <v>98</v>
      </c>
      <c r="D49" s="628">
        <v>114.3</v>
      </c>
      <c r="E49" s="629">
        <v>107316</v>
      </c>
      <c r="F49" s="541">
        <v>114.8</v>
      </c>
      <c r="G49" s="511">
        <v>119</v>
      </c>
    </row>
    <row r="50" spans="1:7" ht="26.4" x14ac:dyDescent="0.25">
      <c r="A50" s="26" t="s">
        <v>251</v>
      </c>
      <c r="B50" s="535">
        <v>127874</v>
      </c>
      <c r="C50" s="511">
        <v>113.6</v>
      </c>
      <c r="D50" s="628">
        <v>108.5</v>
      </c>
      <c r="E50" s="629">
        <v>118030</v>
      </c>
      <c r="F50" s="541">
        <v>109.2</v>
      </c>
      <c r="G50" s="511">
        <v>130.80000000000001</v>
      </c>
    </row>
    <row r="51" spans="1:7" ht="26.4" x14ac:dyDescent="0.25">
      <c r="A51" s="26" t="s">
        <v>232</v>
      </c>
      <c r="B51" s="535">
        <v>66732</v>
      </c>
      <c r="C51" s="511">
        <v>107.4</v>
      </c>
      <c r="D51" s="628">
        <v>115.8</v>
      </c>
      <c r="E51" s="629">
        <v>61285</v>
      </c>
      <c r="F51" s="541">
        <v>114.8</v>
      </c>
      <c r="G51" s="511">
        <v>67.900000000000006</v>
      </c>
    </row>
    <row r="52" spans="1:7" ht="26.4" x14ac:dyDescent="0.25">
      <c r="A52" s="26" t="s">
        <v>233</v>
      </c>
      <c r="B52" s="535">
        <v>147504</v>
      </c>
      <c r="C52" s="511">
        <v>95</v>
      </c>
      <c r="D52" s="628">
        <v>117.6</v>
      </c>
      <c r="E52" s="629">
        <v>138322</v>
      </c>
      <c r="F52" s="541">
        <v>102.1</v>
      </c>
      <c r="G52" s="511">
        <v>153.30000000000001</v>
      </c>
    </row>
    <row r="53" spans="1:7" ht="20.399999999999999" customHeight="1" x14ac:dyDescent="0.25">
      <c r="A53" s="37" t="s">
        <v>252</v>
      </c>
      <c r="B53" s="535">
        <v>165265</v>
      </c>
      <c r="C53" s="511">
        <v>91.6</v>
      </c>
      <c r="D53" s="628">
        <v>110.5</v>
      </c>
      <c r="E53" s="629">
        <v>158741</v>
      </c>
      <c r="F53" s="541">
        <v>94.2</v>
      </c>
      <c r="G53" s="511">
        <v>176</v>
      </c>
    </row>
    <row r="54" spans="1:7" ht="39.6" x14ac:dyDescent="0.25">
      <c r="A54" s="26" t="s">
        <v>237</v>
      </c>
      <c r="B54" s="535">
        <v>55953</v>
      </c>
      <c r="C54" s="511">
        <v>99.8</v>
      </c>
      <c r="D54" s="628">
        <v>112.7</v>
      </c>
      <c r="E54" s="629">
        <v>54240</v>
      </c>
      <c r="F54" s="541">
        <v>118.3</v>
      </c>
      <c r="G54" s="511">
        <v>60.1</v>
      </c>
    </row>
    <row r="55" spans="1:7" ht="39.6" x14ac:dyDescent="0.25">
      <c r="A55" s="26" t="s">
        <v>253</v>
      </c>
      <c r="B55" s="535">
        <v>89828</v>
      </c>
      <c r="C55" s="511">
        <v>91.2</v>
      </c>
      <c r="D55" s="628">
        <v>115.3</v>
      </c>
      <c r="E55" s="629">
        <v>81066</v>
      </c>
      <c r="F55" s="541">
        <v>111</v>
      </c>
      <c r="G55" s="511">
        <v>89.9</v>
      </c>
    </row>
    <row r="56" spans="1:7" x14ac:dyDescent="0.25">
      <c r="A56" s="26" t="s">
        <v>238</v>
      </c>
      <c r="B56" s="535">
        <v>57107</v>
      </c>
      <c r="C56" s="511">
        <v>52.4</v>
      </c>
      <c r="D56" s="628">
        <v>112.8</v>
      </c>
      <c r="E56" s="629">
        <v>74689</v>
      </c>
      <c r="F56" s="541">
        <v>116.4</v>
      </c>
      <c r="G56" s="511">
        <v>82.8</v>
      </c>
    </row>
    <row r="57" spans="1:7" ht="26.4" x14ac:dyDescent="0.25">
      <c r="A57" s="26" t="s">
        <v>234</v>
      </c>
      <c r="B57" s="535">
        <v>84097</v>
      </c>
      <c r="C57" s="511">
        <v>96.9</v>
      </c>
      <c r="D57" s="628">
        <v>110.2</v>
      </c>
      <c r="E57" s="629">
        <v>82557</v>
      </c>
      <c r="F57" s="541">
        <v>115.6</v>
      </c>
      <c r="G57" s="511">
        <v>91.5</v>
      </c>
    </row>
    <row r="58" spans="1:7" ht="39.6" x14ac:dyDescent="0.25">
      <c r="A58" s="30" t="s">
        <v>254</v>
      </c>
      <c r="B58" s="539">
        <v>67174</v>
      </c>
      <c r="C58" s="488">
        <v>102.8</v>
      </c>
      <c r="D58" s="631">
        <v>121.8</v>
      </c>
      <c r="E58" s="632">
        <v>68970</v>
      </c>
      <c r="F58" s="543">
        <v>117.6</v>
      </c>
      <c r="G58" s="488">
        <v>76.5</v>
      </c>
    </row>
  </sheetData>
  <mergeCells count="8">
    <mergeCell ref="A1:G1"/>
    <mergeCell ref="A3:A5"/>
    <mergeCell ref="B3:D3"/>
    <mergeCell ref="E3:G3"/>
    <mergeCell ref="B4:B5"/>
    <mergeCell ref="C4:D4"/>
    <mergeCell ref="E4:E5"/>
    <mergeCell ref="F4:G4"/>
  </mergeCells>
  <pageMargins left="0.7" right="0.7" top="0.75" bottom="0.75" header="0.3" footer="0.3"/>
  <pageSetup paperSize="9" scale="77"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7"/>
  <sheetViews>
    <sheetView zoomScale="80" zoomScaleNormal="80" zoomScalePageLayoutView="80" workbookViewId="0">
      <selection activeCell="D5" sqref="D5:E7"/>
    </sheetView>
  </sheetViews>
  <sheetFormatPr defaultColWidth="9" defaultRowHeight="13.2" x14ac:dyDescent="0.25"/>
  <cols>
    <col min="1" max="1" width="18.33203125" customWidth="1"/>
    <col min="2" max="5" width="16.33203125" customWidth="1"/>
    <col min="6" max="7" width="14.33203125" customWidth="1"/>
    <col min="8" max="8" width="16.33203125" customWidth="1"/>
  </cols>
  <sheetData>
    <row r="1" spans="1:9" ht="30" customHeight="1" x14ac:dyDescent="0.25">
      <c r="A1" s="653" t="s">
        <v>352</v>
      </c>
      <c r="B1" s="653"/>
      <c r="C1" s="653"/>
      <c r="D1" s="653"/>
      <c r="E1" s="653"/>
      <c r="F1" s="653"/>
      <c r="G1" s="653"/>
      <c r="H1" s="653"/>
      <c r="I1" s="95"/>
    </row>
    <row r="2" spans="1:9" x14ac:dyDescent="0.25">
      <c r="A2" s="44"/>
      <c r="B2" s="20"/>
      <c r="C2" s="20"/>
      <c r="D2" s="20"/>
      <c r="E2" s="20"/>
      <c r="F2" s="20"/>
      <c r="G2" s="20"/>
      <c r="H2" s="20"/>
    </row>
    <row r="3" spans="1:9" x14ac:dyDescent="0.25">
      <c r="A3" s="695" t="s">
        <v>255</v>
      </c>
      <c r="B3" s="695"/>
      <c r="C3" s="695"/>
      <c r="D3" s="695"/>
      <c r="E3" s="695"/>
      <c r="F3" s="695"/>
      <c r="G3" s="695"/>
      <c r="H3" s="695"/>
    </row>
    <row r="4" spans="1:9" ht="14.4" customHeight="1" x14ac:dyDescent="0.25">
      <c r="A4" s="647"/>
      <c r="B4" s="737" t="s">
        <v>405</v>
      </c>
      <c r="C4" s="731"/>
      <c r="D4" s="666" t="s">
        <v>256</v>
      </c>
      <c r="E4" s="691"/>
      <c r="F4" s="691"/>
      <c r="G4" s="667"/>
      <c r="H4" s="644" t="s">
        <v>400</v>
      </c>
    </row>
    <row r="5" spans="1:9" ht="14.4" customHeight="1" x14ac:dyDescent="0.25">
      <c r="A5" s="657"/>
      <c r="B5" s="738"/>
      <c r="C5" s="739"/>
      <c r="D5" s="737" t="s">
        <v>401</v>
      </c>
      <c r="E5" s="740"/>
      <c r="F5" s="737" t="s">
        <v>402</v>
      </c>
      <c r="G5" s="740"/>
      <c r="H5" s="697"/>
    </row>
    <row r="6" spans="1:9" x14ac:dyDescent="0.25">
      <c r="A6" s="657"/>
      <c r="B6" s="687" t="s">
        <v>29</v>
      </c>
      <c r="C6" s="644" t="s">
        <v>257</v>
      </c>
      <c r="D6" s="741"/>
      <c r="E6" s="742"/>
      <c r="F6" s="745"/>
      <c r="G6" s="746"/>
      <c r="H6" s="697"/>
    </row>
    <row r="7" spans="1:9" x14ac:dyDescent="0.25">
      <c r="A7" s="657"/>
      <c r="B7" s="697"/>
      <c r="C7" s="697"/>
      <c r="D7" s="743"/>
      <c r="E7" s="744"/>
      <c r="F7" s="747"/>
      <c r="G7" s="748"/>
      <c r="H7" s="697"/>
    </row>
    <row r="8" spans="1:9" ht="49.2" customHeight="1" x14ac:dyDescent="0.25">
      <c r="A8" s="648"/>
      <c r="B8" s="685"/>
      <c r="C8" s="685"/>
      <c r="D8" s="421" t="s">
        <v>29</v>
      </c>
      <c r="E8" s="435" t="s">
        <v>257</v>
      </c>
      <c r="F8" s="421" t="s">
        <v>29</v>
      </c>
      <c r="G8" s="435" t="s">
        <v>257</v>
      </c>
      <c r="H8" s="685"/>
    </row>
    <row r="9" spans="1:9" x14ac:dyDescent="0.25">
      <c r="A9" s="118" t="s">
        <v>485</v>
      </c>
      <c r="B9" s="142"/>
      <c r="C9" s="142"/>
      <c r="D9" s="142"/>
      <c r="E9" s="142"/>
      <c r="F9" s="142"/>
      <c r="G9" s="142"/>
      <c r="H9" s="146"/>
    </row>
    <row r="10" spans="1:9" x14ac:dyDescent="0.25">
      <c r="A10" s="18" t="s">
        <v>40</v>
      </c>
      <c r="B10" s="149" t="s">
        <v>341</v>
      </c>
      <c r="C10" s="149" t="s">
        <v>341</v>
      </c>
      <c r="D10" s="149" t="s">
        <v>341</v>
      </c>
      <c r="E10" s="149" t="s">
        <v>341</v>
      </c>
      <c r="F10" s="149" t="s">
        <v>341</v>
      </c>
      <c r="G10" s="149" t="s">
        <v>341</v>
      </c>
      <c r="H10" s="149" t="s">
        <v>341</v>
      </c>
    </row>
    <row r="11" spans="1:9" x14ac:dyDescent="0.25">
      <c r="A11" s="18" t="s">
        <v>41</v>
      </c>
      <c r="B11" s="149" t="s">
        <v>341</v>
      </c>
      <c r="C11" s="149" t="s">
        <v>341</v>
      </c>
      <c r="D11" s="149" t="s">
        <v>341</v>
      </c>
      <c r="E11" s="149" t="s">
        <v>341</v>
      </c>
      <c r="F11" s="149" t="s">
        <v>341</v>
      </c>
      <c r="G11" s="149" t="s">
        <v>341</v>
      </c>
      <c r="H11" s="149" t="s">
        <v>341</v>
      </c>
    </row>
    <row r="12" spans="1:9" x14ac:dyDescent="0.25">
      <c r="A12" s="18" t="s">
        <v>42</v>
      </c>
      <c r="B12" s="149" t="s">
        <v>341</v>
      </c>
      <c r="C12" s="149" t="s">
        <v>341</v>
      </c>
      <c r="D12" s="149" t="s">
        <v>341</v>
      </c>
      <c r="E12" s="149" t="s">
        <v>341</v>
      </c>
      <c r="F12" s="149" t="s">
        <v>341</v>
      </c>
      <c r="G12" s="149" t="s">
        <v>341</v>
      </c>
      <c r="H12" s="149" t="s">
        <v>341</v>
      </c>
    </row>
    <row r="13" spans="1:9" x14ac:dyDescent="0.25">
      <c r="A13" s="18" t="s">
        <v>44</v>
      </c>
      <c r="B13" s="149" t="s">
        <v>341</v>
      </c>
      <c r="C13" s="149" t="s">
        <v>341</v>
      </c>
      <c r="D13" s="149" t="s">
        <v>341</v>
      </c>
      <c r="E13" s="149" t="s">
        <v>341</v>
      </c>
      <c r="F13" s="149" t="s">
        <v>341</v>
      </c>
      <c r="G13" s="149" t="s">
        <v>341</v>
      </c>
      <c r="H13" s="149" t="s">
        <v>341</v>
      </c>
    </row>
    <row r="14" spans="1:9" x14ac:dyDescent="0.25">
      <c r="A14" s="18" t="s">
        <v>45</v>
      </c>
      <c r="B14" s="149" t="s">
        <v>341</v>
      </c>
      <c r="C14" s="149" t="s">
        <v>341</v>
      </c>
      <c r="D14" s="149" t="s">
        <v>341</v>
      </c>
      <c r="E14" s="149" t="s">
        <v>341</v>
      </c>
      <c r="F14" s="149" t="s">
        <v>341</v>
      </c>
      <c r="G14" s="149" t="s">
        <v>341</v>
      </c>
      <c r="H14" s="149" t="s">
        <v>341</v>
      </c>
    </row>
    <row r="15" spans="1:9" x14ac:dyDescent="0.25">
      <c r="A15" s="18" t="s">
        <v>46</v>
      </c>
      <c r="B15" s="149" t="s">
        <v>341</v>
      </c>
      <c r="C15" s="149" t="s">
        <v>341</v>
      </c>
      <c r="D15" s="149" t="s">
        <v>341</v>
      </c>
      <c r="E15" s="149" t="s">
        <v>341</v>
      </c>
      <c r="F15" s="149" t="s">
        <v>341</v>
      </c>
      <c r="G15" s="149" t="s">
        <v>341</v>
      </c>
      <c r="H15" s="149" t="s">
        <v>341</v>
      </c>
    </row>
    <row r="16" spans="1:9" x14ac:dyDescent="0.25">
      <c r="A16" s="18" t="s">
        <v>48</v>
      </c>
      <c r="B16" s="149" t="s">
        <v>341</v>
      </c>
      <c r="C16" s="149" t="s">
        <v>341</v>
      </c>
      <c r="D16" s="149" t="s">
        <v>341</v>
      </c>
      <c r="E16" s="149" t="s">
        <v>341</v>
      </c>
      <c r="F16" s="149" t="s">
        <v>341</v>
      </c>
      <c r="G16" s="149" t="s">
        <v>341</v>
      </c>
      <c r="H16" s="149" t="s">
        <v>341</v>
      </c>
    </row>
    <row r="17" spans="1:8" x14ac:dyDescent="0.25">
      <c r="A17" s="18" t="s">
        <v>26</v>
      </c>
      <c r="B17" s="149" t="s">
        <v>341</v>
      </c>
      <c r="C17" s="149" t="s">
        <v>341</v>
      </c>
      <c r="D17" s="149" t="s">
        <v>341</v>
      </c>
      <c r="E17" s="149" t="s">
        <v>341</v>
      </c>
      <c r="F17" s="149" t="s">
        <v>341</v>
      </c>
      <c r="G17" s="149" t="s">
        <v>341</v>
      </c>
      <c r="H17" s="149" t="s">
        <v>341</v>
      </c>
    </row>
    <row r="18" spans="1:8" x14ac:dyDescent="0.25">
      <c r="A18" s="18" t="s">
        <v>49</v>
      </c>
      <c r="B18" s="149" t="s">
        <v>341</v>
      </c>
      <c r="C18" s="149" t="s">
        <v>341</v>
      </c>
      <c r="D18" s="149" t="s">
        <v>341</v>
      </c>
      <c r="E18" s="149" t="s">
        <v>341</v>
      </c>
      <c r="F18" s="149" t="s">
        <v>341</v>
      </c>
      <c r="G18" s="149" t="s">
        <v>341</v>
      </c>
      <c r="H18" s="149" t="s">
        <v>341</v>
      </c>
    </row>
    <row r="19" spans="1:8" x14ac:dyDescent="0.25">
      <c r="A19" s="128" t="s">
        <v>432</v>
      </c>
      <c r="B19" s="24"/>
      <c r="C19" s="24"/>
      <c r="D19" s="24"/>
      <c r="E19" s="24"/>
      <c r="F19" s="24"/>
      <c r="G19" s="24"/>
      <c r="H19" s="148"/>
    </row>
    <row r="20" spans="1:8" x14ac:dyDescent="0.25">
      <c r="A20" s="18" t="s">
        <v>40</v>
      </c>
      <c r="B20" s="149" t="s">
        <v>341</v>
      </c>
      <c r="C20" s="149" t="s">
        <v>341</v>
      </c>
      <c r="D20" s="149" t="s">
        <v>341</v>
      </c>
      <c r="E20" s="149" t="s">
        <v>341</v>
      </c>
      <c r="F20" s="149" t="s">
        <v>341</v>
      </c>
      <c r="G20" s="149" t="s">
        <v>341</v>
      </c>
      <c r="H20" s="149" t="s">
        <v>341</v>
      </c>
    </row>
    <row r="21" spans="1:8" x14ac:dyDescent="0.25">
      <c r="A21" s="18" t="s">
        <v>41</v>
      </c>
      <c r="B21" s="149" t="s">
        <v>341</v>
      </c>
      <c r="C21" s="149" t="s">
        <v>341</v>
      </c>
      <c r="D21" s="149" t="s">
        <v>341</v>
      </c>
      <c r="E21" s="149" t="s">
        <v>341</v>
      </c>
      <c r="F21" s="149" t="s">
        <v>341</v>
      </c>
      <c r="G21" s="149" t="s">
        <v>341</v>
      </c>
      <c r="H21" s="149" t="s">
        <v>341</v>
      </c>
    </row>
    <row r="22" spans="1:8" x14ac:dyDescent="0.25">
      <c r="A22" s="18" t="s">
        <v>42</v>
      </c>
      <c r="B22" s="147" t="s">
        <v>341</v>
      </c>
      <c r="C22" s="147" t="s">
        <v>341</v>
      </c>
      <c r="D22" s="147" t="s">
        <v>341</v>
      </c>
      <c r="E22" s="147" t="s">
        <v>341</v>
      </c>
      <c r="F22" s="147" t="s">
        <v>341</v>
      </c>
      <c r="G22" s="147" t="s">
        <v>341</v>
      </c>
      <c r="H22" s="147" t="s">
        <v>341</v>
      </c>
    </row>
    <row r="23" spans="1:8" x14ac:dyDescent="0.25">
      <c r="A23" s="18" t="s">
        <v>44</v>
      </c>
      <c r="B23" s="149" t="s">
        <v>341</v>
      </c>
      <c r="C23" s="149" t="s">
        <v>341</v>
      </c>
      <c r="D23" s="149" t="s">
        <v>341</v>
      </c>
      <c r="E23" s="149" t="s">
        <v>341</v>
      </c>
      <c r="F23" s="149" t="s">
        <v>341</v>
      </c>
      <c r="G23" s="149" t="s">
        <v>341</v>
      </c>
      <c r="H23" s="149" t="s">
        <v>341</v>
      </c>
    </row>
    <row r="24" spans="1:8" x14ac:dyDescent="0.25">
      <c r="A24" s="18" t="s">
        <v>45</v>
      </c>
      <c r="B24" s="149" t="s">
        <v>341</v>
      </c>
      <c r="C24" s="149" t="s">
        <v>341</v>
      </c>
      <c r="D24" s="149" t="s">
        <v>341</v>
      </c>
      <c r="E24" s="149" t="s">
        <v>341</v>
      </c>
      <c r="F24" s="149" t="s">
        <v>341</v>
      </c>
      <c r="G24" s="149" t="s">
        <v>341</v>
      </c>
      <c r="H24" s="149" t="s">
        <v>341</v>
      </c>
    </row>
    <row r="25" spans="1:8" x14ac:dyDescent="0.25">
      <c r="A25" s="18" t="s">
        <v>46</v>
      </c>
      <c r="B25" s="147" t="s">
        <v>341</v>
      </c>
      <c r="C25" s="147" t="s">
        <v>341</v>
      </c>
      <c r="D25" s="147" t="s">
        <v>341</v>
      </c>
      <c r="E25" s="147" t="s">
        <v>341</v>
      </c>
      <c r="F25" s="147" t="s">
        <v>341</v>
      </c>
      <c r="G25" s="147" t="s">
        <v>341</v>
      </c>
      <c r="H25" s="147" t="s">
        <v>341</v>
      </c>
    </row>
    <row r="26" spans="1:8" x14ac:dyDescent="0.25">
      <c r="A26" s="18" t="s">
        <v>48</v>
      </c>
      <c r="B26" s="149" t="s">
        <v>341</v>
      </c>
      <c r="C26" s="149" t="s">
        <v>341</v>
      </c>
      <c r="D26" s="149" t="s">
        <v>341</v>
      </c>
      <c r="E26" s="149" t="s">
        <v>341</v>
      </c>
      <c r="F26" s="149" t="s">
        <v>341</v>
      </c>
      <c r="G26" s="149" t="s">
        <v>341</v>
      </c>
      <c r="H26" s="149" t="s">
        <v>341</v>
      </c>
    </row>
    <row r="27" spans="1:8" x14ac:dyDescent="0.25">
      <c r="A27" s="18" t="s">
        <v>26</v>
      </c>
      <c r="B27" s="149" t="s">
        <v>341</v>
      </c>
      <c r="C27" s="149" t="s">
        <v>341</v>
      </c>
      <c r="D27" s="149" t="s">
        <v>341</v>
      </c>
      <c r="E27" s="149" t="s">
        <v>341</v>
      </c>
      <c r="F27" s="149" t="s">
        <v>341</v>
      </c>
      <c r="G27" s="149" t="s">
        <v>341</v>
      </c>
      <c r="H27" s="149" t="s">
        <v>341</v>
      </c>
    </row>
    <row r="28" spans="1:8" x14ac:dyDescent="0.25">
      <c r="A28" s="18" t="s">
        <v>49</v>
      </c>
      <c r="B28" s="147" t="s">
        <v>341</v>
      </c>
      <c r="C28" s="147" t="s">
        <v>341</v>
      </c>
      <c r="D28" s="147" t="s">
        <v>341</v>
      </c>
      <c r="E28" s="147" t="s">
        <v>341</v>
      </c>
      <c r="F28" s="147" t="s">
        <v>341</v>
      </c>
      <c r="G28" s="147" t="s">
        <v>341</v>
      </c>
      <c r="H28" s="147" t="s">
        <v>341</v>
      </c>
    </row>
    <row r="29" spans="1:8" x14ac:dyDescent="0.25">
      <c r="A29" s="18" t="s">
        <v>51</v>
      </c>
      <c r="B29" s="149" t="s">
        <v>341</v>
      </c>
      <c r="C29" s="149" t="s">
        <v>341</v>
      </c>
      <c r="D29" s="149" t="s">
        <v>341</v>
      </c>
      <c r="E29" s="149" t="s">
        <v>341</v>
      </c>
      <c r="F29" s="149" t="s">
        <v>341</v>
      </c>
      <c r="G29" s="149" t="s">
        <v>341</v>
      </c>
      <c r="H29" s="149" t="s">
        <v>341</v>
      </c>
    </row>
    <row r="30" spans="1:8" x14ac:dyDescent="0.25">
      <c r="A30" s="18" t="s">
        <v>52</v>
      </c>
      <c r="B30" s="149" t="s">
        <v>341</v>
      </c>
      <c r="C30" s="149" t="s">
        <v>341</v>
      </c>
      <c r="D30" s="149" t="s">
        <v>341</v>
      </c>
      <c r="E30" s="149" t="s">
        <v>341</v>
      </c>
      <c r="F30" s="149" t="s">
        <v>341</v>
      </c>
      <c r="G30" s="149" t="s">
        <v>341</v>
      </c>
      <c r="H30" s="149" t="s">
        <v>341</v>
      </c>
    </row>
    <row r="31" spans="1:8" x14ac:dyDescent="0.25">
      <c r="A31" s="143" t="s">
        <v>53</v>
      </c>
      <c r="B31" s="150" t="s">
        <v>341</v>
      </c>
      <c r="C31" s="150" t="s">
        <v>341</v>
      </c>
      <c r="D31" s="150" t="s">
        <v>341</v>
      </c>
      <c r="E31" s="150" t="s">
        <v>341</v>
      </c>
      <c r="F31" s="150" t="s">
        <v>341</v>
      </c>
      <c r="G31" s="150" t="s">
        <v>341</v>
      </c>
      <c r="H31" s="150" t="s">
        <v>341</v>
      </c>
    </row>
    <row r="57" ht="20.399999999999999" customHeight="1" x14ac:dyDescent="0.25"/>
  </sheetData>
  <mergeCells count="10">
    <mergeCell ref="B6:B8"/>
    <mergeCell ref="C6:C8"/>
    <mergeCell ref="A1:H1"/>
    <mergeCell ref="A3:H3"/>
    <mergeCell ref="A4:A8"/>
    <mergeCell ref="B4:C5"/>
    <mergeCell ref="D4:G4"/>
    <mergeCell ref="H4:H8"/>
    <mergeCell ref="D5:E7"/>
    <mergeCell ref="F5:G7"/>
  </mergeCells>
  <pageMargins left="0.7" right="0.7" top="0.75" bottom="0.75" header="0.3" footer="0.3"/>
  <pageSetup paperSize="9" scale="69"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rowBreaks count="1" manualBreakCount="1">
    <brk id="35" max="6"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0"/>
  <sheetViews>
    <sheetView zoomScale="80" zoomScaleNormal="80" workbookViewId="0">
      <selection activeCell="D6" sqref="D6"/>
    </sheetView>
  </sheetViews>
  <sheetFormatPr defaultRowHeight="13.2" x14ac:dyDescent="0.25"/>
  <cols>
    <col min="1" max="1" width="42.88671875" customWidth="1"/>
    <col min="2" max="4" width="20.77734375" customWidth="1"/>
    <col min="5" max="6" width="13.33203125" customWidth="1"/>
  </cols>
  <sheetData>
    <row r="1" spans="1:4" ht="18" customHeight="1" x14ac:dyDescent="0.25">
      <c r="A1" s="651" t="s">
        <v>348</v>
      </c>
      <c r="B1" s="651"/>
      <c r="C1" s="651"/>
      <c r="D1" s="651"/>
    </row>
    <row r="3" spans="1:4" ht="27.6" customHeight="1" x14ac:dyDescent="0.25">
      <c r="A3" s="676" t="s">
        <v>422</v>
      </c>
      <c r="B3" s="676"/>
      <c r="C3" s="676"/>
      <c r="D3" s="676"/>
    </row>
    <row r="4" spans="1:4" x14ac:dyDescent="0.25">
      <c r="A4" s="45"/>
      <c r="B4" s="20"/>
      <c r="C4" s="20"/>
    </row>
    <row r="5" spans="1:4" ht="39.6" x14ac:dyDescent="0.25">
      <c r="A5" s="145"/>
      <c r="B5" s="342" t="s">
        <v>622</v>
      </c>
      <c r="C5" s="342" t="s">
        <v>359</v>
      </c>
      <c r="D5" s="342" t="s">
        <v>649</v>
      </c>
    </row>
    <row r="6" spans="1:4" x14ac:dyDescent="0.25">
      <c r="A6" s="142" t="s">
        <v>258</v>
      </c>
      <c r="B6" s="544">
        <v>360.8</v>
      </c>
      <c r="C6" s="545">
        <v>99.8</v>
      </c>
      <c r="D6" s="546">
        <v>357.9</v>
      </c>
    </row>
    <row r="7" spans="1:4" x14ac:dyDescent="0.25">
      <c r="A7" s="37" t="s">
        <v>139</v>
      </c>
      <c r="B7" s="547"/>
      <c r="C7" s="548"/>
      <c r="D7" s="549"/>
    </row>
    <row r="8" spans="1:4" ht="26.4" x14ac:dyDescent="0.25">
      <c r="A8" s="26" t="s">
        <v>259</v>
      </c>
      <c r="B8" s="550">
        <v>343.9</v>
      </c>
      <c r="C8" s="551">
        <v>100</v>
      </c>
      <c r="D8" s="277">
        <v>341.7</v>
      </c>
    </row>
    <row r="9" spans="1:4" x14ac:dyDescent="0.25">
      <c r="A9" s="26" t="s">
        <v>260</v>
      </c>
      <c r="B9" s="550">
        <v>4.2</v>
      </c>
      <c r="C9" s="551">
        <v>91.4</v>
      </c>
      <c r="D9" s="277">
        <v>4.7</v>
      </c>
    </row>
    <row r="10" spans="1:4" ht="26.4" x14ac:dyDescent="0.25">
      <c r="A10" s="111" t="s">
        <v>261</v>
      </c>
      <c r="B10" s="552">
        <v>12.6</v>
      </c>
      <c r="C10" s="553">
        <v>98.5</v>
      </c>
      <c r="D10" s="554">
        <v>11.6</v>
      </c>
    </row>
  </sheetData>
  <mergeCells count="2">
    <mergeCell ref="A3:D3"/>
    <mergeCell ref="A1:D1"/>
  </mergeCells>
  <pageMargins left="0.7" right="0.7" top="0.75" bottom="0.75" header="0.3" footer="0.3"/>
  <pageSetup paperSize="9" scale="84"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colBreaks count="1" manualBreakCount="1">
    <brk id="4" min="2" max="10"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zoomScale="80" zoomScaleNormal="80" workbookViewId="0">
      <selection activeCell="D6" sqref="D6:E6"/>
    </sheetView>
  </sheetViews>
  <sheetFormatPr defaultRowHeight="13.2" x14ac:dyDescent="0.25"/>
  <cols>
    <col min="1" max="1" width="19.6640625" customWidth="1"/>
    <col min="2" max="5" width="17" customWidth="1"/>
  </cols>
  <sheetData>
    <row r="1" spans="1:5" ht="27.6" customHeight="1" x14ac:dyDescent="0.25">
      <c r="A1" s="653" t="s">
        <v>520</v>
      </c>
      <c r="B1" s="653"/>
      <c r="C1" s="653"/>
      <c r="D1" s="653"/>
      <c r="E1" s="653"/>
    </row>
    <row r="2" spans="1:5" x14ac:dyDescent="0.25">
      <c r="A2" s="752" t="s">
        <v>521</v>
      </c>
      <c r="B2" s="752"/>
      <c r="C2" s="752"/>
      <c r="D2" s="752"/>
      <c r="E2" s="752"/>
    </row>
    <row r="3" spans="1:5" x14ac:dyDescent="0.25">
      <c r="A3" s="36"/>
      <c r="B3" s="20"/>
      <c r="C3" s="20"/>
      <c r="D3" s="20"/>
      <c r="E3" s="20"/>
    </row>
    <row r="4" spans="1:5" x14ac:dyDescent="0.25">
      <c r="A4" s="699" t="s">
        <v>262</v>
      </c>
      <c r="B4" s="699"/>
      <c r="C4" s="699"/>
      <c r="D4" s="699"/>
      <c r="E4" s="699"/>
    </row>
    <row r="5" spans="1:5" ht="13.2" customHeight="1" x14ac:dyDescent="0.25">
      <c r="A5" s="678"/>
      <c r="B5" s="750" t="s">
        <v>403</v>
      </c>
      <c r="C5" s="655" t="s">
        <v>263</v>
      </c>
      <c r="D5" s="698"/>
      <c r="E5" s="656"/>
    </row>
    <row r="6" spans="1:5" ht="13.2" customHeight="1" x14ac:dyDescent="0.25">
      <c r="A6" s="749"/>
      <c r="B6" s="751"/>
      <c r="C6" s="644" t="s">
        <v>406</v>
      </c>
      <c r="D6" s="655" t="s">
        <v>144</v>
      </c>
      <c r="E6" s="656"/>
    </row>
    <row r="7" spans="1:5" ht="52.8" x14ac:dyDescent="0.25">
      <c r="A7" s="749"/>
      <c r="B7" s="751"/>
      <c r="C7" s="649"/>
      <c r="D7" s="428" t="s">
        <v>38</v>
      </c>
      <c r="E7" s="151" t="s">
        <v>265</v>
      </c>
    </row>
    <row r="8" spans="1:5" x14ac:dyDescent="0.25">
      <c r="A8" s="121" t="s">
        <v>485</v>
      </c>
      <c r="B8" s="129"/>
      <c r="C8" s="129"/>
      <c r="D8" s="129"/>
      <c r="E8" s="129"/>
    </row>
    <row r="9" spans="1:5" x14ac:dyDescent="0.25">
      <c r="A9" s="140" t="s">
        <v>40</v>
      </c>
      <c r="B9" s="34">
        <v>2.7</v>
      </c>
      <c r="C9" s="34">
        <v>2</v>
      </c>
      <c r="D9" s="34">
        <v>110.4</v>
      </c>
      <c r="E9" s="34">
        <v>86.5</v>
      </c>
    </row>
    <row r="10" spans="1:5" x14ac:dyDescent="0.25">
      <c r="A10" s="63" t="s">
        <v>41</v>
      </c>
      <c r="B10" s="34">
        <v>3.2</v>
      </c>
      <c r="C10" s="34">
        <v>2.2000000000000002</v>
      </c>
      <c r="D10" s="34">
        <v>110.1</v>
      </c>
      <c r="E10" s="34">
        <v>91.7</v>
      </c>
    </row>
    <row r="11" spans="1:5" x14ac:dyDescent="0.25">
      <c r="A11" s="140" t="s">
        <v>42</v>
      </c>
      <c r="B11" s="34">
        <v>3.2</v>
      </c>
      <c r="C11" s="34">
        <v>2.1</v>
      </c>
      <c r="D11" s="34">
        <v>96.8</v>
      </c>
      <c r="E11" s="34">
        <v>91.8</v>
      </c>
    </row>
    <row r="12" spans="1:5" x14ac:dyDescent="0.25">
      <c r="A12" s="140" t="s">
        <v>44</v>
      </c>
      <c r="B12" s="34">
        <v>3.2</v>
      </c>
      <c r="C12" s="34">
        <v>2.1</v>
      </c>
      <c r="D12" s="34">
        <v>99.6</v>
      </c>
      <c r="E12" s="34">
        <v>95.7</v>
      </c>
    </row>
    <row r="13" spans="1:5" x14ac:dyDescent="0.25">
      <c r="A13" s="138" t="s">
        <v>45</v>
      </c>
      <c r="B13" s="34">
        <v>3.5</v>
      </c>
      <c r="C13" s="34">
        <v>2.2000000000000002</v>
      </c>
      <c r="D13" s="34">
        <v>105.2</v>
      </c>
      <c r="E13" s="34">
        <v>108.1</v>
      </c>
    </row>
    <row r="14" spans="1:5" x14ac:dyDescent="0.25">
      <c r="A14" s="140" t="s">
        <v>46</v>
      </c>
      <c r="B14" s="34">
        <v>3.6</v>
      </c>
      <c r="C14" s="34">
        <v>2.2999999999999998</v>
      </c>
      <c r="D14" s="34">
        <v>101.3</v>
      </c>
      <c r="E14" s="34">
        <v>112.9</v>
      </c>
    </row>
    <row r="15" spans="1:5" x14ac:dyDescent="0.25">
      <c r="A15" s="140" t="s">
        <v>48</v>
      </c>
      <c r="B15" s="34">
        <v>3.8</v>
      </c>
      <c r="C15" s="34">
        <v>2.4</v>
      </c>
      <c r="D15" s="34">
        <v>107.8</v>
      </c>
      <c r="E15" s="34">
        <v>115.2</v>
      </c>
    </row>
    <row r="16" spans="1:5" x14ac:dyDescent="0.25">
      <c r="A16" s="140" t="s">
        <v>26</v>
      </c>
      <c r="B16" s="34">
        <v>4</v>
      </c>
      <c r="C16" s="34">
        <v>2.5</v>
      </c>
      <c r="D16" s="34">
        <v>104.1</v>
      </c>
      <c r="E16" s="34">
        <v>122.1</v>
      </c>
    </row>
    <row r="17" spans="1:5" x14ac:dyDescent="0.25">
      <c r="A17" s="120" t="s">
        <v>432</v>
      </c>
      <c r="B17" s="130"/>
      <c r="C17" s="130"/>
      <c r="D17" s="130"/>
      <c r="E17" s="130"/>
    </row>
    <row r="18" spans="1:5" x14ac:dyDescent="0.25">
      <c r="A18" s="140" t="s">
        <v>40</v>
      </c>
      <c r="B18" s="34">
        <v>3.6</v>
      </c>
      <c r="C18" s="34">
        <v>2.2999999999999998</v>
      </c>
      <c r="D18" s="34">
        <v>105</v>
      </c>
      <c r="E18" s="34">
        <v>73.400000000000006</v>
      </c>
    </row>
    <row r="19" spans="1:5" x14ac:dyDescent="0.25">
      <c r="A19" s="63" t="s">
        <v>41</v>
      </c>
      <c r="B19" s="69">
        <v>3.6</v>
      </c>
      <c r="C19" s="69">
        <v>2.4</v>
      </c>
      <c r="D19" s="69">
        <v>103.8</v>
      </c>
      <c r="E19" s="69">
        <v>76.7</v>
      </c>
    </row>
    <row r="20" spans="1:5" x14ac:dyDescent="0.25">
      <c r="A20" s="140" t="s">
        <v>42</v>
      </c>
      <c r="B20" s="69">
        <v>3.4</v>
      </c>
      <c r="C20" s="69">
        <v>2.2999999999999998</v>
      </c>
      <c r="D20" s="69">
        <v>96.8</v>
      </c>
      <c r="E20" s="69">
        <v>76.5</v>
      </c>
    </row>
    <row r="21" spans="1:5" x14ac:dyDescent="0.25">
      <c r="A21" s="140" t="s">
        <v>44</v>
      </c>
      <c r="B21" s="69">
        <v>3.2</v>
      </c>
      <c r="C21" s="69">
        <v>2.2000000000000002</v>
      </c>
      <c r="D21" s="69">
        <v>95.5</v>
      </c>
      <c r="E21" s="69">
        <v>76.5</v>
      </c>
    </row>
    <row r="22" spans="1:5" x14ac:dyDescent="0.25">
      <c r="A22" s="140" t="s">
        <v>45</v>
      </c>
      <c r="B22" s="69">
        <v>3</v>
      </c>
      <c r="C22" s="69">
        <v>2.1</v>
      </c>
      <c r="D22" s="69">
        <v>93.1</v>
      </c>
      <c r="E22" s="69">
        <v>73.099999999999994</v>
      </c>
    </row>
    <row r="23" spans="1:5" x14ac:dyDescent="0.25">
      <c r="A23" s="140" t="s">
        <v>46</v>
      </c>
      <c r="B23" s="69">
        <v>2.9</v>
      </c>
      <c r="C23" s="69">
        <v>2</v>
      </c>
      <c r="D23" s="69">
        <v>97</v>
      </c>
      <c r="E23" s="69">
        <v>74.8</v>
      </c>
    </row>
    <row r="24" spans="1:5" x14ac:dyDescent="0.25">
      <c r="A24" s="140" t="s">
        <v>48</v>
      </c>
      <c r="B24" s="69">
        <v>3.1</v>
      </c>
      <c r="C24" s="69">
        <v>2.1</v>
      </c>
      <c r="D24" s="69">
        <v>105.6</v>
      </c>
      <c r="E24" s="69">
        <v>82.8</v>
      </c>
    </row>
    <row r="25" spans="1:5" x14ac:dyDescent="0.25">
      <c r="A25" s="140" t="s">
        <v>26</v>
      </c>
      <c r="B25" s="69">
        <v>3.2</v>
      </c>
      <c r="C25" s="69">
        <v>2.1</v>
      </c>
      <c r="D25" s="69">
        <v>98.2</v>
      </c>
      <c r="E25" s="69">
        <v>83.6</v>
      </c>
    </row>
    <row r="26" spans="1:5" x14ac:dyDescent="0.25">
      <c r="A26" s="140" t="s">
        <v>49</v>
      </c>
      <c r="B26" s="69">
        <v>3</v>
      </c>
      <c r="C26" s="69">
        <v>1.8</v>
      </c>
      <c r="D26" s="69">
        <v>88.9</v>
      </c>
      <c r="E26" s="69">
        <v>80.400000000000006</v>
      </c>
    </row>
    <row r="27" spans="1:5" x14ac:dyDescent="0.25">
      <c r="A27" s="138" t="s">
        <v>51</v>
      </c>
      <c r="B27" s="69">
        <v>2.7</v>
      </c>
      <c r="C27" s="69">
        <v>1.8</v>
      </c>
      <c r="D27" s="69">
        <v>97.6</v>
      </c>
      <c r="E27" s="69">
        <v>80.8</v>
      </c>
    </row>
    <row r="28" spans="1:5" x14ac:dyDescent="0.25">
      <c r="A28" s="140" t="s">
        <v>52</v>
      </c>
      <c r="B28" s="69">
        <v>2.7</v>
      </c>
      <c r="C28" s="69">
        <v>1.8</v>
      </c>
      <c r="D28" s="69">
        <v>98.9</v>
      </c>
      <c r="E28" s="69">
        <v>78.3</v>
      </c>
    </row>
    <row r="29" spans="1:5" x14ac:dyDescent="0.25">
      <c r="A29" s="153" t="s">
        <v>53</v>
      </c>
      <c r="B29" s="313">
        <v>2.5</v>
      </c>
      <c r="C29" s="313">
        <v>1.8</v>
      </c>
      <c r="D29" s="313">
        <v>101.6</v>
      </c>
      <c r="E29" s="313">
        <v>82.3</v>
      </c>
    </row>
  </sheetData>
  <mergeCells count="8">
    <mergeCell ref="A5:A7"/>
    <mergeCell ref="B5:B7"/>
    <mergeCell ref="A1:E1"/>
    <mergeCell ref="A2:E2"/>
    <mergeCell ref="A4:E4"/>
    <mergeCell ref="C5:E5"/>
    <mergeCell ref="C6:C7"/>
    <mergeCell ref="D6:E6"/>
  </mergeCells>
  <pageMargins left="0.7" right="0.7" top="0.75" bottom="0.75" header="0.3" footer="0.3"/>
  <pageSetup paperSize="9" orientation="portrait" verticalDpi="0"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45"/>
  <sheetViews>
    <sheetView zoomScale="80" zoomScaleNormal="80" workbookViewId="0">
      <selection activeCell="D6" sqref="D6"/>
    </sheetView>
  </sheetViews>
  <sheetFormatPr defaultRowHeight="13.2" x14ac:dyDescent="0.25"/>
  <cols>
    <col min="1" max="1" width="89.33203125" style="162" customWidth="1"/>
  </cols>
  <sheetData>
    <row r="1" spans="1:1" ht="13.8" x14ac:dyDescent="0.25">
      <c r="A1" s="423" t="s">
        <v>618</v>
      </c>
    </row>
    <row r="2" spans="1:1" x14ac:dyDescent="0.25">
      <c r="A2"/>
    </row>
    <row r="3" spans="1:1" x14ac:dyDescent="0.25">
      <c r="A3" s="383" t="s">
        <v>282</v>
      </c>
    </row>
    <row r="4" spans="1:1" ht="132" x14ac:dyDescent="0.25">
      <c r="A4" s="384" t="s">
        <v>527</v>
      </c>
    </row>
    <row r="5" spans="1:1" ht="66" x14ac:dyDescent="0.25">
      <c r="A5" s="384" t="s">
        <v>528</v>
      </c>
    </row>
    <row r="6" spans="1:1" ht="26.4" x14ac:dyDescent="0.25">
      <c r="A6" s="383" t="s">
        <v>529</v>
      </c>
    </row>
    <row r="7" spans="1:1" ht="26.4" x14ac:dyDescent="0.25">
      <c r="A7" s="383" t="s">
        <v>530</v>
      </c>
    </row>
    <row r="8" spans="1:1" ht="52.8" x14ac:dyDescent="0.25">
      <c r="A8" s="384" t="s">
        <v>531</v>
      </c>
    </row>
    <row r="9" spans="1:1" ht="52.8" x14ac:dyDescent="0.25">
      <c r="A9" s="383" t="s">
        <v>532</v>
      </c>
    </row>
    <row r="10" spans="1:1" s="95" customFormat="1" ht="26.4" x14ac:dyDescent="0.25">
      <c r="A10" s="383" t="s">
        <v>533</v>
      </c>
    </row>
    <row r="11" spans="1:1" ht="39.6" x14ac:dyDescent="0.25">
      <c r="A11" s="383" t="s">
        <v>534</v>
      </c>
    </row>
    <row r="12" spans="1:1" ht="52.8" x14ac:dyDescent="0.25">
      <c r="A12" s="383" t="s">
        <v>535</v>
      </c>
    </row>
    <row r="13" spans="1:1" ht="26.4" x14ac:dyDescent="0.25">
      <c r="A13" s="383" t="s">
        <v>536</v>
      </c>
    </row>
    <row r="14" spans="1:1" ht="66" x14ac:dyDescent="0.25">
      <c r="A14" s="384" t="s">
        <v>537</v>
      </c>
    </row>
    <row r="15" spans="1:1" ht="39.6" x14ac:dyDescent="0.25">
      <c r="A15" s="383" t="s">
        <v>538</v>
      </c>
    </row>
    <row r="16" spans="1:1" x14ac:dyDescent="0.25">
      <c r="A16" s="383" t="s">
        <v>539</v>
      </c>
    </row>
    <row r="17" spans="1:1" x14ac:dyDescent="0.25">
      <c r="A17" s="383"/>
    </row>
    <row r="18" spans="1:1" x14ac:dyDescent="0.25">
      <c r="A18" s="383" t="s">
        <v>410</v>
      </c>
    </row>
    <row r="19" spans="1:1" ht="136.19999999999999" x14ac:dyDescent="0.25">
      <c r="A19" s="384" t="s">
        <v>540</v>
      </c>
    </row>
    <row r="20" spans="1:1" ht="105.6" x14ac:dyDescent="0.25">
      <c r="A20" s="384" t="s">
        <v>541</v>
      </c>
    </row>
    <row r="21" spans="1:1" ht="52.8" x14ac:dyDescent="0.25">
      <c r="A21" s="383" t="s">
        <v>542</v>
      </c>
    </row>
    <row r="22" spans="1:1" ht="79.2" x14ac:dyDescent="0.25">
      <c r="A22" s="384" t="s">
        <v>543</v>
      </c>
    </row>
    <row r="23" spans="1:1" ht="39.6" x14ac:dyDescent="0.25">
      <c r="A23" s="384" t="s">
        <v>544</v>
      </c>
    </row>
    <row r="24" spans="1:1" ht="26.4" x14ac:dyDescent="0.25">
      <c r="A24" s="384" t="s">
        <v>545</v>
      </c>
    </row>
    <row r="25" spans="1:1" ht="52.8" x14ac:dyDescent="0.25">
      <c r="A25" s="384" t="s">
        <v>546</v>
      </c>
    </row>
    <row r="26" spans="1:1" ht="39.6" x14ac:dyDescent="0.25">
      <c r="A26" s="384" t="s">
        <v>547</v>
      </c>
    </row>
    <row r="27" spans="1:1" ht="66" x14ac:dyDescent="0.25">
      <c r="A27" s="383" t="s">
        <v>548</v>
      </c>
    </row>
    <row r="28" spans="1:1" ht="52.8" x14ac:dyDescent="0.25">
      <c r="A28" s="383" t="s">
        <v>549</v>
      </c>
    </row>
    <row r="29" spans="1:1" ht="92.4" x14ac:dyDescent="0.25">
      <c r="A29" s="384" t="s">
        <v>550</v>
      </c>
    </row>
    <row r="30" spans="1:1" ht="81.599999999999994" x14ac:dyDescent="0.25">
      <c r="A30" s="384" t="s">
        <v>551</v>
      </c>
    </row>
    <row r="31" spans="1:1" ht="26.4" x14ac:dyDescent="0.25">
      <c r="A31" s="384" t="s">
        <v>552</v>
      </c>
    </row>
    <row r="32" spans="1:1" ht="39.6" x14ac:dyDescent="0.25">
      <c r="A32" s="384" t="s">
        <v>553</v>
      </c>
    </row>
    <row r="33" spans="1:1" ht="39.6" x14ac:dyDescent="0.25">
      <c r="A33" s="384" t="s">
        <v>554</v>
      </c>
    </row>
    <row r="34" spans="1:1" ht="26.4" x14ac:dyDescent="0.25">
      <c r="A34" s="385" t="s">
        <v>555</v>
      </c>
    </row>
    <row r="35" spans="1:1" ht="26.4" x14ac:dyDescent="0.25">
      <c r="A35" s="384" t="s">
        <v>556</v>
      </c>
    </row>
    <row r="36" spans="1:1" ht="79.2" x14ac:dyDescent="0.25">
      <c r="A36" s="383" t="s">
        <v>557</v>
      </c>
    </row>
    <row r="37" spans="1:1" x14ac:dyDescent="0.25">
      <c r="A37" s="383"/>
    </row>
    <row r="38" spans="1:1" x14ac:dyDescent="0.25">
      <c r="A38" s="383" t="s">
        <v>129</v>
      </c>
    </row>
    <row r="39" spans="1:1" ht="79.2" x14ac:dyDescent="0.25">
      <c r="A39" s="384" t="s">
        <v>558</v>
      </c>
    </row>
    <row r="40" spans="1:1" ht="39.6" x14ac:dyDescent="0.25">
      <c r="A40" s="383" t="s">
        <v>559</v>
      </c>
    </row>
    <row r="41" spans="1:1" ht="52.8" x14ac:dyDescent="0.25">
      <c r="A41" s="383" t="s">
        <v>560</v>
      </c>
    </row>
    <row r="42" spans="1:1" ht="158.4" x14ac:dyDescent="0.25">
      <c r="A42" s="384" t="s">
        <v>561</v>
      </c>
    </row>
    <row r="43" spans="1:1" ht="39.6" x14ac:dyDescent="0.25">
      <c r="A43" s="383" t="s">
        <v>562</v>
      </c>
    </row>
    <row r="44" spans="1:1" ht="26.4" x14ac:dyDescent="0.25">
      <c r="A44" s="383" t="s">
        <v>563</v>
      </c>
    </row>
    <row r="45" spans="1:1" x14ac:dyDescent="0.25">
      <c r="A45" s="383" t="s">
        <v>564</v>
      </c>
    </row>
    <row r="46" spans="1:1" ht="39.6" x14ac:dyDescent="0.25">
      <c r="A46" s="383" t="s">
        <v>565</v>
      </c>
    </row>
    <row r="47" spans="1:1" x14ac:dyDescent="0.25">
      <c r="A47" s="383"/>
    </row>
    <row r="48" spans="1:1" x14ac:dyDescent="0.25">
      <c r="A48" s="383" t="s">
        <v>283</v>
      </c>
    </row>
    <row r="49" spans="1:1" ht="52.8" x14ac:dyDescent="0.25">
      <c r="A49" s="384" t="s">
        <v>566</v>
      </c>
    </row>
    <row r="50" spans="1:1" ht="92.4" x14ac:dyDescent="0.25">
      <c r="A50" s="384" t="s">
        <v>567</v>
      </c>
    </row>
    <row r="51" spans="1:1" x14ac:dyDescent="0.25">
      <c r="A51" s="383"/>
    </row>
    <row r="52" spans="1:1" x14ac:dyDescent="0.25">
      <c r="A52" s="383" t="s">
        <v>24</v>
      </c>
    </row>
    <row r="53" spans="1:1" ht="52.8" x14ac:dyDescent="0.25">
      <c r="A53" s="384" t="s">
        <v>568</v>
      </c>
    </row>
    <row r="54" spans="1:1" ht="79.2" x14ac:dyDescent="0.25">
      <c r="A54" s="383" t="s">
        <v>569</v>
      </c>
    </row>
    <row r="55" spans="1:1" ht="66" x14ac:dyDescent="0.25">
      <c r="A55" s="383" t="s">
        <v>570</v>
      </c>
    </row>
    <row r="56" spans="1:1" ht="105.6" x14ac:dyDescent="0.25">
      <c r="A56" s="383" t="s">
        <v>571</v>
      </c>
    </row>
    <row r="57" spans="1:1" ht="26.4" x14ac:dyDescent="0.25">
      <c r="A57" s="383" t="s">
        <v>572</v>
      </c>
    </row>
    <row r="58" spans="1:1" ht="39.6" x14ac:dyDescent="0.25">
      <c r="A58" s="384" t="s">
        <v>573</v>
      </c>
    </row>
    <row r="59" spans="1:1" ht="92.4" x14ac:dyDescent="0.25">
      <c r="A59" s="384" t="s">
        <v>574</v>
      </c>
    </row>
    <row r="60" spans="1:1" ht="39.6" x14ac:dyDescent="0.25">
      <c r="A60" s="9" t="s">
        <v>575</v>
      </c>
    </row>
    <row r="61" spans="1:1" ht="26.4" x14ac:dyDescent="0.25">
      <c r="A61" s="9" t="s">
        <v>576</v>
      </c>
    </row>
    <row r="62" spans="1:1" ht="52.8" x14ac:dyDescent="0.25">
      <c r="A62" s="383" t="s">
        <v>577</v>
      </c>
    </row>
    <row r="63" spans="1:1" x14ac:dyDescent="0.25">
      <c r="A63" s="383"/>
    </row>
    <row r="64" spans="1:1" x14ac:dyDescent="0.25">
      <c r="A64" s="383" t="s">
        <v>411</v>
      </c>
    </row>
    <row r="65" spans="1:1" ht="66" x14ac:dyDescent="0.25">
      <c r="A65" s="384" t="s">
        <v>578</v>
      </c>
    </row>
    <row r="66" spans="1:1" ht="39.6" x14ac:dyDescent="0.25">
      <c r="A66" s="383" t="s">
        <v>579</v>
      </c>
    </row>
    <row r="67" spans="1:1" ht="52.8" x14ac:dyDescent="0.25">
      <c r="A67" s="383" t="s">
        <v>580</v>
      </c>
    </row>
    <row r="68" spans="1:1" ht="52.8" x14ac:dyDescent="0.25">
      <c r="A68" s="383" t="s">
        <v>581</v>
      </c>
    </row>
    <row r="69" spans="1:1" ht="66" x14ac:dyDescent="0.25">
      <c r="A69" s="383" t="s">
        <v>582</v>
      </c>
    </row>
    <row r="70" spans="1:1" ht="52.8" x14ac:dyDescent="0.25">
      <c r="A70" s="383" t="s">
        <v>583</v>
      </c>
    </row>
    <row r="71" spans="1:1" ht="66" x14ac:dyDescent="0.25">
      <c r="A71" s="384" t="s">
        <v>584</v>
      </c>
    </row>
    <row r="72" spans="1:1" ht="79.2" x14ac:dyDescent="0.25">
      <c r="A72" s="384" t="s">
        <v>585</v>
      </c>
    </row>
    <row r="73" spans="1:1" ht="52.8" x14ac:dyDescent="0.25">
      <c r="A73" s="383" t="s">
        <v>586</v>
      </c>
    </row>
    <row r="74" spans="1:1" ht="66" x14ac:dyDescent="0.25">
      <c r="A74" s="384" t="s">
        <v>587</v>
      </c>
    </row>
    <row r="75" spans="1:1" x14ac:dyDescent="0.25">
      <c r="A75" s="383"/>
    </row>
    <row r="76" spans="1:1" x14ac:dyDescent="0.25">
      <c r="A76" s="383" t="s">
        <v>588</v>
      </c>
    </row>
    <row r="77" spans="1:1" ht="105.6" x14ac:dyDescent="0.25">
      <c r="A77" s="386" t="s">
        <v>589</v>
      </c>
    </row>
    <row r="78" spans="1:1" ht="118.8" x14ac:dyDescent="0.25">
      <c r="A78" s="387" t="s">
        <v>590</v>
      </c>
    </row>
    <row r="79" spans="1:1" ht="39.6" x14ac:dyDescent="0.25">
      <c r="A79" s="387" t="s">
        <v>591</v>
      </c>
    </row>
    <row r="80" spans="1:1" ht="224.4" x14ac:dyDescent="0.25">
      <c r="A80" s="388" t="s">
        <v>592</v>
      </c>
    </row>
    <row r="81" spans="1:1" ht="52.8" x14ac:dyDescent="0.25">
      <c r="A81" s="384" t="s">
        <v>593</v>
      </c>
    </row>
    <row r="82" spans="1:1" x14ac:dyDescent="0.25">
      <c r="A82" s="383"/>
    </row>
    <row r="83" spans="1:1" x14ac:dyDescent="0.25">
      <c r="A83" s="383" t="s">
        <v>284</v>
      </c>
    </row>
    <row r="84" spans="1:1" ht="92.4" x14ac:dyDescent="0.25">
      <c r="A84" s="384" t="s">
        <v>594</v>
      </c>
    </row>
    <row r="85" spans="1:1" ht="66" x14ac:dyDescent="0.25">
      <c r="A85" s="383" t="s">
        <v>595</v>
      </c>
    </row>
    <row r="86" spans="1:1" ht="44.4" x14ac:dyDescent="0.25">
      <c r="A86" s="383" t="s">
        <v>596</v>
      </c>
    </row>
    <row r="87" spans="1:1" ht="26.4" x14ac:dyDescent="0.25">
      <c r="A87" s="384" t="s">
        <v>597</v>
      </c>
    </row>
    <row r="88" spans="1:1" ht="92.4" x14ac:dyDescent="0.25">
      <c r="A88" s="384" t="s">
        <v>598</v>
      </c>
    </row>
    <row r="89" spans="1:1" ht="26.4" x14ac:dyDescent="0.25">
      <c r="A89" s="383" t="s">
        <v>599</v>
      </c>
    </row>
    <row r="90" spans="1:1" ht="26.4" x14ac:dyDescent="0.25">
      <c r="A90" s="383" t="s">
        <v>600</v>
      </c>
    </row>
    <row r="91" spans="1:1" x14ac:dyDescent="0.25">
      <c r="A91" s="383" t="s">
        <v>601</v>
      </c>
    </row>
    <row r="92" spans="1:1" ht="52.8" x14ac:dyDescent="0.25">
      <c r="A92" s="384" t="s">
        <v>602</v>
      </c>
    </row>
    <row r="93" spans="1:1" ht="52.8" x14ac:dyDescent="0.25">
      <c r="A93" s="384" t="s">
        <v>442</v>
      </c>
    </row>
    <row r="94" spans="1:1" ht="39.6" x14ac:dyDescent="0.25">
      <c r="A94" s="383" t="s">
        <v>443</v>
      </c>
    </row>
    <row r="95" spans="1:1" x14ac:dyDescent="0.25">
      <c r="A95" s="383"/>
    </row>
    <row r="96" spans="1:1" x14ac:dyDescent="0.25">
      <c r="A96" s="383" t="s">
        <v>285</v>
      </c>
    </row>
    <row r="97" spans="1:1" ht="26.4" x14ac:dyDescent="0.25">
      <c r="A97" s="384" t="s">
        <v>603</v>
      </c>
    </row>
    <row r="98" spans="1:1" ht="66" x14ac:dyDescent="0.25">
      <c r="A98" s="384" t="s">
        <v>604</v>
      </c>
    </row>
    <row r="99" spans="1:1" ht="39.6" x14ac:dyDescent="0.25">
      <c r="A99" s="384" t="s">
        <v>605</v>
      </c>
    </row>
    <row r="100" spans="1:1" x14ac:dyDescent="0.25">
      <c r="A100" s="389" t="s">
        <v>412</v>
      </c>
    </row>
    <row r="101" spans="1:1" ht="66" x14ac:dyDescent="0.25">
      <c r="A101" s="389" t="s">
        <v>413</v>
      </c>
    </row>
    <row r="102" spans="1:1" x14ac:dyDescent="0.25">
      <c r="A102" s="390" t="s">
        <v>606</v>
      </c>
    </row>
    <row r="103" spans="1:1" ht="39.6" x14ac:dyDescent="0.25">
      <c r="A103" s="383" t="s">
        <v>607</v>
      </c>
    </row>
    <row r="104" spans="1:1" ht="105.6" x14ac:dyDescent="0.25">
      <c r="A104" s="383" t="s">
        <v>608</v>
      </c>
    </row>
    <row r="105" spans="1:1" ht="66" x14ac:dyDescent="0.25">
      <c r="A105" s="384" t="s">
        <v>609</v>
      </c>
    </row>
    <row r="106" spans="1:1" ht="92.4" x14ac:dyDescent="0.25">
      <c r="A106" s="384" t="s">
        <v>610</v>
      </c>
    </row>
    <row r="107" spans="1:1" ht="79.2" x14ac:dyDescent="0.25">
      <c r="A107" s="384" t="s">
        <v>611</v>
      </c>
    </row>
    <row r="108" spans="1:1" x14ac:dyDescent="0.25">
      <c r="A108" s="383"/>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sheetData>
  <pageMargins left="0.7" right="0.7" top="0.75" bottom="0.75" header="0.3" footer="0.3"/>
  <pageSetup paperSize="9" fitToHeight="0" orientation="portrait" r:id="rId1"/>
  <headerFooter>
    <oddFooter>&amp;C&amp;"Arial,курсив"&amp;K00-044Социально-экономическое положение Тюменской области (кроме 
Ханты-Мансийского автономного округа – Югры и Ямало-Ненецкого автономного округа) 08' 2025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45</vt:i4>
      </vt:variant>
      <vt:variant>
        <vt:lpstr>Именованные диапазоны</vt:lpstr>
      </vt:variant>
      <vt:variant>
        <vt:i4>16</vt:i4>
      </vt:variant>
    </vt:vector>
  </HeadingPairs>
  <TitlesOfParts>
    <vt:vector size="61" baseType="lpstr">
      <vt:lpstr>Титул</vt:lpstr>
      <vt:lpstr>Ред.коллегия</vt:lpstr>
      <vt:lpstr>Предисловие</vt:lpstr>
      <vt:lpstr>Ответственные</vt:lpstr>
      <vt:lpstr>Содержание</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'10'!Область_печати</vt:lpstr>
      <vt:lpstr>'15'!Область_печати</vt:lpstr>
      <vt:lpstr>'16'!Область_печати</vt:lpstr>
      <vt:lpstr>'17'!Область_печати</vt:lpstr>
      <vt:lpstr>'22'!Область_печати</vt:lpstr>
      <vt:lpstr>'23'!Область_печати</vt:lpstr>
      <vt:lpstr>'24'!Область_печати</vt:lpstr>
      <vt:lpstr>'25'!Область_печати</vt:lpstr>
      <vt:lpstr>'26'!Область_печати</vt:lpstr>
      <vt:lpstr>'27'!Область_печати</vt:lpstr>
      <vt:lpstr>'28'!Область_печати</vt:lpstr>
      <vt:lpstr>'38'!Область_печати</vt:lpstr>
      <vt:lpstr>'5'!Область_печати</vt:lpstr>
      <vt:lpstr>'6'!Область_печати</vt:lpstr>
      <vt:lpstr>'7'!Область_печати</vt:lpstr>
      <vt:lpstr>'9'!Область_печати</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P72_LvovaAV</dc:creator>
  <cp:lastModifiedBy>Клепова И. Г.</cp:lastModifiedBy>
  <cp:lastPrinted>2025-10-01T11:36:58Z</cp:lastPrinted>
  <dcterms:created xsi:type="dcterms:W3CDTF">2021-09-29T03:52:36Z</dcterms:created>
  <dcterms:modified xsi:type="dcterms:W3CDTF">2025-10-01T11:37:30Z</dcterms:modified>
</cp:coreProperties>
</file>