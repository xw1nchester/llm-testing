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 yWindow="48" windowWidth="17016" windowHeight="9012" tabRatio="933" firstSheet="3" activeTab="5" autoFilterDateGrouping="1"/>
  </bookViews>
  <sheets>
    <sheet xmlns:r="http://schemas.openxmlformats.org/officeDocument/2006/relationships" name="Титул" sheetId="1" state="visible" r:id="rId1"/>
    <sheet xmlns:r="http://schemas.openxmlformats.org/officeDocument/2006/relationships" name="Ред.коллегия" sheetId="2" state="visible" r:id="rId2"/>
    <sheet xmlns:r="http://schemas.openxmlformats.org/officeDocument/2006/relationships" name="Предисловие" sheetId="3" state="visible" r:id="rId3"/>
    <sheet xmlns:r="http://schemas.openxmlformats.org/officeDocument/2006/relationships" name="Ответственные" sheetId="4" state="visible" r:id="rId4"/>
    <sheet xmlns:r="http://schemas.openxmlformats.org/officeDocument/2006/relationships" name="Содержание" sheetId="5" state="visible" r:id="rId5"/>
    <sheet xmlns:r="http://schemas.openxmlformats.org/officeDocument/2006/relationships" name="1" sheetId="6" state="visible" r:id="rId6"/>
    <sheet xmlns:r="http://schemas.openxmlformats.org/officeDocument/2006/relationships" name="2" sheetId="7" state="visible" r:id="rId7"/>
    <sheet xmlns:r="http://schemas.openxmlformats.org/officeDocument/2006/relationships" name="3" sheetId="8" state="visible" r:id="rId8"/>
    <sheet xmlns:r="http://schemas.openxmlformats.org/officeDocument/2006/relationships" name="4" sheetId="9" state="visible" r:id="rId9"/>
    <sheet xmlns:r="http://schemas.openxmlformats.org/officeDocument/2006/relationships" name="5" sheetId="10" state="visible" r:id="rId10"/>
    <sheet xmlns:r="http://schemas.openxmlformats.org/officeDocument/2006/relationships" name="6" sheetId="11" state="visible" r:id="rId11"/>
    <sheet xmlns:r="http://schemas.openxmlformats.org/officeDocument/2006/relationships" name="7" sheetId="12" state="visible" r:id="rId12"/>
    <sheet xmlns:r="http://schemas.openxmlformats.org/officeDocument/2006/relationships" name="8" sheetId="13" state="visible" r:id="rId13"/>
    <sheet xmlns:r="http://schemas.openxmlformats.org/officeDocument/2006/relationships" name="9" sheetId="14" state="visible" r:id="rId14"/>
    <sheet xmlns:r="http://schemas.openxmlformats.org/officeDocument/2006/relationships" name="10" sheetId="15" state="visible" r:id="rId15"/>
    <sheet xmlns:r="http://schemas.openxmlformats.org/officeDocument/2006/relationships" name="11" sheetId="16" state="visible" r:id="rId16"/>
    <sheet xmlns:r="http://schemas.openxmlformats.org/officeDocument/2006/relationships" name="12" sheetId="17" state="visible" r:id="rId17"/>
    <sheet xmlns:r="http://schemas.openxmlformats.org/officeDocument/2006/relationships" name="13" sheetId="18" state="visible" r:id="rId18"/>
    <sheet xmlns:r="http://schemas.openxmlformats.org/officeDocument/2006/relationships" name="14" sheetId="19" state="visible" r:id="rId19"/>
    <sheet xmlns:r="http://schemas.openxmlformats.org/officeDocument/2006/relationships" name="15" sheetId="20" state="visible" r:id="rId20"/>
    <sheet xmlns:r="http://schemas.openxmlformats.org/officeDocument/2006/relationships" name="16" sheetId="21" state="visible" r:id="rId21"/>
    <sheet xmlns:r="http://schemas.openxmlformats.org/officeDocument/2006/relationships" name="17" sheetId="22" state="visible" r:id="rId22"/>
    <sheet xmlns:r="http://schemas.openxmlformats.org/officeDocument/2006/relationships" name="18" sheetId="23" state="visible" r:id="rId23"/>
    <sheet xmlns:r="http://schemas.openxmlformats.org/officeDocument/2006/relationships" name="19" sheetId="24" state="visible" r:id="rId24"/>
    <sheet xmlns:r="http://schemas.openxmlformats.org/officeDocument/2006/relationships" name="20" sheetId="25" state="visible" r:id="rId25"/>
    <sheet xmlns:r="http://schemas.openxmlformats.org/officeDocument/2006/relationships" name="21" sheetId="26" state="visible" r:id="rId26"/>
    <sheet xmlns:r="http://schemas.openxmlformats.org/officeDocument/2006/relationships" name="22" sheetId="27" state="visible" r:id="rId27"/>
    <sheet xmlns:r="http://schemas.openxmlformats.org/officeDocument/2006/relationships" name="23" sheetId="28" state="visible" r:id="rId28"/>
    <sheet xmlns:r="http://schemas.openxmlformats.org/officeDocument/2006/relationships" name="24" sheetId="29" state="visible" r:id="rId29"/>
    <sheet xmlns:r="http://schemas.openxmlformats.org/officeDocument/2006/relationships" name="25" sheetId="30" state="visible" r:id="rId30"/>
    <sheet xmlns:r="http://schemas.openxmlformats.org/officeDocument/2006/relationships" name="26" sheetId="31" state="visible" r:id="rId31"/>
    <sheet xmlns:r="http://schemas.openxmlformats.org/officeDocument/2006/relationships" name="27" sheetId="32" state="visible" r:id="rId32"/>
    <sheet xmlns:r="http://schemas.openxmlformats.org/officeDocument/2006/relationships" name="28" sheetId="33" state="visible" r:id="rId33"/>
    <sheet xmlns:r="http://schemas.openxmlformats.org/officeDocument/2006/relationships" name="29" sheetId="34" state="visible" r:id="rId34"/>
    <sheet xmlns:r="http://schemas.openxmlformats.org/officeDocument/2006/relationships" name="30" sheetId="35" state="visible" r:id="rId35"/>
    <sheet xmlns:r="http://schemas.openxmlformats.org/officeDocument/2006/relationships" name="31" sheetId="36" state="visible" r:id="rId36"/>
    <sheet xmlns:r="http://schemas.openxmlformats.org/officeDocument/2006/relationships" name="32" sheetId="37" state="visible" r:id="rId37"/>
    <sheet xmlns:r="http://schemas.openxmlformats.org/officeDocument/2006/relationships" name="33" sheetId="38" state="visible" r:id="rId38"/>
    <sheet xmlns:r="http://schemas.openxmlformats.org/officeDocument/2006/relationships" name="34" sheetId="39" state="visible" r:id="rId39"/>
    <sheet xmlns:r="http://schemas.openxmlformats.org/officeDocument/2006/relationships" name="35" sheetId="40" state="visible" r:id="rId40"/>
    <sheet xmlns:r="http://schemas.openxmlformats.org/officeDocument/2006/relationships" name="36" sheetId="41" state="visible" r:id="rId41"/>
    <sheet xmlns:r="http://schemas.openxmlformats.org/officeDocument/2006/relationships" name="37" sheetId="42" state="visible" r:id="rId42"/>
    <sheet xmlns:r="http://schemas.openxmlformats.org/officeDocument/2006/relationships" name="38" sheetId="43" state="visible" r:id="rId43"/>
    <sheet xmlns:r="http://schemas.openxmlformats.org/officeDocument/2006/relationships" name="39" sheetId="44" state="visible" r:id="rId44"/>
    <sheet xmlns:r="http://schemas.openxmlformats.org/officeDocument/2006/relationships" name="40" sheetId="45" state="visible" r:id="rId45"/>
  </sheets>
  <definedNames>
    <definedName name="_Toc114998263" localSheetId="5">'1'!#REF!</definedName>
    <definedName name="_xlnm.Print_Area" localSheetId="9">'5'!$A$1:$F$63</definedName>
    <definedName name="_xlnm.Print_Area" localSheetId="10">'6'!$A$1:$E$11</definedName>
    <definedName name="_xlnm.Print_Area" localSheetId="11">'7'!$A$1:$G$17</definedName>
    <definedName name="_xlnm.Print_Area" localSheetId="13">'9'!$A$1:$E$18</definedName>
    <definedName name="_xlnm.Print_Area" localSheetId="14">'10'!$A$1:$E$19</definedName>
    <definedName name="_xlnm.Print_Area" localSheetId="19">'15'!$A$1:$F$9</definedName>
    <definedName name="_xlnm.Print_Area" localSheetId="20">'16'!$A$1:$G$40</definedName>
    <definedName name="_xlnm.Print_Area" localSheetId="21">'17'!$A$1:$D$41</definedName>
    <definedName name="_xlnm.Print_Area" localSheetId="26">'22'!$A$1:$D$22</definedName>
    <definedName name="_xlnm.Print_Area" localSheetId="27">'23'!$A$1:$D$23</definedName>
    <definedName name="_xlnm.Print_Area" localSheetId="28">'24'!$A$1:$E$32</definedName>
    <definedName name="_xlnm.Print_Area" localSheetId="29">'25'!$A$1:$D$27</definedName>
    <definedName name="_xlnm.Print_Area" localSheetId="30">'26'!$A$1:$E$16</definedName>
    <definedName name="_xlnm.Print_Area" localSheetId="31">'27'!$A$1:$F$38</definedName>
    <definedName name="_xlnm.Print_Area" localSheetId="32">'28'!$A$1:$C$35</definedName>
    <definedName name="_xlnm.Print_Area" localSheetId="42">'38'!$A$3:$D$15</definedName>
  </definedNames>
  <calcPr calcId="144525" fullCalcOnLoad="1"/>
</workbook>
</file>

<file path=xl/styles.xml><?xml version="1.0" encoding="utf-8"?>
<styleSheet xmlns="http://schemas.openxmlformats.org/spreadsheetml/2006/main">
  <numFmts count="2">
    <numFmt numFmtId="164" formatCode="0.0"/>
    <numFmt numFmtId="165" formatCode="#,##0.0"/>
  </numFmts>
  <fonts count="53">
    <font>
      <name val="Arial"/>
      <charset val="204"/>
      <family val="2"/>
      <color theme="1"/>
      <sz val="10"/>
    </font>
    <font>
      <name val="Arial"/>
      <charset val="204"/>
      <family val="2"/>
      <color theme="1"/>
      <sz val="10"/>
    </font>
    <font>
      <name val="Arial"/>
      <charset val="204"/>
      <family val="2"/>
      <b val="1"/>
      <color theme="1"/>
      <sz val="10"/>
    </font>
    <font>
      <name val="Arial"/>
      <charset val="204"/>
      <family val="2"/>
      <color theme="1"/>
      <sz val="12"/>
    </font>
    <font>
      <name val="Arial"/>
      <charset val="204"/>
      <family val="2"/>
      <b val="1"/>
      <color theme="1"/>
      <sz val="12"/>
    </font>
    <font>
      <name val="Arial"/>
      <charset val="204"/>
      <family val="2"/>
      <color theme="1"/>
      <sz val="14"/>
    </font>
    <font>
      <name val="Arial"/>
      <charset val="204"/>
      <family val="2"/>
      <color theme="10"/>
      <sz val="10"/>
      <u val="single"/>
    </font>
    <font>
      <name val="Arial"/>
      <charset val="204"/>
      <family val="2"/>
      <b val="1"/>
      <color theme="1"/>
      <sz val="11"/>
    </font>
    <font>
      <name val="Wingdings 2"/>
      <charset val="2"/>
      <family val="1"/>
      <color theme="1"/>
      <sz val="10"/>
    </font>
    <font>
      <name val="Arial"/>
      <charset val="204"/>
      <family val="2"/>
      <color theme="1"/>
      <sz val="9"/>
    </font>
    <font>
      <name val="Times New Roman"/>
      <charset val="204"/>
      <family val="1"/>
      <color theme="1"/>
      <sz val="10"/>
    </font>
    <font>
      <name val="Arial"/>
      <charset val="204"/>
      <family val="2"/>
      <color theme="1"/>
      <sz val="10"/>
      <vertAlign val="superscript"/>
    </font>
    <font>
      <name val="Arial"/>
      <charset val="204"/>
      <family val="2"/>
      <color rgb="FF000000"/>
      <sz val="10"/>
    </font>
    <font>
      <name val="Arial"/>
      <charset val="204"/>
      <family val="2"/>
      <i val="1"/>
      <color theme="1"/>
      <sz val="9"/>
      <vertAlign val="superscript"/>
    </font>
    <font>
      <name val="Arial"/>
      <charset val="204"/>
      <family val="2"/>
      <i val="1"/>
      <color theme="1"/>
      <sz val="9"/>
    </font>
    <font>
      <name val="Arial"/>
      <charset val="204"/>
      <family val="2"/>
      <color theme="1"/>
      <sz val="9"/>
      <vertAlign val="superscript"/>
    </font>
    <font>
      <name val="Arial"/>
      <charset val="204"/>
      <family val="2"/>
      <color theme="1"/>
      <sz val="5"/>
    </font>
    <font>
      <name val="Arial"/>
      <charset val="204"/>
      <family val="2"/>
      <b val="1"/>
      <color theme="1"/>
      <sz val="11"/>
      <vertAlign val="superscript"/>
    </font>
    <font>
      <name val="Arial"/>
      <charset val="204"/>
      <family val="2"/>
      <color theme="1"/>
      <sz val="11"/>
    </font>
    <font>
      <name val="Arial"/>
      <charset val="204"/>
      <family val="2"/>
      <b val="1"/>
      <color rgb="FF000000"/>
      <sz val="10"/>
    </font>
    <font>
      <name val="Arial"/>
      <charset val="204"/>
      <family val="2"/>
      <b val="1"/>
      <color rgb="FF000000"/>
      <sz val="11"/>
    </font>
    <font>
      <name val="Arial"/>
      <charset val="204"/>
      <family val="2"/>
      <color theme="1"/>
      <sz val="8"/>
    </font>
    <font>
      <name val="Arial"/>
      <charset val="204"/>
      <family val="2"/>
      <b val="1"/>
      <color theme="1"/>
      <sz val="9"/>
    </font>
    <font>
      <name val="Arial"/>
      <charset val="204"/>
      <family val="2"/>
      <color theme="1"/>
      <sz val="7"/>
    </font>
    <font>
      <name val="Arial"/>
      <charset val="204"/>
      <family val="2"/>
      <b val="1"/>
      <color theme="1"/>
      <sz val="10"/>
      <vertAlign val="superscript"/>
    </font>
    <font>
      <name val="Arial"/>
      <charset val="204"/>
      <family val="2"/>
      <i val="1"/>
      <color theme="1"/>
      <sz val="10"/>
    </font>
    <font>
      <name val="Arial"/>
      <charset val="204"/>
      <family val="2"/>
      <b val="1"/>
      <i val="1"/>
      <color theme="1"/>
      <sz val="8"/>
    </font>
    <font>
      <name val="Arial"/>
      <charset val="204"/>
      <family val="2"/>
      <color theme="1"/>
      <sz val="4"/>
    </font>
    <font>
      <name val="Arial"/>
      <charset val="204"/>
      <family val="2"/>
      <b val="1"/>
      <color theme="1"/>
      <sz val="8"/>
    </font>
    <font>
      <name val="Arial"/>
      <charset val="204"/>
      <family val="2"/>
      <b val="1"/>
      <color theme="1"/>
      <sz val="4"/>
    </font>
    <font>
      <name val="Times New Roman"/>
      <charset val="204"/>
      <family val="1"/>
      <b val="1"/>
      <color theme="1"/>
      <sz val="10"/>
    </font>
    <font>
      <name val="Times New Roman"/>
      <charset val="204"/>
      <family val="1"/>
      <color theme="1"/>
      <sz val="14"/>
    </font>
    <font>
      <name val="Arial"/>
      <charset val="204"/>
      <family val="2"/>
      <b val="1"/>
      <color theme="1"/>
      <sz val="16"/>
    </font>
    <font>
      <name val="Arial"/>
      <charset val="204"/>
      <family val="2"/>
      <sz val="10"/>
    </font>
    <font>
      <name val="Arial"/>
      <charset val="204"/>
      <family val="2"/>
      <sz val="10"/>
      <vertAlign val="superscript"/>
    </font>
    <font>
      <name val="Arial"/>
      <charset val="204"/>
      <family val="2"/>
      <b val="1"/>
      <sz val="10"/>
    </font>
    <font>
      <name val="Arial"/>
      <family val="2"/>
      <color theme="1"/>
      <sz val="10"/>
    </font>
    <font>
      <name val="Calibri"/>
      <charset val="204"/>
      <family val="2"/>
      <color theme="1"/>
      <sz val="11"/>
      <scheme val="minor"/>
    </font>
    <font>
      <name val="Calibri"/>
      <family val="2"/>
      <color theme="1"/>
      <sz val="11"/>
      <scheme val="minor"/>
    </font>
    <font>
      <name val="Arial"/>
      <charset val="204"/>
      <family val="2"/>
      <b val="1"/>
      <sz val="11"/>
    </font>
    <font>
      <name val="Calibri"/>
      <family val="2"/>
      <color indexed="8"/>
      <sz val="11"/>
      <scheme val="minor"/>
    </font>
    <font>
      <name val="Arial"/>
      <charset val="204"/>
      <family val="2"/>
      <i val="1"/>
      <sz val="9"/>
      <vertAlign val="superscript"/>
    </font>
    <font>
      <name val="Arial"/>
      <charset val="204"/>
      <family val="2"/>
      <i val="1"/>
      <sz val="9"/>
    </font>
    <font>
      <name val="Arial"/>
      <charset val="204"/>
      <family val="2"/>
      <color rgb="FFFF0000"/>
      <sz val="10"/>
    </font>
    <font>
      <name val="Arial"/>
      <charset val="204"/>
      <family val="2"/>
      <i val="1"/>
      <color rgb="FFFF0000"/>
      <sz val="10"/>
    </font>
    <font>
      <name val="Arial"/>
      <charset val="204"/>
      <family val="2"/>
      <sz val="10"/>
    </font>
    <font>
      <name val="Arial"/>
      <charset val="204"/>
      <family val="2"/>
      <b val="1"/>
      <color indexed="64"/>
      <sz val="10"/>
    </font>
    <font>
      <name val="Arial"/>
      <charset val="204"/>
      <family val="2"/>
      <color indexed="64"/>
      <sz val="10"/>
    </font>
    <font>
      <name val="Arial"/>
      <charset val="204"/>
      <family val="2"/>
      <color theme="1"/>
      <sz val="10"/>
      <u val="single"/>
    </font>
    <font>
      <name val="Arial"/>
      <charset val="204"/>
      <family val="2"/>
      <b val="1"/>
      <color theme="1"/>
      <sz val="10"/>
    </font>
    <font>
      <name val="Arial"/>
      <charset val="204"/>
      <family val="2"/>
      <sz val="10"/>
    </font>
    <font>
      <name val="Arial"/>
      <charset val="204"/>
      <family val="2"/>
      <i val="1"/>
      <color theme="1"/>
      <sz val="10"/>
      <vertAlign val="superscript"/>
    </font>
    <font>
      <name val="Arial"/>
      <sz val="10"/>
    </font>
  </fonts>
  <fills count="6">
    <fill>
      <patternFill/>
    </fill>
    <fill>
      <patternFill patternType="gray125"/>
    </fill>
    <fill>
      <gradientFill type="linear" degree="270">
        <stop position="0">
          <color theme="0"/>
        </stop>
        <stop position="1">
          <color rgb="FFBDF5D2"/>
        </stop>
      </gradientFill>
    </fill>
    <fill>
      <patternFill patternType="solid">
        <fgColor rgb="004FF075"/>
        <bgColor rgb="004FF075"/>
      </patternFill>
    </fill>
    <fill>
      <patternFill patternType="solid">
        <fgColor rgb="00E53935"/>
        <bgColor rgb="00E53935"/>
      </patternFill>
    </fill>
    <fill>
      <patternFill patternType="solid">
        <fgColor rgb="00FFFFE0"/>
        <bgColor rgb="00FFFFE0"/>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diagonal/>
    </border>
    <border>
      <left style="thin">
        <color theme="1"/>
      </left>
      <right style="thin">
        <color theme="1"/>
      </right>
      <top/>
      <bottom/>
      <diagonal/>
    </border>
    <border>
      <left style="thin">
        <color theme="1"/>
      </left>
      <right style="thin">
        <color theme="1"/>
      </right>
      <top/>
      <bottom style="thin">
        <color theme="1"/>
      </bottom>
      <diagonal/>
    </border>
  </borders>
  <cellStyleXfs count="10">
    <xf numFmtId="0" fontId="1" fillId="0" borderId="0"/>
    <xf numFmtId="0" fontId="6" fillId="0" borderId="0"/>
    <xf numFmtId="0" fontId="36" fillId="0" borderId="0"/>
    <xf numFmtId="0" fontId="37" fillId="0" borderId="0"/>
    <xf numFmtId="0" fontId="38" fillId="0" borderId="0"/>
    <xf numFmtId="0" fontId="40" fillId="0" borderId="0"/>
    <xf numFmtId="0" fontId="1" fillId="0" borderId="0"/>
    <xf numFmtId="0" fontId="37" fillId="0" borderId="0"/>
    <xf numFmtId="0" fontId="37" fillId="0" borderId="0"/>
    <xf numFmtId="0" fontId="37" fillId="0" borderId="0"/>
  </cellStyleXfs>
  <cellXfs count="816">
    <xf numFmtId="0" fontId="0" fillId="0" borderId="0" pivotButton="0" quotePrefix="0" xfId="0"/>
    <xf numFmtId="0" fontId="3" fillId="0" borderId="0" applyAlignment="1" pivotButton="0" quotePrefix="0" xfId="0">
      <alignment horizontal="center"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3"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horizontal="left" vertical="center"/>
    </xf>
    <xf numFmtId="0" fontId="2" fillId="0" borderId="0" applyAlignment="1" pivotButton="0" quotePrefix="0" xfId="0">
      <alignment horizontal="justify" vertical="center" wrapText="1"/>
    </xf>
    <xf numFmtId="0" fontId="1" fillId="0" borderId="0" applyAlignment="1" pivotButton="0" quotePrefix="0" xfId="0">
      <alignment horizontal="left" vertical="center"/>
    </xf>
    <xf numFmtId="0" fontId="1" fillId="0" borderId="0" applyAlignment="1" pivotButton="0" quotePrefix="0" xfId="0">
      <alignment horizontal="justify" vertical="center"/>
    </xf>
    <xf numFmtId="0" fontId="1" fillId="0" borderId="0" applyAlignment="1" pivotButton="0" quotePrefix="0" xfId="0">
      <alignment horizontal="left" vertical="center" indent="15"/>
    </xf>
    <xf numFmtId="0" fontId="0" fillId="0" borderId="0" applyAlignment="1" pivotButton="0" quotePrefix="0" xfId="0">
      <alignment horizontal="justify" vertical="center"/>
    </xf>
    <xf numFmtId="0" fontId="0" fillId="0" borderId="0" applyAlignment="1" pivotButton="0" quotePrefix="0" xfId="0">
      <alignment wrapText="1"/>
    </xf>
    <xf numFmtId="0" fontId="1" fillId="0" borderId="0" applyAlignment="1" pivotButton="0" quotePrefix="0" xfId="0">
      <alignment horizontal="left" vertical="center" indent="33"/>
    </xf>
    <xf numFmtId="0" fontId="6" fillId="0" borderId="0" applyAlignment="1" pivotButton="0" quotePrefix="0" xfId="1">
      <alignment horizontal="left" vertical="center" indent="33"/>
    </xf>
    <xf numFmtId="0" fontId="1" fillId="0" borderId="0" applyAlignment="1" pivotButton="0" quotePrefix="0" xfId="0">
      <alignment horizontal="left" vertical="center" indent="34"/>
    </xf>
    <xf numFmtId="0" fontId="2" fillId="0" borderId="0" applyAlignment="1" pivotButton="0" quotePrefix="0" xfId="0">
      <alignment horizontal="center" vertical="center"/>
    </xf>
    <xf numFmtId="0" fontId="10" fillId="0" borderId="0" applyAlignment="1" pivotButton="0" quotePrefix="0" xfId="0">
      <alignment vertical="center" wrapText="1"/>
    </xf>
    <xf numFmtId="0" fontId="1" fillId="0" borderId="12" applyAlignment="1" pivotButton="0" quotePrefix="0" xfId="0">
      <alignment vertical="center" wrapText="1"/>
    </xf>
    <xf numFmtId="0" fontId="0" fillId="0" borderId="12" applyAlignment="1" pivotButton="0" quotePrefix="0" xfId="0">
      <alignment vertical="center" wrapText="1"/>
    </xf>
    <xf numFmtId="0" fontId="0" fillId="0" borderId="0" pivotButton="0" quotePrefix="0" xfId="0"/>
    <xf numFmtId="0" fontId="16" fillId="0" borderId="0" applyAlignment="1" pivotButton="0" quotePrefix="0" xfId="0">
      <alignment vertical="center" wrapText="1"/>
    </xf>
    <xf numFmtId="0" fontId="7" fillId="0" borderId="0" applyAlignment="1" pivotButton="0" quotePrefix="0" xfId="0">
      <alignment vertical="center" wrapText="1"/>
    </xf>
    <xf numFmtId="0" fontId="2" fillId="0" borderId="5" applyAlignment="1" pivotButton="0" quotePrefix="0" xfId="0">
      <alignment vertical="center" wrapText="1"/>
    </xf>
    <xf numFmtId="0" fontId="2" fillId="0" borderId="12" applyAlignment="1" pivotButton="0" quotePrefix="0" xfId="0">
      <alignment vertical="center" wrapText="1"/>
    </xf>
    <xf numFmtId="0" fontId="1" fillId="0" borderId="0" applyAlignment="1" pivotButton="0" quotePrefix="0" xfId="0">
      <alignment horizontal="right" vertical="center"/>
    </xf>
    <xf numFmtId="0" fontId="1" fillId="0" borderId="12" applyAlignment="1" pivotButton="0" quotePrefix="0" xfId="0">
      <alignment horizontal="left" vertical="center" wrapText="1" indent="1"/>
    </xf>
    <xf numFmtId="0" fontId="0" fillId="0" borderId="12" applyAlignment="1" pivotButton="0" quotePrefix="0" xfId="0">
      <alignment horizontal="left" vertical="center" wrapText="1" indent="1"/>
    </xf>
    <xf numFmtId="0" fontId="18" fillId="0" borderId="0" applyAlignment="1" pivotButton="0" quotePrefix="0" xfId="0">
      <alignment horizontal="right" vertical="center"/>
    </xf>
    <xf numFmtId="0" fontId="1" fillId="0" borderId="0" applyAlignment="1" pivotButton="0" quotePrefix="0" xfId="0">
      <alignment horizontal="center" vertical="center"/>
    </xf>
    <xf numFmtId="0" fontId="1" fillId="0" borderId="11" applyAlignment="1" pivotButton="0" quotePrefix="0" xfId="0">
      <alignment horizontal="left" vertical="center" wrapText="1" indent="1"/>
    </xf>
    <xf numFmtId="0" fontId="1" fillId="0" borderId="0" applyAlignment="1" pivotButton="0" quotePrefix="0" xfId="0">
      <alignment vertical="center"/>
    </xf>
    <xf numFmtId="0" fontId="19" fillId="0" borderId="0" applyAlignment="1" pivotButton="0" quotePrefix="0" xfId="0">
      <alignment horizontal="center" vertical="center"/>
    </xf>
    <xf numFmtId="0" fontId="21" fillId="0" borderId="0" applyAlignment="1" pivotButton="0" quotePrefix="0" xfId="0">
      <alignment vertical="center"/>
    </xf>
    <xf numFmtId="164" fontId="1" fillId="0" borderId="12" applyAlignment="1" pivotButton="0" quotePrefix="0" xfId="0">
      <alignment horizontal="right" vertical="center" wrapText="1" indent="3"/>
    </xf>
    <xf numFmtId="0" fontId="22" fillId="0" borderId="0" applyAlignment="1" pivotButton="0" quotePrefix="0" xfId="0">
      <alignment horizontal="center" vertical="center"/>
    </xf>
    <xf numFmtId="0" fontId="21" fillId="0" borderId="0" applyAlignment="1" pivotButton="0" quotePrefix="0" xfId="0">
      <alignment horizontal="right" vertical="center"/>
    </xf>
    <xf numFmtId="0" fontId="1" fillId="0" borderId="12" applyAlignment="1" pivotButton="0" quotePrefix="0" xfId="0">
      <alignment horizontal="left" vertical="center" wrapText="1" indent="2"/>
    </xf>
    <xf numFmtId="0" fontId="23" fillId="0" borderId="0" applyAlignment="1" pivotButton="0" quotePrefix="0" xfId="0">
      <alignment horizontal="right" vertical="center"/>
    </xf>
    <xf numFmtId="0" fontId="21" fillId="0" borderId="0" applyAlignment="1" pivotButton="0" quotePrefix="0" xfId="0">
      <alignment horizontal="center" vertical="center"/>
    </xf>
    <xf numFmtId="164" fontId="1" fillId="0" borderId="12" applyAlignment="1" pivotButton="0" quotePrefix="0" xfId="0">
      <alignment horizontal="right" vertical="center" wrapText="1" indent="2"/>
    </xf>
    <xf numFmtId="0" fontId="26" fillId="0" borderId="0" applyAlignment="1" pivotButton="0" quotePrefix="0" xfId="0">
      <alignment horizontal="center" vertical="center"/>
    </xf>
    <xf numFmtId="0" fontId="27" fillId="0" borderId="0" applyAlignment="1" pivotButton="0" quotePrefix="0" xfId="0">
      <alignment horizontal="right" vertical="center"/>
    </xf>
    <xf numFmtId="0" fontId="28" fillId="0" borderId="0" applyAlignment="1" pivotButton="0" quotePrefix="0" xfId="0">
      <alignment horizontal="center" vertical="center"/>
    </xf>
    <xf numFmtId="0" fontId="29" fillId="0" borderId="0" applyAlignment="1" pivotButton="0" quotePrefix="0" xfId="0">
      <alignment horizontal="center" vertical="center"/>
    </xf>
    <xf numFmtId="0" fontId="2" fillId="0" borderId="0" applyAlignment="1" pivotButton="0" quotePrefix="0" xfId="0">
      <alignment horizontal="center" vertical="center"/>
    </xf>
    <xf numFmtId="0" fontId="1" fillId="0" borderId="12" applyAlignment="1" pivotButton="0" quotePrefix="0" xfId="0">
      <alignment horizontal="left" wrapText="1" indent="2"/>
    </xf>
    <xf numFmtId="0" fontId="1" fillId="0" borderId="12" applyAlignment="1" pivotButton="0" quotePrefix="0" xfId="0">
      <alignment horizontal="right" vertical="center" wrapText="1" indent="2"/>
    </xf>
    <xf numFmtId="0" fontId="0" fillId="0" borderId="0" pivotButton="0" quotePrefix="0" xfId="0"/>
    <xf numFmtId="0" fontId="0" fillId="0" borderId="0" pivotButton="0" quotePrefix="0" xfId="0"/>
    <xf numFmtId="0" fontId="0" fillId="0" borderId="11" applyAlignment="1" pivotButton="0" quotePrefix="0" xfId="0">
      <alignment vertical="center" wrapText="1"/>
    </xf>
    <xf numFmtId="0" fontId="0" fillId="0" borderId="10" applyAlignment="1" pivotButton="0" quotePrefix="0" xfId="0">
      <alignment vertical="top" wrapText="1"/>
    </xf>
    <xf numFmtId="0" fontId="0" fillId="0" borderId="0" applyAlignment="1" pivotButton="0" quotePrefix="0" xfId="0">
      <alignment vertical="top"/>
    </xf>
    <xf numFmtId="0" fontId="32" fillId="0" borderId="0" applyAlignment="1" pivotButton="0" quotePrefix="0" xfId="0">
      <alignment horizontal="center" vertical="center"/>
    </xf>
    <xf numFmtId="0" fontId="2" fillId="0" borderId="2" applyAlignment="1" pivotButton="0" quotePrefix="0" xfId="0">
      <alignment vertical="center" wrapText="1"/>
    </xf>
    <xf numFmtId="0" fontId="0" fillId="0" borderId="12" applyAlignment="1" pivotButton="0" quotePrefix="0" xfId="0">
      <alignment horizontal="left" vertical="center" wrapText="1" indent="1"/>
    </xf>
    <xf numFmtId="0" fontId="0" fillId="0" borderId="0" pivotButton="0" quotePrefix="0" xfId="0"/>
    <xf numFmtId="0" fontId="0" fillId="0" borderId="0" applyAlignment="1" pivotButton="0" quotePrefix="0" xfId="0">
      <alignment vertical="center" wrapText="1"/>
    </xf>
    <xf numFmtId="0" fontId="0" fillId="0" borderId="0" applyAlignment="1" pivotButton="0" quotePrefix="0" xfId="0">
      <alignment vertical="top" wrapText="1"/>
    </xf>
    <xf numFmtId="0" fontId="5" fillId="0" borderId="0" applyAlignment="1" pivotButton="0" quotePrefix="0" xfId="0">
      <alignment horizontal="center"/>
    </xf>
    <xf numFmtId="0" fontId="0" fillId="0" borderId="0" applyAlignment="1" pivotButton="0" quotePrefix="0" xfId="0">
      <alignment horizontal="justify" vertical="center" wrapText="1"/>
    </xf>
    <xf numFmtId="0" fontId="0" fillId="0" borderId="0" applyAlignment="1" pivotButton="0" quotePrefix="0" xfId="0">
      <alignment horizontal="left" vertical="center" indent="32"/>
    </xf>
    <xf numFmtId="0" fontId="1" fillId="0" borderId="0" applyAlignment="1" pivotButton="0" quotePrefix="0" xfId="0">
      <alignment horizontal="left" vertical="center" wrapText="1" indent="33"/>
    </xf>
    <xf numFmtId="0" fontId="1" fillId="0" borderId="5" applyAlignment="1" pivotButton="0" quotePrefix="0" xfId="0">
      <alignment vertical="center" wrapText="1"/>
    </xf>
    <xf numFmtId="0" fontId="1" fillId="0" borderId="5" applyAlignment="1" pivotButton="0" quotePrefix="0" xfId="0">
      <alignment horizontal="left" vertical="top" wrapText="1" indent="1"/>
    </xf>
    <xf numFmtId="0" fontId="1" fillId="0" borderId="12" applyAlignment="1" pivotButton="0" quotePrefix="0" xfId="0">
      <alignment horizontal="left" vertical="top" wrapText="1" indent="2"/>
    </xf>
    <xf numFmtId="0" fontId="1" fillId="0" borderId="5" applyAlignment="1" pivotButton="0" quotePrefix="0" xfId="0">
      <alignment wrapText="1"/>
    </xf>
    <xf numFmtId="0" fontId="2" fillId="0" borderId="5" applyAlignment="1" pivotButton="0" quotePrefix="0" xfId="0">
      <alignment wrapText="1"/>
    </xf>
    <xf numFmtId="0" fontId="1" fillId="0" borderId="5" applyAlignment="1" pivotButton="0" quotePrefix="0" xfId="0">
      <alignment horizontal="left" vertical="center" wrapText="1" indent="1"/>
    </xf>
    <xf numFmtId="164" fontId="1" fillId="0" borderId="12" applyAlignment="1" pivotButton="0" quotePrefix="0" xfId="0">
      <alignment horizontal="right" wrapText="1" indent="3"/>
    </xf>
    <xf numFmtId="0" fontId="1" fillId="0" borderId="12" applyAlignment="1" pivotButton="0" quotePrefix="0" xfId="0">
      <alignment vertical="center" wrapText="1"/>
    </xf>
    <xf numFmtId="0" fontId="11" fillId="0" borderId="0" applyAlignment="1" pivotButton="0" quotePrefix="0" xfId="0">
      <alignment vertical="center"/>
    </xf>
    <xf numFmtId="0" fontId="1" fillId="0" borderId="12" applyAlignment="1" pivotButton="0" quotePrefix="0" xfId="0">
      <alignment horizontal="left" wrapText="1" indent="1"/>
    </xf>
    <xf numFmtId="0" fontId="0" fillId="0" borderId="12" applyAlignment="1" pivotButton="0" quotePrefix="0" xfId="0">
      <alignment horizontal="left" wrapText="1"/>
    </xf>
    <xf numFmtId="0" fontId="0" fillId="0" borderId="11" applyAlignment="1" pivotButton="0" quotePrefix="0" xfId="0">
      <alignment horizontal="left" wrapText="1"/>
    </xf>
    <xf numFmtId="0" fontId="0" fillId="0" borderId="12" applyAlignment="1" pivotButton="0" quotePrefix="0" xfId="0">
      <alignment horizontal="left" wrapText="1"/>
    </xf>
    <xf numFmtId="0" fontId="1" fillId="0" borderId="12" applyAlignment="1" pivotButton="0" quotePrefix="0" xfId="0">
      <alignment wrapText="1"/>
    </xf>
    <xf numFmtId="0" fontId="2" fillId="0" borderId="12" applyAlignment="1" pivotButton="0" quotePrefix="0" xfId="0">
      <alignment vertical="center" wrapText="1"/>
    </xf>
    <xf numFmtId="0" fontId="1" fillId="0" borderId="12" applyAlignment="1" pivotButton="0" quotePrefix="0" xfId="0">
      <alignment horizontal="left" vertical="center" wrapText="1" indent="1"/>
    </xf>
    <xf numFmtId="0" fontId="1" fillId="0" borderId="11" applyAlignment="1" pivotButton="0" quotePrefix="0" xfId="0">
      <alignment horizontal="left" vertical="center" wrapText="1" indent="1"/>
    </xf>
    <xf numFmtId="164" fontId="1" fillId="0" borderId="12" applyAlignment="1" pivotButton="0" quotePrefix="0" xfId="0">
      <alignment horizontal="right" wrapText="1" indent="2"/>
    </xf>
    <xf numFmtId="0" fontId="2" fillId="0" borderId="12" applyAlignment="1" pivotButton="0" quotePrefix="0" xfId="0">
      <alignment wrapText="1"/>
    </xf>
    <xf numFmtId="0" fontId="0" fillId="0" borderId="12" applyAlignment="1" pivotButton="0" quotePrefix="0" xfId="0">
      <alignment vertical="top" wrapText="1"/>
    </xf>
    <xf numFmtId="0" fontId="0" fillId="0" borderId="12" applyAlignment="1" pivotButton="0" quotePrefix="0" xfId="0">
      <alignment vertical="top" wrapText="1"/>
    </xf>
    <xf numFmtId="0" fontId="0" fillId="0" borderId="5" applyAlignment="1" pivotButton="0" quotePrefix="0" xfId="0">
      <alignment horizontal="left" vertical="center" wrapText="1" indent="1"/>
    </xf>
    <xf numFmtId="0" fontId="1" fillId="0" borderId="12" applyAlignment="1" pivotButton="0" quotePrefix="0" xfId="0">
      <alignment horizontal="left" vertical="top" wrapText="1" indent="1"/>
    </xf>
    <xf numFmtId="0" fontId="0" fillId="0" borderId="12" applyAlignment="1" pivotButton="0" quotePrefix="0" xfId="0">
      <alignment wrapText="1"/>
    </xf>
    <xf numFmtId="0" fontId="2" fillId="0" borderId="11" applyAlignment="1" pivotButton="0" quotePrefix="0" xfId="0">
      <alignment wrapText="1"/>
    </xf>
    <xf numFmtId="164" fontId="0" fillId="0" borderId="12" applyAlignment="1" pivotButton="0" quotePrefix="0" xfId="0">
      <alignment horizontal="right" wrapText="1" indent="2"/>
    </xf>
    <xf numFmtId="0" fontId="0" fillId="0" borderId="5" applyAlignment="1" pivotButton="0" quotePrefix="0" xfId="0">
      <alignment vertical="center" wrapText="1"/>
    </xf>
    <xf numFmtId="164" fontId="0" fillId="0" borderId="0" pivotButton="0" quotePrefix="0" xfId="0"/>
    <xf numFmtId="0" fontId="0" fillId="0" borderId="12" applyAlignment="1" pivotButton="0" quotePrefix="0" xfId="0">
      <alignment vertical="center" wrapText="1"/>
    </xf>
    <xf numFmtId="0" fontId="1" fillId="0" borderId="5" pivotButton="0" quotePrefix="0" xfId="0"/>
    <xf numFmtId="0" fontId="33" fillId="0" borderId="0" applyAlignment="1" pivotButton="0" quotePrefix="0" xfId="0">
      <alignment wrapText="1"/>
    </xf>
    <xf numFmtId="164" fontId="1" fillId="0" borderId="12" applyAlignment="1" pivotButton="0" quotePrefix="0" xfId="0">
      <alignment horizontal="right" indent="3"/>
    </xf>
    <xf numFmtId="0" fontId="0" fillId="0" borderId="0" pivotButton="0" quotePrefix="0" xfId="0"/>
    <xf numFmtId="164" fontId="0" fillId="0" borderId="12" applyAlignment="1" pivotButton="0" quotePrefix="0" xfId="0">
      <alignment horizontal="right" indent="3"/>
    </xf>
    <xf numFmtId="164" fontId="0" fillId="0" borderId="12" applyAlignment="1" pivotButton="0" quotePrefix="0" xfId="0">
      <alignment horizontal="right" indent="2"/>
    </xf>
    <xf numFmtId="0" fontId="1" fillId="0" borderId="7" applyAlignment="1" pivotButton="0" quotePrefix="0" xfId="0">
      <alignment horizontal="left" vertical="top" wrapText="1" indent="1"/>
    </xf>
    <xf numFmtId="0" fontId="1" fillId="0" borderId="5" applyAlignment="1" pivotButton="0" quotePrefix="0" xfId="0">
      <alignment horizontal="left" wrapText="1" indent="2"/>
    </xf>
    <xf numFmtId="0" fontId="1" fillId="0" borderId="5" applyAlignment="1" pivotButton="0" quotePrefix="0" xfId="0">
      <alignment horizontal="left" wrapText="1" indent="1"/>
    </xf>
    <xf numFmtId="0" fontId="1" fillId="0" borderId="5" applyAlignment="1" pivotButton="0" quotePrefix="0" xfId="0">
      <alignment horizontal="left" wrapText="1"/>
    </xf>
    <xf numFmtId="164" fontId="0" fillId="0" borderId="12" applyAlignment="1" pivotButton="0" quotePrefix="0" xfId="0">
      <alignment horizontal="right" vertical="center" indent="2"/>
    </xf>
    <xf numFmtId="0" fontId="0" fillId="0" borderId="12" pivotButton="0" quotePrefix="0" xfId="0"/>
    <xf numFmtId="164" fontId="0" fillId="0" borderId="12" applyAlignment="1" pivotButton="0" quotePrefix="0" xfId="0">
      <alignment horizontal="right" indent="2"/>
    </xf>
    <xf numFmtId="0" fontId="2" fillId="0" borderId="12" pivotButton="0" quotePrefix="0" xfId="0"/>
    <xf numFmtId="0" fontId="2" fillId="0" borderId="11" pivotButton="0" quotePrefix="0" xfId="0"/>
    <xf numFmtId="0" fontId="0" fillId="0" borderId="11" applyAlignment="1" pivotButton="0" quotePrefix="0" xfId="0">
      <alignment vertical="top" wrapText="1"/>
    </xf>
    <xf numFmtId="164" fontId="1" fillId="0" borderId="12" applyAlignment="1" pivotButton="0" quotePrefix="0" xfId="0">
      <alignment horizontal="right" indent="1"/>
    </xf>
    <xf numFmtId="0" fontId="32" fillId="0" borderId="0" applyAlignment="1" pivotButton="0" quotePrefix="0" xfId="0">
      <alignment horizontal="center" wrapText="1"/>
    </xf>
    <xf numFmtId="0" fontId="7" fillId="0" borderId="0" pivotButton="0" quotePrefix="0" xfId="0"/>
    <xf numFmtId="0" fontId="1" fillId="0" borderId="11" applyAlignment="1" pivotButton="0" quotePrefix="0" xfId="0">
      <alignment horizontal="left" wrapText="1" indent="1"/>
    </xf>
    <xf numFmtId="0" fontId="0" fillId="0" borderId="0" pivotButton="0" quotePrefix="0" xfId="0"/>
    <xf numFmtId="0" fontId="1" fillId="0" borderId="0" applyAlignment="1" pivotButton="0" quotePrefix="0" xfId="0">
      <alignment horizontal="left" vertical="center" wrapText="1" indent="14"/>
    </xf>
    <xf numFmtId="0" fontId="1" fillId="0" borderId="0" applyAlignment="1" pivotButton="0" quotePrefix="0" xfId="0">
      <alignment horizontal="left" vertical="center" wrapText="1" indent="1"/>
    </xf>
    <xf numFmtId="0" fontId="1" fillId="0" borderId="0" applyAlignment="1" pivotButton="0" quotePrefix="0" xfId="0">
      <alignment horizontal="center" vertical="center"/>
    </xf>
    <xf numFmtId="164" fontId="1" fillId="0" borderId="0" applyAlignment="1" pivotButton="0" quotePrefix="0" xfId="0">
      <alignment horizontal="left" wrapText="1" indent="14"/>
    </xf>
    <xf numFmtId="0" fontId="0" fillId="0" borderId="5" applyAlignment="1" pivotButton="0" quotePrefix="0" xfId="0">
      <alignment horizontal="left" wrapText="1"/>
    </xf>
    <xf numFmtId="0" fontId="2" fillId="0" borderId="10" applyAlignment="1" pivotButton="0" quotePrefix="0" xfId="0">
      <alignment horizontal="center"/>
    </xf>
    <xf numFmtId="0" fontId="2" fillId="0" borderId="10" applyAlignment="1" pivotButton="0" quotePrefix="0" xfId="0">
      <alignment horizontal="center" wrapText="1"/>
    </xf>
    <xf numFmtId="0" fontId="2" fillId="0" borderId="12" applyAlignment="1" pivotButton="0" quotePrefix="0" xfId="0">
      <alignment horizontal="center" wrapText="1"/>
    </xf>
    <xf numFmtId="0" fontId="2" fillId="0" borderId="10" applyAlignment="1" pivotButton="0" quotePrefix="0" xfId="0">
      <alignment horizontal="center" wrapText="1"/>
    </xf>
    <xf numFmtId="0" fontId="19" fillId="0" borderId="10" applyAlignment="1" pivotButton="0" quotePrefix="0" xfId="0">
      <alignment horizontal="right" wrapText="1" indent="5"/>
    </xf>
    <xf numFmtId="0" fontId="2" fillId="0" borderId="10" applyAlignment="1" pivotButton="0" quotePrefix="0" xfId="0">
      <alignment horizontal="center" vertical="center" wrapText="1"/>
    </xf>
    <xf numFmtId="0" fontId="2" fillId="0" borderId="12" applyAlignment="1" pivotButton="0" quotePrefix="0" xfId="0">
      <alignment horizontal="center" vertical="center" wrapText="1"/>
    </xf>
    <xf numFmtId="0" fontId="2" fillId="0" borderId="12" applyAlignment="1" pivotButton="0" quotePrefix="0" xfId="0">
      <alignment horizontal="center" wrapText="1"/>
    </xf>
    <xf numFmtId="0" fontId="2" fillId="0" borderId="12" applyAlignment="1" pivotButton="0" quotePrefix="0" xfId="0">
      <alignment horizontal="center"/>
    </xf>
    <xf numFmtId="164" fontId="33" fillId="0" borderId="12" applyAlignment="1" pivotButton="0" quotePrefix="0" xfId="0">
      <alignment horizontal="right" indent="3"/>
    </xf>
    <xf numFmtId="0" fontId="2" fillId="0" borderId="12" applyAlignment="1" pivotButton="0" quotePrefix="0" xfId="0">
      <alignment horizontal="center"/>
    </xf>
    <xf numFmtId="0" fontId="2" fillId="0" borderId="10" applyAlignment="1" pivotButton="0" quotePrefix="0" xfId="0">
      <alignment horizontal="center" vertical="center" wrapText="1"/>
    </xf>
    <xf numFmtId="0" fontId="2" fillId="0" borderId="12" applyAlignment="1" pivotButton="0" quotePrefix="0" xfId="0">
      <alignment horizontal="center" vertical="center" wrapText="1"/>
    </xf>
    <xf numFmtId="0" fontId="2" fillId="0" borderId="11" applyAlignment="1" pivotButton="0" quotePrefix="0" xfId="0">
      <alignment vertical="center" wrapText="1"/>
    </xf>
    <xf numFmtId="0" fontId="0" fillId="0" borderId="7" applyAlignment="1" pivotButton="0" quotePrefix="0" xfId="0">
      <alignment vertical="center" wrapText="1"/>
    </xf>
    <xf numFmtId="0" fontId="2" fillId="0" borderId="0" applyAlignment="1" pivotButton="0" quotePrefix="0" xfId="0">
      <alignment horizontal="center" vertical="center"/>
    </xf>
    <xf numFmtId="0" fontId="1" fillId="0" borderId="0" applyAlignment="1" pivotButton="0" quotePrefix="0" xfId="0">
      <alignment vertical="center" wrapText="1"/>
    </xf>
    <xf numFmtId="0" fontId="1" fillId="0" borderId="0" applyAlignment="1" pivotButton="0" quotePrefix="0" xfId="0">
      <alignment horizontal="left" wrapText="1" indent="14"/>
    </xf>
    <xf numFmtId="0" fontId="2" fillId="0" borderId="5" applyAlignment="1" pivotButton="0" quotePrefix="0" xfId="0">
      <alignment horizontal="left" wrapText="1"/>
    </xf>
    <xf numFmtId="0" fontId="0" fillId="0" borderId="5" applyAlignment="1" pivotButton="0" quotePrefix="0" xfId="0">
      <alignment horizontal="left" wrapText="1"/>
    </xf>
    <xf numFmtId="0" fontId="0" fillId="0" borderId="12" applyAlignment="1" pivotButton="0" quotePrefix="0" xfId="0">
      <alignment horizontal="left" vertical="center" wrapText="1"/>
    </xf>
    <xf numFmtId="0" fontId="1" fillId="0" borderId="12" applyAlignment="1" pivotButton="0" quotePrefix="0" xfId="0">
      <alignment horizontal="left" vertical="center" wrapText="1"/>
    </xf>
    <xf numFmtId="0" fontId="1" fillId="0" borderId="12" applyAlignment="1" pivotButton="0" quotePrefix="0" xfId="0">
      <alignment horizontal="left" vertical="center" wrapText="1"/>
    </xf>
    <xf numFmtId="0" fontId="0" fillId="0" borderId="12" applyAlignment="1" pivotButton="0" quotePrefix="0" xfId="0">
      <alignment horizontal="left"/>
    </xf>
    <xf numFmtId="0" fontId="2" fillId="0" borderId="10" applyAlignment="1" pivotButton="0" quotePrefix="0" xfId="0">
      <alignment vertical="center" wrapText="1"/>
    </xf>
    <xf numFmtId="0" fontId="1" fillId="0" borderId="11" applyAlignment="1" pivotButton="0" quotePrefix="0" xfId="0">
      <alignment vertical="center" wrapText="1"/>
    </xf>
    <xf numFmtId="0" fontId="1" fillId="2" borderId="1" applyAlignment="1" pivotButton="0" quotePrefix="0" xfId="0">
      <alignment horizontal="center" vertical="center" wrapText="1"/>
    </xf>
    <xf numFmtId="0" fontId="1" fillId="2" borderId="1" applyAlignment="1" pivotButton="0" quotePrefix="0" xfId="0">
      <alignment vertical="center" wrapText="1"/>
    </xf>
    <xf numFmtId="0" fontId="2" fillId="0" borderId="4" applyAlignment="1" pivotButton="0" quotePrefix="0" xfId="0">
      <alignment vertical="center" wrapText="1"/>
    </xf>
    <xf numFmtId="0" fontId="0" fillId="0" borderId="12" applyAlignment="1" pivotButton="0" quotePrefix="0" xfId="0">
      <alignment horizontal="right" indent="3"/>
    </xf>
    <xf numFmtId="0" fontId="2" fillId="0" borderId="6" applyAlignment="1" pivotButton="0" quotePrefix="0" xfId="0">
      <alignment vertical="center" wrapText="1"/>
    </xf>
    <xf numFmtId="0" fontId="0" fillId="0" borderId="12" applyAlignment="1" pivotButton="0" quotePrefix="0" xfId="0">
      <alignment horizontal="right" vertical="center" wrapText="1" indent="3"/>
    </xf>
    <xf numFmtId="0" fontId="0" fillId="0" borderId="11" applyAlignment="1" pivotButton="0" quotePrefix="0" xfId="0">
      <alignment horizontal="right" indent="3"/>
    </xf>
    <xf numFmtId="0" fontId="1" fillId="2" borderId="6" applyAlignment="1" pivotButton="0" quotePrefix="0" xfId="0">
      <alignment horizontal="center" vertical="top" wrapText="1"/>
    </xf>
    <xf numFmtId="0" fontId="0" fillId="0" borderId="12" applyAlignment="1" pivotButton="0" quotePrefix="0" xfId="0">
      <alignment horizontal="right" indent="2"/>
    </xf>
    <xf numFmtId="0" fontId="0" fillId="0" borderId="11" applyAlignment="1" pivotButton="0" quotePrefix="0" xfId="0">
      <alignment horizontal="left" vertical="center" wrapText="1"/>
    </xf>
    <xf numFmtId="0" fontId="2" fillId="0" borderId="0" applyAlignment="1" pivotButton="0" quotePrefix="0" xfId="0">
      <alignment vertical="center" wrapText="1"/>
    </xf>
    <xf numFmtId="164" fontId="0" fillId="0" borderId="12" applyAlignment="1" pivotButton="0" quotePrefix="0" xfId="0">
      <alignment horizontal="right" indent="3"/>
    </xf>
    <xf numFmtId="0" fontId="33" fillId="0" borderId="16" applyAlignment="1" pivotButton="0" quotePrefix="0" xfId="0">
      <alignment vertical="center" wrapText="1"/>
    </xf>
    <xf numFmtId="0" fontId="35" fillId="0" borderId="0" applyAlignment="1" pivotButton="0" quotePrefix="0" xfId="0">
      <alignment vertical="center" wrapText="1"/>
    </xf>
    <xf numFmtId="0" fontId="33" fillId="0" borderId="0" applyAlignment="1" pivotButton="0" quotePrefix="0" xfId="0">
      <alignment horizontal="left" vertical="center" wrapText="1"/>
    </xf>
    <xf numFmtId="0" fontId="33" fillId="0" borderId="0" applyAlignment="1" pivotButton="0" quotePrefix="0" xfId="1">
      <alignment horizontal="left" vertical="center" wrapText="1"/>
    </xf>
    <xf numFmtId="0" fontId="33" fillId="0" borderId="0" applyAlignment="1" pivotButton="0" quotePrefix="0" xfId="0">
      <alignment horizontal="center" vertical="center"/>
    </xf>
    <xf numFmtId="0" fontId="2" fillId="0" borderId="11" applyAlignment="1" pivotButton="0" quotePrefix="0" xfId="0">
      <alignment vertical="center" wrapText="1"/>
    </xf>
    <xf numFmtId="0" fontId="0" fillId="0" borderId="0" applyAlignment="1" pivotButton="0" quotePrefix="0" xfId="0">
      <alignment horizontal="left" wrapText="1"/>
    </xf>
    <xf numFmtId="0" fontId="2" fillId="0" borderId="5" applyAlignment="1" pivotButton="0" quotePrefix="0" xfId="0">
      <alignment horizontal="center" wrapText="1"/>
    </xf>
    <xf numFmtId="0" fontId="1" fillId="0" borderId="5" applyAlignment="1" pivotButton="0" quotePrefix="0" xfId="0">
      <alignment horizontal="right" wrapText="1" indent="2"/>
    </xf>
    <xf numFmtId="164" fontId="1" fillId="0" borderId="5" applyAlignment="1" pivotButton="0" quotePrefix="0" xfId="0">
      <alignment horizontal="right" wrapText="1" indent="2"/>
    </xf>
    <xf numFmtId="0" fontId="1" fillId="0" borderId="12" applyAlignment="1" pivotButton="0" quotePrefix="0" xfId="0">
      <alignment horizontal="left" vertical="center" wrapText="1" indent="2"/>
    </xf>
    <xf numFmtId="0" fontId="0" fillId="0" borderId="5" applyAlignment="1" pivotButton="0" quotePrefix="0" xfId="0">
      <alignment wrapText="1"/>
    </xf>
    <xf numFmtId="0" fontId="2" fillId="0" borderId="5" applyAlignment="1" pivotButton="0" quotePrefix="0" xfId="0">
      <alignment horizontal="center"/>
    </xf>
    <xf numFmtId="0" fontId="2" fillId="0" borderId="2" applyAlignment="1" pivotButton="0" quotePrefix="0" xfId="0">
      <alignment horizontal="center" wrapText="1"/>
    </xf>
    <xf numFmtId="0" fontId="2" fillId="0" borderId="2" applyAlignment="1" pivotButton="0" quotePrefix="0" xfId="0">
      <alignment horizontal="center"/>
    </xf>
    <xf numFmtId="0" fontId="33" fillId="0" borderId="0" pivotButton="0" quotePrefix="0" xfId="0"/>
    <xf numFmtId="0" fontId="35" fillId="0" borderId="12" applyAlignment="1" pivotButton="0" quotePrefix="0" xfId="0">
      <alignment vertical="center" wrapText="1"/>
    </xf>
    <xf numFmtId="0" fontId="33" fillId="0" borderId="12" applyAlignment="1" pivotButton="0" quotePrefix="0" xfId="0">
      <alignment horizontal="left" vertical="top" wrapText="1" indent="1"/>
    </xf>
    <xf numFmtId="0" fontId="33" fillId="0" borderId="12" applyAlignment="1" pivotButton="0" quotePrefix="0" xfId="0">
      <alignment horizontal="left" vertical="top" indent="1"/>
    </xf>
    <xf numFmtId="0" fontId="35" fillId="0" borderId="12" applyAlignment="1" pivotButton="0" quotePrefix="0" xfId="0">
      <alignment wrapText="1"/>
    </xf>
    <xf numFmtId="0" fontId="35" fillId="0" borderId="11" applyAlignment="1" pivotButton="0" quotePrefix="0" xfId="0">
      <alignment wrapText="1"/>
    </xf>
    <xf numFmtId="164" fontId="0" fillId="0" borderId="0" applyAlignment="1" pivotButton="0" quotePrefix="0" xfId="0">
      <alignment horizontal="right" wrapText="1" indent="5"/>
    </xf>
    <xf numFmtId="0" fontId="1" fillId="0" borderId="0" applyAlignment="1" pivotButton="0" quotePrefix="0" xfId="0">
      <alignment vertical="center" wrapText="1"/>
    </xf>
    <xf numFmtId="0" fontId="8" fillId="0" borderId="0" applyAlignment="1" pivotButton="0" quotePrefix="0" xfId="0">
      <alignment horizontal="center" vertical="center" wrapText="1"/>
    </xf>
    <xf numFmtId="0" fontId="0" fillId="0" borderId="0" applyAlignment="1" pivotButton="0" quotePrefix="0" xfId="0">
      <alignment horizontal="left" vertical="top" wrapText="1" indent="31"/>
    </xf>
    <xf numFmtId="0" fontId="0" fillId="0" borderId="0" applyAlignment="1" pivotButton="0" quotePrefix="0" xfId="0">
      <alignment horizontal="right" indent="11"/>
    </xf>
    <xf numFmtId="0" fontId="14" fillId="0" borderId="0" pivotButton="0" quotePrefix="0" xfId="0"/>
    <xf numFmtId="0" fontId="1" fillId="0" borderId="0" applyAlignment="1" pivotButton="0" quotePrefix="0" xfId="0">
      <alignment vertical="center" wrapText="1"/>
    </xf>
    <xf numFmtId="0" fontId="33" fillId="0" borderId="0" pivotButton="0" quotePrefix="0" xfId="0"/>
    <xf numFmtId="0" fontId="1" fillId="0" borderId="5" applyAlignment="1" pivotButton="0" quotePrefix="0" xfId="0">
      <alignment horizontal="right" vertical="center" indent="2"/>
    </xf>
    <xf numFmtId="164" fontId="1" fillId="0" borderId="5" applyAlignment="1" pivotButton="0" quotePrefix="1" xfId="0">
      <alignment horizontal="right" vertical="center" indent="2"/>
    </xf>
    <xf numFmtId="164" fontId="1" fillId="0" borderId="5" applyAlignment="1" pivotButton="0" quotePrefix="0" xfId="0">
      <alignment horizontal="right" vertical="center" indent="2"/>
    </xf>
    <xf numFmtId="164" fontId="1" fillId="0" borderId="12" applyAlignment="1" pivotButton="0" quotePrefix="0" xfId="0">
      <alignment horizontal="right" vertical="center" indent="2"/>
    </xf>
    <xf numFmtId="0" fontId="1"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 fillId="0" borderId="0" applyAlignment="1" pivotButton="0" quotePrefix="0" xfId="0">
      <alignment vertical="center" wrapText="1"/>
    </xf>
    <xf numFmtId="0" fontId="1" fillId="0" borderId="0" applyAlignment="1" pivotButton="0" quotePrefix="0" xfId="0">
      <alignment vertical="center" wrapText="1"/>
    </xf>
    <xf numFmtId="0" fontId="8" fillId="0" borderId="0" applyAlignment="1" pivotButton="0" quotePrefix="0" xfId="0">
      <alignment horizontal="center" vertical="center" wrapText="1"/>
    </xf>
    <xf numFmtId="0" fontId="0" fillId="0" borderId="12" applyAlignment="1" pivotButton="0" quotePrefix="0" xfId="0">
      <alignment horizontal="left" vertical="top" wrapText="1" indent="1"/>
    </xf>
    <xf numFmtId="0" fontId="33" fillId="0" borderId="12" applyAlignment="1" pivotButton="0" quotePrefix="0" xfId="0">
      <alignment horizontal="left" vertical="center" wrapText="1" indent="2"/>
    </xf>
    <xf numFmtId="0" fontId="33" fillId="0" borderId="0" applyAlignment="1" pivotButton="0" quotePrefix="0" xfId="0">
      <alignment horizontal="center" vertical="center"/>
    </xf>
    <xf numFmtId="0" fontId="39" fillId="0" borderId="0" applyAlignment="1" pivotButton="0" quotePrefix="0" xfId="0">
      <alignment horizontal="center" vertical="center" wrapText="1"/>
    </xf>
    <xf numFmtId="0" fontId="35" fillId="0" borderId="0" applyAlignment="1" pivotButton="0" quotePrefix="0" xfId="0">
      <alignment horizontal="center" vertical="center" wrapText="1"/>
    </xf>
    <xf numFmtId="0" fontId="0" fillId="0" borderId="12" applyAlignment="1" pivotButton="0" quotePrefix="0" xfId="0">
      <alignment horizontal="left" vertical="top" wrapText="1" indent="1"/>
    </xf>
    <xf numFmtId="0" fontId="1" fillId="0" borderId="5" applyAlignment="1" pivotButton="0" quotePrefix="0" xfId="0">
      <alignment horizontal="left" vertical="top" wrapText="1" indent="1"/>
    </xf>
    <xf numFmtId="0" fontId="1" fillId="0" borderId="12" applyAlignment="1" pivotButton="0" quotePrefix="0" xfId="0">
      <alignment horizontal="left" wrapText="1"/>
    </xf>
    <xf numFmtId="0" fontId="33" fillId="2" borderId="4" applyAlignment="1" pivotButton="0" quotePrefix="0" xfId="0">
      <alignment horizontal="center" vertical="top" wrapText="1"/>
    </xf>
    <xf numFmtId="164" fontId="0" fillId="0" borderId="12" applyAlignment="1" pivotButton="0" quotePrefix="0" xfId="0">
      <alignment horizontal="right" wrapText="1" indent="6"/>
    </xf>
    <xf numFmtId="0" fontId="0" fillId="2" borderId="1" applyAlignment="1" pivotButton="0" quotePrefix="0" xfId="0">
      <alignment horizontal="center" vertical="top" wrapText="1"/>
    </xf>
    <xf numFmtId="0" fontId="2" fillId="0" borderId="10" applyAlignment="1" pivotButton="0" quotePrefix="0" xfId="0">
      <alignment horizontal="center" vertical="center"/>
    </xf>
    <xf numFmtId="0" fontId="1" fillId="2" borderId="4" applyAlignment="1" pivotButton="0" quotePrefix="0" xfId="0">
      <alignment horizontal="center" vertical="top" wrapText="1"/>
    </xf>
    <xf numFmtId="0" fontId="2" fillId="0" borderId="0" applyAlignment="1" pivotButton="0" quotePrefix="0" xfId="0">
      <alignment horizontal="center" wrapText="1"/>
    </xf>
    <xf numFmtId="0" fontId="2" fillId="0" borderId="3" applyAlignment="1" pivotButton="0" quotePrefix="0" xfId="0">
      <alignment horizontal="center" wrapText="1"/>
    </xf>
    <xf numFmtId="164" fontId="0" fillId="0" borderId="0" applyAlignment="1" pivotButton="0" quotePrefix="0" xfId="0">
      <alignment horizontal="right" wrapText="1" indent="2"/>
    </xf>
    <xf numFmtId="0" fontId="0" fillId="0" borderId="7" applyAlignment="1" pivotButton="0" quotePrefix="0" xfId="0">
      <alignment horizontal="left" wrapText="1"/>
    </xf>
    <xf numFmtId="164" fontId="0" fillId="0" borderId="11" applyAlignment="1" pivotButton="0" quotePrefix="0" xfId="0">
      <alignment horizontal="right" indent="3"/>
    </xf>
    <xf numFmtId="0" fontId="0" fillId="2" borderId="1" applyAlignment="1" pivotButton="0" quotePrefix="0" xfId="0">
      <alignment horizontal="center" vertical="top"/>
    </xf>
    <xf numFmtId="0" fontId="0" fillId="0" borderId="0" applyAlignment="1" pivotButton="0" quotePrefix="0" xfId="0">
      <alignment horizontal="right" wrapText="1" indent="5"/>
    </xf>
    <xf numFmtId="164" fontId="33" fillId="0" borderId="11" applyAlignment="1" pivotButton="0" quotePrefix="0" xfId="0">
      <alignment horizontal="right" indent="3"/>
    </xf>
    <xf numFmtId="0" fontId="0" fillId="2" borderId="10" applyAlignment="1" pivotButton="0" quotePrefix="0" xfId="0">
      <alignment horizontal="center" vertical="top" wrapText="1"/>
    </xf>
    <xf numFmtId="0" fontId="0" fillId="0" borderId="0" pivotButton="0" quotePrefix="0" xfId="0"/>
    <xf numFmtId="0" fontId="2" fillId="0" borderId="7" applyAlignment="1" pivotButton="0" quotePrefix="0" xfId="0">
      <alignment horizontal="left" wrapText="1"/>
    </xf>
    <xf numFmtId="0" fontId="1" fillId="0" borderId="7" applyAlignment="1" pivotButton="0" quotePrefix="0" xfId="0">
      <alignment horizontal="right" vertical="center" indent="2"/>
    </xf>
    <xf numFmtId="164" fontId="1" fillId="0" borderId="7" applyAlignment="1" pivotButton="0" quotePrefix="1" xfId="0">
      <alignment horizontal="right" vertical="center" indent="2"/>
    </xf>
    <xf numFmtId="164" fontId="1" fillId="0" borderId="7" applyAlignment="1" pivotButton="0" quotePrefix="0" xfId="0">
      <alignment horizontal="right" vertical="center" indent="2"/>
    </xf>
    <xf numFmtId="164" fontId="1" fillId="0" borderId="11" applyAlignment="1" pivotButton="0" quotePrefix="0" xfId="0">
      <alignment horizontal="right" vertical="center" indent="2"/>
    </xf>
    <xf numFmtId="164" fontId="1" fillId="0" borderId="6" applyAlignment="1" pivotButton="0" quotePrefix="0" xfId="0">
      <alignment horizontal="right" indent="3"/>
    </xf>
    <xf numFmtId="164" fontId="0" fillId="0" borderId="6" applyAlignment="1" pivotButton="0" quotePrefix="0" xfId="0">
      <alignment horizontal="right" indent="3"/>
    </xf>
    <xf numFmtId="164" fontId="0" fillId="0" borderId="7" applyAlignment="1" pivotButton="0" quotePrefix="0" xfId="0">
      <alignment horizontal="right" indent="3"/>
    </xf>
    <xf numFmtId="0" fontId="1" fillId="0" borderId="12" applyAlignment="1" pivotButton="0" quotePrefix="0" xfId="0">
      <alignment horizontal="left" wrapText="1" indent="1"/>
    </xf>
    <xf numFmtId="0" fontId="1" fillId="0" borderId="7" applyAlignment="1" pivotButton="0" quotePrefix="0" xfId="0">
      <alignment vertical="center" wrapText="1"/>
    </xf>
    <xf numFmtId="164" fontId="0" fillId="0" borderId="12" applyAlignment="1" pivotButton="0" quotePrefix="0" xfId="0">
      <alignment horizontal="right" wrapText="1" indent="2"/>
    </xf>
    <xf numFmtId="164" fontId="0" fillId="0" borderId="6" applyAlignment="1" pivotButton="0" quotePrefix="0" xfId="0">
      <alignment horizontal="right" wrapText="1" indent="2"/>
    </xf>
    <xf numFmtId="164" fontId="0" fillId="0" borderId="12" applyAlignment="1" pivotButton="0" quotePrefix="0" xfId="0">
      <alignment horizontal="right" wrapText="1" indent="3"/>
    </xf>
    <xf numFmtId="2" fontId="0" fillId="0" borderId="12" applyAlignment="1" pivotButton="0" quotePrefix="0" xfId="0">
      <alignment horizontal="right" wrapText="1" indent="3"/>
    </xf>
    <xf numFmtId="164" fontId="0" fillId="0" borderId="12" applyAlignment="1" pivotButton="0" quotePrefix="0" xfId="0">
      <alignment horizontal="right" vertical="center" wrapText="1" indent="2"/>
    </xf>
    <xf numFmtId="164" fontId="0" fillId="0" borderId="6" applyAlignment="1" pivotButton="0" quotePrefix="0" xfId="0">
      <alignment horizontal="right" vertical="center" wrapText="1" indent="2"/>
    </xf>
    <xf numFmtId="164" fontId="1" fillId="0" borderId="12" applyAlignment="1" pivotButton="0" quotePrefix="0" xfId="0">
      <alignment horizontal="right" indent="2"/>
    </xf>
    <xf numFmtId="0" fontId="0" fillId="0" borderId="12" applyAlignment="1" pivotButton="0" quotePrefix="0" xfId="0">
      <alignment horizontal="right" wrapText="1" indent="5"/>
    </xf>
    <xf numFmtId="0" fontId="0" fillId="0" borderId="5" applyAlignment="1" pivotButton="0" quotePrefix="0" xfId="0">
      <alignment vertical="center" wrapText="1"/>
    </xf>
    <xf numFmtId="0" fontId="2" fillId="0" borderId="5" applyAlignment="1" pivotButton="0" quotePrefix="0" xfId="0">
      <alignment vertical="center" wrapText="1"/>
    </xf>
    <xf numFmtId="164" fontId="0" fillId="0" borderId="0" pivotButton="0" quotePrefix="0" xfId="0"/>
    <xf numFmtId="164" fontId="0" fillId="0" borderId="0" pivotButton="0" quotePrefix="0" xfId="0"/>
    <xf numFmtId="0" fontId="0" fillId="0" borderId="0" applyAlignment="1" pivotButton="0" quotePrefix="0" xfId="0">
      <alignment vertical="center" wrapText="1"/>
    </xf>
    <xf numFmtId="164" fontId="0" fillId="0" borderId="12" applyAlignment="1" pivotButton="0" quotePrefix="0" xfId="0">
      <alignment horizontal="right" wrapText="1" indent="5"/>
    </xf>
    <xf numFmtId="164" fontId="1" fillId="0" borderId="5" applyAlignment="1" pivotButton="0" quotePrefix="0" xfId="0">
      <alignment horizontal="right" indent="2"/>
    </xf>
    <xf numFmtId="0" fontId="1" fillId="0" borderId="5" applyAlignment="1" pivotButton="0" quotePrefix="0" xfId="0">
      <alignment horizontal="right" indent="2"/>
    </xf>
    <xf numFmtId="0" fontId="1" fillId="0" borderId="5" applyAlignment="1" pivotButton="0" quotePrefix="0" xfId="0">
      <alignment horizontal="left" vertical="center" wrapText="1" indent="2"/>
    </xf>
    <xf numFmtId="164" fontId="0" fillId="0" borderId="0" applyAlignment="1" pivotButton="0" quotePrefix="0" xfId="0">
      <alignment horizontal="right" wrapText="1" indent="2"/>
    </xf>
    <xf numFmtId="0" fontId="0" fillId="0" borderId="5" applyAlignment="1" pivotButton="0" quotePrefix="0" xfId="0">
      <alignment wrapText="1"/>
    </xf>
    <xf numFmtId="164" fontId="0" fillId="0" borderId="12" applyAlignment="1" pivotButton="0" quotePrefix="0" xfId="0">
      <alignment horizontal="right" indent="1"/>
    </xf>
    <xf numFmtId="164" fontId="0" fillId="0" borderId="12" applyAlignment="1" pivotButton="0" quotePrefix="0" xfId="0">
      <alignment horizontal="right" indent="3"/>
    </xf>
    <xf numFmtId="164" fontId="0" fillId="0" borderId="11" applyAlignment="1" pivotButton="0" quotePrefix="0" xfId="0">
      <alignment horizontal="right" indent="1"/>
    </xf>
    <xf numFmtId="0" fontId="35" fillId="0" borderId="0" applyAlignment="1" pivotButton="0" quotePrefix="0" xfId="1">
      <alignment vertical="center" wrapText="1"/>
    </xf>
    <xf numFmtId="164" fontId="0" fillId="0" borderId="6" applyAlignment="1" pivotButton="0" quotePrefix="0" xfId="0">
      <alignment horizontal="right" indent="4"/>
    </xf>
    <xf numFmtId="0" fontId="0" fillId="0" borderId="12" applyAlignment="1" pivotButton="0" quotePrefix="0" xfId="0">
      <alignment horizontal="left" wrapText="1" indent="1"/>
    </xf>
    <xf numFmtId="164" fontId="0" fillId="0" borderId="12" applyAlignment="1" pivotButton="0" quotePrefix="0" xfId="0">
      <alignment horizontal="right" indent="4"/>
    </xf>
    <xf numFmtId="0" fontId="1" fillId="0" borderId="0" pivotButton="0" quotePrefix="0" xfId="0"/>
    <xf numFmtId="164" fontId="1" fillId="0" borderId="0" pivotButton="0" quotePrefix="0" xfId="0"/>
    <xf numFmtId="0" fontId="0" fillId="0" borderId="0" applyAlignment="1" pivotButton="0" quotePrefix="0" xfId="0">
      <alignment horizontal="left" vertical="center" wrapText="1" indent="31"/>
    </xf>
    <xf numFmtId="0" fontId="2" fillId="0" borderId="0" applyAlignment="1" pivotButton="0" quotePrefix="0" xfId="0">
      <alignment horizontal="justify" vertical="center" wrapText="1"/>
    </xf>
    <xf numFmtId="0" fontId="2" fillId="0" borderId="10" applyAlignment="1" pivotButton="0" quotePrefix="0" xfId="0">
      <alignment horizontal="center"/>
    </xf>
    <xf numFmtId="164" fontId="1" fillId="0" borderId="0" applyAlignment="1" pivotButton="0" quotePrefix="0" xfId="0">
      <alignment horizontal="right" vertical="center" wrapText="1" indent="6"/>
    </xf>
    <xf numFmtId="0" fontId="1" fillId="0" borderId="12" pivotButton="0" quotePrefix="0" xfId="0"/>
    <xf numFmtId="0" fontId="1" fillId="0" borderId="12" applyAlignment="1" pivotButton="0" quotePrefix="0" xfId="0">
      <alignment horizontal="left" vertical="center" wrapText="1" indent="3"/>
    </xf>
    <xf numFmtId="0" fontId="1" fillId="0" borderId="11" applyAlignment="1" pivotButton="0" quotePrefix="0" xfId="0">
      <alignment horizontal="left" vertical="center" wrapText="1" indent="2"/>
    </xf>
    <xf numFmtId="0" fontId="33" fillId="0" borderId="5" applyAlignment="1" pivotButton="0" quotePrefix="0" xfId="0">
      <alignment horizontal="left" vertical="center" wrapText="1" indent="1"/>
    </xf>
    <xf numFmtId="0" fontId="33" fillId="0" borderId="5" applyAlignment="1" pivotButton="0" quotePrefix="0" xfId="0">
      <alignment horizontal="left" vertical="top" wrapText="1" indent="1"/>
    </xf>
    <xf numFmtId="0" fontId="35" fillId="0" borderId="0" applyAlignment="1" pivotButton="0" quotePrefix="0" xfId="0">
      <alignment wrapText="1"/>
    </xf>
    <xf numFmtId="164" fontId="33" fillId="0" borderId="0" applyAlignment="1" pivotButton="0" quotePrefix="0" xfId="0">
      <alignment horizontal="right" wrapText="1" indent="4"/>
    </xf>
    <xf numFmtId="164" fontId="33" fillId="0" borderId="0" applyAlignment="1" pivotButton="0" quotePrefix="1" xfId="0">
      <alignment horizontal="right" wrapText="1" indent="4"/>
    </xf>
    <xf numFmtId="0" fontId="0" fillId="0" borderId="0" applyAlignment="1" pivotButton="0" quotePrefix="0" xfId="0">
      <alignment horizontal="center"/>
    </xf>
    <xf numFmtId="0" fontId="0" fillId="0" borderId="5" applyAlignment="1" pivotButton="0" quotePrefix="0" xfId="0">
      <alignment horizontal="left" wrapText="1" indent="2"/>
    </xf>
    <xf numFmtId="0" fontId="0" fillId="0" borderId="5" applyAlignment="1" pivotButton="0" quotePrefix="0" xfId="0">
      <alignment horizontal="left" wrapText="1" indent="1"/>
    </xf>
    <xf numFmtId="0" fontId="0" fillId="0" borderId="11" applyAlignment="1" pivotButton="0" quotePrefix="0" xfId="0">
      <alignment wrapText="1"/>
    </xf>
    <xf numFmtId="0" fontId="1" fillId="0" borderId="5" applyAlignment="1" pivotButton="0" quotePrefix="0" xfId="0">
      <alignment horizontal="left" vertical="center" wrapText="1" indent="1"/>
    </xf>
    <xf numFmtId="0" fontId="33" fillId="0" borderId="11" applyAlignment="1" pivotButton="0" quotePrefix="0" xfId="0">
      <alignment horizontal="left" vertical="center" wrapText="1" indent="1"/>
    </xf>
    <xf numFmtId="164" fontId="0" fillId="0" borderId="11" applyAlignment="1" pivotButton="0" quotePrefix="0" xfId="0">
      <alignment horizontal="right" vertical="center" wrapText="1" indent="2"/>
    </xf>
    <xf numFmtId="164" fontId="0" fillId="0" borderId="9" applyAlignment="1" pivotButton="0" quotePrefix="0" xfId="0">
      <alignment horizontal="right" vertical="center" wrapText="1" indent="2"/>
    </xf>
    <xf numFmtId="164" fontId="0" fillId="0" borderId="6" applyAlignment="1" pivotButton="0" quotePrefix="0" xfId="0">
      <alignment horizontal="right" wrapText="1" indent="3"/>
    </xf>
    <xf numFmtId="164" fontId="0" fillId="0" borderId="11" applyAlignment="1" pivotButton="0" quotePrefix="0" xfId="0">
      <alignment horizontal="right" wrapText="1" indent="3"/>
    </xf>
    <xf numFmtId="164" fontId="0" fillId="0" borderId="6" applyAlignment="1" pivotButton="0" quotePrefix="0" xfId="0">
      <alignment horizontal="right" indent="3"/>
    </xf>
    <xf numFmtId="164" fontId="0" fillId="0" borderId="12" applyAlignment="1" pivotButton="0" quotePrefix="0" xfId="0">
      <alignment horizontal="right" wrapText="1" indent="4"/>
    </xf>
    <xf numFmtId="164" fontId="0" fillId="0" borderId="11" applyAlignment="1" pivotButton="0" quotePrefix="0" xfId="0">
      <alignment horizontal="right" indent="2"/>
    </xf>
    <xf numFmtId="164" fontId="0" fillId="0" borderId="6" applyAlignment="1" pivotButton="0" quotePrefix="0" xfId="0">
      <alignment horizontal="right" wrapText="1" indent="4"/>
    </xf>
    <xf numFmtId="0" fontId="2" fillId="0" borderId="12" applyAlignment="1" pivotButton="0" quotePrefix="0" xfId="0">
      <alignment horizontal="justify" vertical="center" wrapText="1"/>
    </xf>
    <xf numFmtId="0" fontId="1" fillId="2" borderId="1" applyAlignment="1" pivotButton="0" quotePrefix="0" xfId="0">
      <alignment horizontal="center" vertical="top" wrapText="1"/>
    </xf>
    <xf numFmtId="0" fontId="0" fillId="2" borderId="1" applyAlignment="1" pivotButton="0" quotePrefix="0" xfId="0">
      <alignment horizontal="center" vertical="top" wrapText="1"/>
    </xf>
    <xf numFmtId="0" fontId="0" fillId="2" borderId="10" applyAlignment="1" pivotButton="0" quotePrefix="0" xfId="0">
      <alignment horizontal="center" vertical="top" wrapText="1"/>
    </xf>
    <xf numFmtId="0" fontId="0" fillId="2" borderId="4" applyAlignment="1" pivotButton="0" quotePrefix="0" xfId="0">
      <alignment horizontal="center" vertical="top" wrapText="1"/>
    </xf>
    <xf numFmtId="0" fontId="0" fillId="2" borderId="10" applyAlignment="1" pivotButton="0" quotePrefix="0" xfId="0">
      <alignment horizontal="center" vertical="center" wrapText="1"/>
    </xf>
    <xf numFmtId="164" fontId="1" fillId="0" borderId="12" applyAlignment="1" pivotButton="0" quotePrefix="0" xfId="0">
      <alignment horizontal="right" wrapText="1" indent="5"/>
    </xf>
    <xf numFmtId="164" fontId="1" fillId="0" borderId="6" applyAlignment="1" pivotButton="0" quotePrefix="0" xfId="0">
      <alignment horizontal="right" wrapText="1" indent="5"/>
    </xf>
    <xf numFmtId="164" fontId="1" fillId="0" borderId="12" applyAlignment="1" pivotButton="0" quotePrefix="0" xfId="0">
      <alignment horizontal="right" wrapText="1" indent="5"/>
    </xf>
    <xf numFmtId="164" fontId="1" fillId="0" borderId="6" applyAlignment="1" pivotButton="0" quotePrefix="0" xfId="0">
      <alignment horizontal="right" wrapText="1" indent="5"/>
    </xf>
    <xf numFmtId="0" fontId="0" fillId="0" borderId="7" applyAlignment="1" pivotButton="0" quotePrefix="0" xfId="0">
      <alignment horizontal="left" vertical="center" wrapText="1" indent="1"/>
    </xf>
    <xf numFmtId="0" fontId="33" fillId="2" borderId="1" applyAlignment="1" pivotButton="0" quotePrefix="0" xfId="0">
      <alignment horizontal="center" vertical="top" wrapText="1"/>
    </xf>
    <xf numFmtId="164" fontId="0" fillId="0" borderId="11" applyAlignment="1" pivotButton="0" quotePrefix="0" xfId="0">
      <alignment horizontal="right" wrapText="1" indent="2"/>
    </xf>
    <xf numFmtId="164" fontId="0" fillId="0" borderId="8" applyAlignment="1" pivotButton="0" quotePrefix="0" xfId="0">
      <alignment horizontal="right" wrapText="1" indent="2"/>
    </xf>
    <xf numFmtId="0" fontId="2" fillId="0" borderId="12" applyAlignment="1" pivotButton="0" quotePrefix="0" xfId="0">
      <alignment horizontal="center" vertical="center"/>
    </xf>
    <xf numFmtId="0" fontId="19" fillId="0" borderId="5" applyAlignment="1" pivotButton="0" quotePrefix="0" xfId="0">
      <alignment horizontal="right" wrapText="1" indent="5"/>
    </xf>
    <xf numFmtId="0" fontId="19" fillId="0" borderId="12" applyAlignment="1" pivotButton="0" quotePrefix="0" xfId="0">
      <alignment horizontal="right" wrapText="1" indent="5"/>
    </xf>
    <xf numFmtId="164" fontId="0" fillId="0" borderId="8" applyAlignment="1" pivotButton="0" quotePrefix="0" xfId="0">
      <alignment horizontal="right" wrapText="1" indent="5"/>
    </xf>
    <xf numFmtId="164" fontId="0" fillId="0" borderId="11" applyAlignment="1" pivotButton="0" quotePrefix="0" xfId="0">
      <alignment horizontal="right" wrapText="1" indent="5"/>
    </xf>
    <xf numFmtId="0" fontId="0" fillId="0" borderId="11" applyAlignment="1" pivotButton="0" quotePrefix="0" xfId="0">
      <alignment horizontal="right" vertical="center" indent="2"/>
    </xf>
    <xf numFmtId="0" fontId="1" fillId="0" borderId="7" applyAlignment="1" pivotButton="0" quotePrefix="0" xfId="0">
      <alignment wrapText="1"/>
    </xf>
    <xf numFmtId="164" fontId="0" fillId="0" borderId="11" applyAlignment="1" pivotButton="0" quotePrefix="0" xfId="0">
      <alignment horizontal="right" wrapText="1" indent="6"/>
    </xf>
    <xf numFmtId="0" fontId="2" fillId="0" borderId="12" applyAlignment="1" pivotButton="0" quotePrefix="0" xfId="0">
      <alignment horizontal="right" indent="5"/>
    </xf>
    <xf numFmtId="0" fontId="2" fillId="0" borderId="6" applyAlignment="1" pivotButton="0" quotePrefix="0" xfId="0">
      <alignment horizontal="right" indent="5"/>
    </xf>
    <xf numFmtId="164" fontId="0" fillId="0" borderId="11" applyAlignment="1" pivotButton="0" quotePrefix="0" xfId="0">
      <alignment horizontal="right" indent="3"/>
    </xf>
    <xf numFmtId="0" fontId="0" fillId="2" borderId="6" applyAlignment="1" pivotButton="0" quotePrefix="0" xfId="0">
      <alignment horizontal="center" vertical="top" wrapText="1"/>
    </xf>
    <xf numFmtId="0" fontId="2" fillId="0" borderId="7" pivotButton="0" quotePrefix="0" xfId="0"/>
    <xf numFmtId="164" fontId="0" fillId="0" borderId="11" applyAlignment="1" pivotButton="0" quotePrefix="0" xfId="0">
      <alignment horizontal="right" wrapText="1" indent="2"/>
    </xf>
    <xf numFmtId="164" fontId="0" fillId="0" borderId="9" applyAlignment="1" pivotButton="0" quotePrefix="0" xfId="0">
      <alignment horizontal="right" wrapText="1" indent="2"/>
    </xf>
    <xf numFmtId="0" fontId="0" fillId="0" borderId="11" applyAlignment="1" pivotButton="0" quotePrefix="0" xfId="0">
      <alignment horizontal="right" indent="3"/>
    </xf>
    <xf numFmtId="164" fontId="0" fillId="0" borderId="11" applyAlignment="1" pivotButton="0" quotePrefix="0" xfId="0">
      <alignment horizontal="right" indent="4"/>
    </xf>
    <xf numFmtId="164" fontId="0" fillId="0" borderId="9" applyAlignment="1" pivotButton="0" quotePrefix="0" xfId="0">
      <alignment horizontal="right" indent="4"/>
    </xf>
    <xf numFmtId="164" fontId="1" fillId="0" borderId="11" applyAlignment="1" pivotButton="0" quotePrefix="0" xfId="0">
      <alignment horizontal="right" wrapText="1" indent="3"/>
    </xf>
    <xf numFmtId="0" fontId="33" fillId="0" borderId="12" applyAlignment="1" pivotButton="0" quotePrefix="0" xfId="0">
      <alignment wrapText="1"/>
    </xf>
    <xf numFmtId="0" fontId="2" fillId="0" borderId="2" applyAlignment="1" pivotButton="0" quotePrefix="0" xfId="0">
      <alignment vertical="center" wrapText="1"/>
    </xf>
    <xf numFmtId="0" fontId="0" fillId="0" borderId="5" applyAlignment="1" pivotButton="0" quotePrefix="0" xfId="0">
      <alignment horizontal="left" vertical="top" wrapText="1" indent="1"/>
    </xf>
    <xf numFmtId="0" fontId="1" fillId="0" borderId="5" applyAlignment="1" pivotButton="0" quotePrefix="0" xfId="0">
      <alignment horizontal="left" vertical="top" indent="1"/>
    </xf>
    <xf numFmtId="0" fontId="2" fillId="0" borderId="5" applyAlignment="1" pivotButton="0" quotePrefix="0" xfId="0">
      <alignment vertical="top" wrapText="1"/>
    </xf>
    <xf numFmtId="0" fontId="2" fillId="0" borderId="7" applyAlignment="1" pivotButton="0" quotePrefix="0" xfId="0">
      <alignment vertical="top" wrapText="1"/>
    </xf>
    <xf numFmtId="164" fontId="1" fillId="0" borderId="11" applyAlignment="1" pivotButton="0" quotePrefix="0" xfId="0">
      <alignment horizontal="right" indent="5"/>
    </xf>
    <xf numFmtId="164" fontId="1" fillId="0" borderId="9" applyAlignment="1" pivotButton="0" quotePrefix="0" xfId="0">
      <alignment horizontal="right" indent="5"/>
    </xf>
    <xf numFmtId="164" fontId="0" fillId="0" borderId="11" applyAlignment="1" pivotButton="0" quotePrefix="0" xfId="0">
      <alignment horizontal="right" indent="3"/>
    </xf>
    <xf numFmtId="0" fontId="2" fillId="0" borderId="10" applyAlignment="1" pivotButton="0" quotePrefix="0" xfId="0">
      <alignment horizontal="left" vertical="center" wrapText="1"/>
    </xf>
    <xf numFmtId="0" fontId="0" fillId="2" borderId="11" applyAlignment="1" pivotButton="0" quotePrefix="0" xfId="0">
      <alignment horizontal="center" vertical="top" wrapText="1"/>
    </xf>
    <xf numFmtId="0" fontId="1" fillId="2" borderId="14" applyAlignment="1" pivotButton="0" quotePrefix="0" xfId="0">
      <alignment horizontal="center" vertical="top" wrapText="1"/>
    </xf>
    <xf numFmtId="0" fontId="1" fillId="2" borderId="10" applyAlignment="1" pivotButton="0" quotePrefix="0" xfId="0">
      <alignment horizontal="center" vertical="top" wrapText="1"/>
    </xf>
    <xf numFmtId="0" fontId="0" fillId="2" borderId="14" applyAlignment="1" pivotButton="0" quotePrefix="0" xfId="0">
      <alignment horizontal="center" vertical="top" wrapText="1"/>
    </xf>
    <xf numFmtId="0" fontId="0" fillId="0" borderId="12" applyAlignment="1" pivotButton="0" quotePrefix="0" xfId="0">
      <alignment horizontal="right" vertical="center" indent="2"/>
    </xf>
    <xf numFmtId="0" fontId="0" fillId="0" borderId="12" applyAlignment="1" pivotButton="0" quotePrefix="0" xfId="0">
      <alignment horizontal="right" indent="3"/>
    </xf>
    <xf numFmtId="164" fontId="1" fillId="0" borderId="7" applyAlignment="1" pivotButton="0" quotePrefix="0" xfId="0">
      <alignment horizontal="right" indent="3"/>
    </xf>
    <xf numFmtId="164" fontId="0" fillId="0" borderId="11" applyAlignment="1" pivotButton="0" quotePrefix="0" xfId="0">
      <alignment horizontal="right" vertical="center" indent="2"/>
    </xf>
    <xf numFmtId="164" fontId="1" fillId="0" borderId="12" applyAlignment="1" pivotButton="0" quotePrefix="1" xfId="0">
      <alignment horizontal="right" vertical="center" indent="2"/>
    </xf>
    <xf numFmtId="164" fontId="0" fillId="0" borderId="12" applyAlignment="1" pivotButton="0" quotePrefix="1" xfId="0">
      <alignment horizontal="right" vertical="center" indent="2"/>
    </xf>
    <xf numFmtId="164" fontId="1" fillId="0" borderId="11" applyAlignment="1" pivotButton="0" quotePrefix="1" xfId="0">
      <alignment horizontal="right" vertical="center" indent="2"/>
    </xf>
    <xf numFmtId="164" fontId="0" fillId="0" borderId="10" applyAlignment="1" pivotButton="0" quotePrefix="0" xfId="0">
      <alignment horizontal="right" wrapText="1" indent="3"/>
    </xf>
    <xf numFmtId="2" fontId="0" fillId="0" borderId="12" applyAlignment="1" pivotButton="0" quotePrefix="0" xfId="0">
      <alignment horizontal="right" vertical="center" wrapText="1" indent="3"/>
    </xf>
    <xf numFmtId="2" fontId="0" fillId="0" borderId="11" applyAlignment="1" pivotButton="0" quotePrefix="0" xfId="0">
      <alignment horizontal="right" vertical="center" wrapText="1" indent="3"/>
    </xf>
    <xf numFmtId="164" fontId="1" fillId="0" borderId="6" applyAlignment="1" pivotButton="0" quotePrefix="0" xfId="0">
      <alignment horizontal="right" wrapText="1" indent="1"/>
    </xf>
    <xf numFmtId="1" fontId="0" fillId="0" borderId="0" pivotButton="0" quotePrefix="0" xfId="0"/>
    <xf numFmtId="164" fontId="1" fillId="0" borderId="12" applyAlignment="1" pivotButton="0" quotePrefix="0" xfId="0">
      <alignment horizontal="right" wrapText="1" indent="1"/>
    </xf>
    <xf numFmtId="0" fontId="0" fillId="0" borderId="0" applyAlignment="1" pivotButton="0" quotePrefix="0" xfId="0">
      <alignment vertical="center" wrapText="1"/>
    </xf>
    <xf numFmtId="0" fontId="0" fillId="2" borderId="10" applyAlignment="1" pivotButton="0" quotePrefix="0" xfId="0">
      <alignment horizontal="center" vertical="top" wrapText="1"/>
    </xf>
    <xf numFmtId="0" fontId="1" fillId="0" borderId="12" applyAlignment="1" pivotButton="0" quotePrefix="0" xfId="0">
      <alignment horizontal="right" vertical="center" wrapText="1" indent="6"/>
    </xf>
    <xf numFmtId="0" fontId="0" fillId="0" borderId="6" applyAlignment="1" pivotButton="0" quotePrefix="0" xfId="0">
      <alignment horizontal="right" indent="2"/>
    </xf>
    <xf numFmtId="0" fontId="0" fillId="0" borderId="11" applyAlignment="1" pivotButton="0" quotePrefix="0" xfId="0">
      <alignment horizontal="right" indent="2"/>
    </xf>
    <xf numFmtId="0" fontId="0" fillId="0" borderId="0" applyAlignment="1" pivotButton="0" quotePrefix="0" xfId="0">
      <alignment vertical="top"/>
    </xf>
    <xf numFmtId="0" fontId="2" fillId="0" borderId="5" pivotButton="0" quotePrefix="0" xfId="0"/>
    <xf numFmtId="0" fontId="0" fillId="0" borderId="12" applyAlignment="1" pivotButton="0" quotePrefix="0" xfId="0">
      <alignment horizontal="right" indent="2"/>
    </xf>
    <xf numFmtId="164" fontId="0" fillId="0" borderId="10" applyAlignment="1" pivotButton="0" quotePrefix="0" xfId="0">
      <alignment horizontal="right" indent="3"/>
    </xf>
    <xf numFmtId="164" fontId="33" fillId="0" borderId="12" applyAlignment="1" pivotButton="0" quotePrefix="0" xfId="0">
      <alignment horizontal="right" wrapText="1" indent="5"/>
    </xf>
    <xf numFmtId="164" fontId="33" fillId="0" borderId="6" applyAlignment="1" pivotButton="0" quotePrefix="0" xfId="0">
      <alignment horizontal="right" wrapText="1" indent="5"/>
    </xf>
    <xf numFmtId="164" fontId="0" fillId="0" borderId="4" applyAlignment="1" pivotButton="0" quotePrefix="0" xfId="0">
      <alignment horizontal="right" indent="2"/>
    </xf>
    <xf numFmtId="0" fontId="1" fillId="0" borderId="12" applyAlignment="1" pivotButton="0" quotePrefix="0" xfId="0">
      <alignment horizontal="right" indent="2"/>
    </xf>
    <xf numFmtId="164" fontId="0" fillId="0" borderId="6" applyAlignment="1" pivotButton="0" quotePrefix="0" xfId="0">
      <alignment horizontal="right" indent="2"/>
    </xf>
    <xf numFmtId="164" fontId="1" fillId="0" borderId="11" applyAlignment="1" pivotButton="0" quotePrefix="0" xfId="0">
      <alignment horizontal="right" indent="2"/>
    </xf>
    <xf numFmtId="0" fontId="1" fillId="0" borderId="11" applyAlignment="1" pivotButton="0" quotePrefix="0" xfId="0">
      <alignment horizontal="right" indent="2"/>
    </xf>
    <xf numFmtId="0" fontId="0" fillId="0" borderId="9" applyAlignment="1" pivotButton="0" quotePrefix="0" xfId="0">
      <alignment horizontal="right" indent="2"/>
    </xf>
    <xf numFmtId="0" fontId="0" fillId="0" borderId="0" applyAlignment="1" pivotButton="0" quotePrefix="0" xfId="0">
      <alignment horizontal="right" indent="3"/>
    </xf>
    <xf numFmtId="0" fontId="0" fillId="0" borderId="0" applyAlignment="1" pivotButton="0" quotePrefix="0" xfId="0">
      <alignment horizontal="right" indent="1"/>
    </xf>
    <xf numFmtId="164" fontId="0" fillId="0" borderId="0" applyAlignment="1" pivotButton="0" quotePrefix="0" xfId="0">
      <alignment horizontal="right" wrapText="1" indent="3"/>
    </xf>
    <xf numFmtId="164" fontId="0" fillId="0" borderId="0" applyAlignment="1" pivotButton="0" quotePrefix="0" xfId="0">
      <alignment horizontal="right" indent="3"/>
    </xf>
    <xf numFmtId="164" fontId="0" fillId="0" borderId="12" applyAlignment="1" pivotButton="0" quotePrefix="0" xfId="0">
      <alignment horizontal="right" vertical="center" wrapText="1" indent="3"/>
    </xf>
    <xf numFmtId="164" fontId="0" fillId="0" borderId="0" applyAlignment="1" pivotButton="0" quotePrefix="0" xfId="0">
      <alignment horizontal="right" vertical="center" wrapText="1" indent="3"/>
    </xf>
    <xf numFmtId="164" fontId="0" fillId="0" borderId="11" applyAlignment="1" pivotButton="0" quotePrefix="0" xfId="0">
      <alignment horizontal="right" vertical="center" wrapText="1" indent="3"/>
    </xf>
    <xf numFmtId="0" fontId="1" fillId="0" borderId="0" applyAlignment="1" pivotButton="0" quotePrefix="0" xfId="0">
      <alignment wrapText="1"/>
    </xf>
    <xf numFmtId="0" fontId="33" fillId="0" borderId="0" applyAlignment="1" pivotButton="0" quotePrefix="0" xfId="0">
      <alignment horizontal="left" wrapText="1"/>
    </xf>
    <xf numFmtId="164" fontId="1" fillId="0" borderId="9" applyAlignment="1" pivotButton="0" quotePrefix="0" xfId="0">
      <alignment horizontal="right" wrapText="1" indent="1"/>
    </xf>
    <xf numFmtId="0" fontId="2" fillId="0" borderId="0" applyAlignment="1" pivotButton="0" quotePrefix="0" xfId="0">
      <alignment horizontal="center" vertical="center"/>
    </xf>
    <xf numFmtId="0" fontId="0" fillId="2" borderId="10" applyAlignment="1" pivotButton="0" quotePrefix="0" xfId="0">
      <alignment horizontal="center" vertical="top" wrapText="1"/>
    </xf>
    <xf numFmtId="0" fontId="1" fillId="2" borderId="11" applyAlignment="1" pivotButton="0" quotePrefix="0" xfId="0">
      <alignment horizontal="center" vertical="top" wrapText="1"/>
    </xf>
    <xf numFmtId="0" fontId="0" fillId="2" borderId="11" applyAlignment="1" pivotButton="0" quotePrefix="0" xfId="0">
      <alignment horizontal="center" vertical="top" wrapText="1"/>
    </xf>
    <xf numFmtId="0" fontId="0" fillId="0" borderId="12" applyAlignment="1" pivotButton="0" quotePrefix="0" xfId="0">
      <alignment vertical="center" wrapText="1"/>
    </xf>
    <xf numFmtId="0" fontId="0" fillId="2" borderId="14" applyAlignment="1" pivotButton="0" quotePrefix="0" xfId="0">
      <alignment horizontal="center" vertical="top" wrapText="1"/>
    </xf>
    <xf numFmtId="0" fontId="1" fillId="2" borderId="9" applyAlignment="1" pivotButton="0" quotePrefix="0" xfId="0">
      <alignment horizontal="center" vertical="top" wrapText="1"/>
    </xf>
    <xf numFmtId="164" fontId="1" fillId="0" borderId="12" applyAlignment="1" pivotButton="0" quotePrefix="0" xfId="0">
      <alignment horizontal="right" vertical="center" wrapText="1" indent="6"/>
    </xf>
    <xf numFmtId="0" fontId="0" fillId="0" borderId="12" applyAlignment="1" pivotButton="0" quotePrefix="0" xfId="0">
      <alignment wrapText="1"/>
    </xf>
    <xf numFmtId="0" fontId="0" fillId="0" borderId="12" applyAlignment="1" pivotButton="0" quotePrefix="0" xfId="0">
      <alignment horizontal="left" wrapText="1"/>
    </xf>
    <xf numFmtId="0" fontId="0" fillId="0" borderId="5" applyAlignment="1" pivotButton="0" quotePrefix="0" xfId="0">
      <alignment vertical="center" wrapText="1"/>
    </xf>
    <xf numFmtId="0" fontId="0" fillId="0" borderId="5" applyAlignment="1" pivotButton="0" quotePrefix="0" xfId="0">
      <alignment horizontal="left" wrapText="1"/>
    </xf>
    <xf numFmtId="0" fontId="0" fillId="0" borderId="5" pivotButton="0" quotePrefix="0" xfId="0"/>
    <xf numFmtId="0" fontId="1" fillId="0" borderId="5" applyAlignment="1" pivotButton="0" quotePrefix="0" xfId="0">
      <alignment horizontal="right" vertical="center" wrapText="1" indent="2"/>
    </xf>
    <xf numFmtId="164" fontId="1" fillId="0" borderId="5" applyAlignment="1" pivotButton="0" quotePrefix="0" xfId="0">
      <alignment horizontal="right" vertical="center" wrapText="1" indent="2"/>
    </xf>
    <xf numFmtId="0" fontId="0" fillId="0" borderId="0" applyAlignment="1" pivotButton="0" quotePrefix="0" xfId="0">
      <alignment horizontal="justify" vertical="center"/>
    </xf>
    <xf numFmtId="0" fontId="2" fillId="0" borderId="0" applyAlignment="1" pivotButton="0" quotePrefix="0" xfId="0">
      <alignment horizontal="justify" vertical="center"/>
    </xf>
    <xf numFmtId="0" fontId="46" fillId="0" borderId="0" applyAlignment="1" pivotButton="0" quotePrefix="0" xfId="0">
      <alignment horizontal="justify" vertical="center"/>
    </xf>
    <xf numFmtId="0" fontId="2" fillId="0" borderId="0" applyAlignment="1" pivotButton="0" quotePrefix="0" xfId="0">
      <alignment horizontal="justify"/>
    </xf>
    <xf numFmtId="0" fontId="0" fillId="0" borderId="0" applyAlignment="1" pivotButton="0" quotePrefix="0" xfId="0">
      <alignment horizontal="justify"/>
    </xf>
    <xf numFmtId="0" fontId="1" fillId="0" borderId="0" applyAlignment="1" pivotButton="0" quotePrefix="0" xfId="0">
      <alignment horizontal="justify"/>
    </xf>
    <xf numFmtId="0" fontId="47" fillId="0" borderId="0" applyAlignment="1" pivotButton="0" quotePrefix="0" xfId="0">
      <alignment horizontal="justify" vertical="center"/>
    </xf>
    <xf numFmtId="0" fontId="47" fillId="0" borderId="0" applyAlignment="1" pivotButton="0" quotePrefix="0" xfId="0">
      <alignment horizontal="left" vertical="center" indent="2"/>
    </xf>
    <xf numFmtId="164" fontId="49" fillId="0" borderId="10" applyAlignment="1" pivotButton="0" quotePrefix="0" xfId="0">
      <alignment horizontal="center" wrapText="1"/>
    </xf>
    <xf numFmtId="164" fontId="0" fillId="0" borderId="0" applyAlignment="1" pivotButton="0" quotePrefix="0" xfId="0">
      <alignment horizontal="right" wrapText="1" indent="2"/>
    </xf>
    <xf numFmtId="164" fontId="49" fillId="0" borderId="12" applyAlignment="1" pivotButton="0" quotePrefix="0" xfId="0">
      <alignment horizontal="center" wrapText="1"/>
    </xf>
    <xf numFmtId="2" fontId="0" fillId="0" borderId="12" applyAlignment="1" pivotButton="0" quotePrefix="0" xfId="0">
      <alignment horizontal="right" indent="3"/>
    </xf>
    <xf numFmtId="2" fontId="0" fillId="0" borderId="0" applyAlignment="1" pivotButton="0" quotePrefix="0" xfId="0">
      <alignment horizontal="right" vertical="center" wrapText="1" indent="3"/>
    </xf>
    <xf numFmtId="0" fontId="49" fillId="0" borderId="10" applyAlignment="1" pivotButton="0" quotePrefix="0" xfId="0">
      <alignment horizontal="center"/>
    </xf>
    <xf numFmtId="0" fontId="49" fillId="0" borderId="12" applyAlignment="1" pivotButton="0" quotePrefix="0" xfId="0">
      <alignment horizontal="center"/>
    </xf>
    <xf numFmtId="164" fontId="45" fillId="0" borderId="6" applyAlignment="1" pivotButton="0" quotePrefix="0" xfId="0">
      <alignment horizontal="right" wrapText="1" indent="4"/>
    </xf>
    <xf numFmtId="164" fontId="1" fillId="0" borderId="12" applyAlignment="1" pivotButton="0" quotePrefix="0" xfId="0">
      <alignment horizontal="right" indent="2"/>
    </xf>
    <xf numFmtId="164" fontId="11" fillId="0" borderId="12" applyAlignment="1" pivotButton="0" quotePrefix="0" xfId="0">
      <alignment horizontal="right" indent="2"/>
    </xf>
    <xf numFmtId="164" fontId="1" fillId="0" borderId="6" applyAlignment="1" pivotButton="0" quotePrefix="0" xfId="0">
      <alignment horizontal="right" indent="2"/>
    </xf>
    <xf numFmtId="164" fontId="1" fillId="0" borderId="11" applyAlignment="1" pivotButton="0" quotePrefix="0" xfId="0">
      <alignment horizontal="right" indent="2"/>
    </xf>
    <xf numFmtId="164" fontId="0" fillId="0" borderId="12" applyAlignment="1" pivotButton="0" quotePrefix="0" xfId="0">
      <alignment horizontal="right" indent="2"/>
    </xf>
    <xf numFmtId="0" fontId="0" fillId="0" borderId="0" applyAlignment="1" pivotButton="0" quotePrefix="0" xfId="0">
      <alignment horizontal="center" vertical="center" wrapText="1"/>
    </xf>
    <xf numFmtId="0" fontId="9" fillId="0" borderId="0" applyAlignment="1" pivotButton="0" quotePrefix="0" xfId="0">
      <alignment horizontal="center" vertical="center" wrapText="1"/>
    </xf>
    <xf numFmtId="164" fontId="33" fillId="0" borderId="12" applyAlignment="1" pivotButton="0" quotePrefix="0" xfId="0">
      <alignment horizontal="right" wrapText="1" indent="2"/>
    </xf>
    <xf numFmtId="164" fontId="33" fillId="0" borderId="0" applyAlignment="1" pivotButton="0" quotePrefix="0" xfId="0">
      <alignment horizontal="right" wrapText="1" indent="2"/>
    </xf>
    <xf numFmtId="164" fontId="33" fillId="0" borderId="11" applyAlignment="1" pivotButton="0" quotePrefix="0" xfId="0">
      <alignment horizontal="right" wrapText="1" indent="2"/>
    </xf>
    <xf numFmtId="164" fontId="33" fillId="0" borderId="8" applyAlignment="1" pivotButton="0" quotePrefix="0" xfId="0">
      <alignment horizontal="right" wrapText="1" indent="2"/>
    </xf>
    <xf numFmtId="0" fontId="35" fillId="0" borderId="0" applyAlignment="1" pivotButton="0" quotePrefix="0" xfId="1">
      <alignment wrapText="1"/>
    </xf>
    <xf numFmtId="0" fontId="33" fillId="0" borderId="0" applyAlignment="1" pivotButton="0" quotePrefix="0" xfId="1">
      <alignment horizontal="left" vertical="top" wrapText="1"/>
    </xf>
    <xf numFmtId="0" fontId="33" fillId="0" borderId="0" applyAlignment="1" pivotButton="0" quotePrefix="0" xfId="1">
      <alignment horizontal="left" wrapText="1"/>
    </xf>
    <xf numFmtId="0" fontId="33" fillId="0" borderId="0" applyAlignment="1" pivotButton="0" quotePrefix="0" xfId="1">
      <alignment wrapText="1"/>
    </xf>
    <xf numFmtId="0" fontId="33" fillId="0" borderId="0" applyAlignment="1" pivotButton="0" quotePrefix="0" xfId="0">
      <alignment horizontal="left" vertical="top" wrapText="1"/>
    </xf>
    <xf numFmtId="0" fontId="33" fillId="0" borderId="0" applyAlignment="1" pivotButton="0" quotePrefix="0" xfId="0">
      <alignment vertical="top" wrapText="1"/>
    </xf>
    <xf numFmtId="0" fontId="33" fillId="0" borderId="0" applyAlignment="1" pivotButton="0" quotePrefix="0" xfId="1">
      <alignment vertical="top" wrapText="1"/>
    </xf>
    <xf numFmtId="0" fontId="35" fillId="0" borderId="0" applyAlignment="1" pivotButton="0" quotePrefix="0" xfId="1">
      <alignment vertical="top" wrapText="1"/>
    </xf>
    <xf numFmtId="0" fontId="35" fillId="0" borderId="0" applyAlignment="1" pivotButton="0" quotePrefix="0" xfId="0">
      <alignment wrapText="1"/>
    </xf>
    <xf numFmtId="0" fontId="35" fillId="0" borderId="0" applyAlignment="1" pivotButton="0" quotePrefix="0" xfId="0">
      <alignment horizontal="left" wrapText="1"/>
    </xf>
    <xf numFmtId="0" fontId="0" fillId="2" borderId="10" applyAlignment="1" pivotButton="0" quotePrefix="0" xfId="0">
      <alignment horizontal="center" vertical="top" wrapText="1"/>
    </xf>
    <xf numFmtId="0" fontId="1" fillId="2" borderId="11" applyAlignment="1" pivotButton="0" quotePrefix="0" xfId="0">
      <alignment horizontal="center" vertical="top" wrapText="1"/>
    </xf>
    <xf numFmtId="0" fontId="0" fillId="2" borderId="11" applyAlignment="1" pivotButton="0" quotePrefix="0" xfId="0">
      <alignment horizontal="center" vertical="top" wrapText="1"/>
    </xf>
    <xf numFmtId="0" fontId="7" fillId="0" borderId="0" applyAlignment="1" pivotButton="0" quotePrefix="0" xfId="0">
      <alignment horizontal="center"/>
    </xf>
    <xf numFmtId="0" fontId="7" fillId="0" borderId="0" applyAlignment="1" pivotButton="0" quotePrefix="0" xfId="0">
      <alignment horizontal="center" vertical="center"/>
    </xf>
    <xf numFmtId="0" fontId="1" fillId="2" borderId="13" applyAlignment="1" pivotButton="0" quotePrefix="0" xfId="0">
      <alignment horizontal="center" vertical="top" wrapText="1"/>
    </xf>
    <xf numFmtId="0" fontId="7" fillId="0" borderId="0" applyAlignment="1" pivotButton="0" quotePrefix="0" xfId="0">
      <alignment horizontal="center" vertical="center" wrapText="1"/>
    </xf>
    <xf numFmtId="0" fontId="0" fillId="2" borderId="13" applyAlignment="1" pivotButton="0" quotePrefix="0" xfId="0">
      <alignment horizontal="center" vertical="top" wrapText="1"/>
    </xf>
    <xf numFmtId="0" fontId="1" fillId="2" borderId="12" applyAlignment="1" pivotButton="0" quotePrefix="0" xfId="0">
      <alignment horizontal="center" vertical="top" wrapText="1"/>
    </xf>
    <xf numFmtId="0" fontId="0" fillId="0" borderId="12" applyAlignment="1" pivotButton="0" quotePrefix="0" xfId="0">
      <alignment vertical="center" wrapText="1"/>
    </xf>
    <xf numFmtId="0" fontId="0" fillId="0" borderId="0" applyAlignment="1" pivotButton="0" quotePrefix="0" xfId="0">
      <alignment horizontal="right" vertical="center"/>
    </xf>
    <xf numFmtId="0" fontId="39" fillId="0" borderId="0" applyAlignment="1" pivotButton="0" quotePrefix="0" xfId="0">
      <alignment horizontal="center" vertical="center" wrapText="1"/>
    </xf>
    <xf numFmtId="0" fontId="7" fillId="0" borderId="0" applyAlignment="1" pivotButton="0" quotePrefix="0" xfId="0">
      <alignment horizontal="center" wrapText="1"/>
    </xf>
    <xf numFmtId="0" fontId="0" fillId="2" borderId="14" applyAlignment="1" pivotButton="0" quotePrefix="0" xfId="0">
      <alignment horizontal="center" vertical="top" wrapText="1"/>
    </xf>
    <xf numFmtId="0" fontId="0" fillId="2" borderId="4" applyAlignment="1" pivotButton="0" quotePrefix="0" xfId="0">
      <alignment horizontal="center" vertical="top" wrapText="1"/>
    </xf>
    <xf numFmtId="0" fontId="1" fillId="2" borderId="9" applyAlignment="1" pivotButton="0" quotePrefix="0" xfId="0">
      <alignment horizontal="center" vertical="top" wrapText="1"/>
    </xf>
    <xf numFmtId="0" fontId="0" fillId="0" borderId="0" applyAlignment="1" pivotButton="0" quotePrefix="0" xfId="0">
      <alignment horizontal="center"/>
    </xf>
    <xf numFmtId="0" fontId="0" fillId="2" borderId="9" applyAlignment="1" pivotButton="0" quotePrefix="0" xfId="0">
      <alignment horizontal="center" vertical="top" wrapText="1"/>
    </xf>
    <xf numFmtId="0" fontId="0" fillId="2" borderId="12" applyAlignment="1" pivotButton="0" quotePrefix="0" xfId="0">
      <alignment horizontal="center" vertical="top" wrapText="1"/>
    </xf>
    <xf numFmtId="0" fontId="0" fillId="2" borderId="1" applyAlignment="1" pivotButton="0" quotePrefix="0" xfId="0">
      <alignment horizontal="center" vertical="top" wrapText="1"/>
    </xf>
    <xf numFmtId="0" fontId="1" fillId="0" borderId="0" pivotButton="0" quotePrefix="0" xfId="0"/>
    <xf numFmtId="0" fontId="43" fillId="0" borderId="0" pivotButton="0" quotePrefix="0" xfId="0"/>
    <xf numFmtId="0" fontId="1" fillId="2" borderId="11" applyAlignment="1" pivotButton="0" quotePrefix="0" xfId="0">
      <alignment horizontal="center" vertical="top" wrapText="1"/>
    </xf>
    <xf numFmtId="0" fontId="0" fillId="2" borderId="9" applyAlignment="1" pivotButton="0" quotePrefix="0" xfId="0">
      <alignment horizontal="center" vertical="top" wrapText="1"/>
    </xf>
    <xf numFmtId="0" fontId="33" fillId="0" borderId="0" applyAlignment="1" pivotButton="0" quotePrefix="0" xfId="0">
      <alignment horizontal="justify" vertical="center"/>
    </xf>
    <xf numFmtId="0" fontId="35" fillId="0" borderId="10" applyAlignment="1" pivotButton="0" quotePrefix="0" xfId="0">
      <alignment horizontal="right" indent="3"/>
    </xf>
    <xf numFmtId="0" fontId="35" fillId="0" borderId="12" applyAlignment="1" pivotButton="0" quotePrefix="0" xfId="0">
      <alignment horizontal="right" indent="3"/>
    </xf>
    <xf numFmtId="164" fontId="33" fillId="0" borderId="6" applyAlignment="1" pivotButton="0" quotePrefix="0" xfId="0">
      <alignment horizontal="right" vertical="center" indent="2"/>
    </xf>
    <xf numFmtId="164" fontId="12" fillId="0" borderId="6" applyAlignment="1" pivotButton="0" quotePrefix="0" xfId="0">
      <alignment horizontal="right" wrapText="1" indent="1"/>
    </xf>
    <xf numFmtId="164" fontId="0" fillId="0" borderId="0" applyAlignment="1" pivotButton="0" quotePrefix="0" xfId="0">
      <alignment horizontal="left" indent="1"/>
    </xf>
    <xf numFmtId="0" fontId="35" fillId="0" borderId="10" applyAlignment="1" pivotButton="0" quotePrefix="0" xfId="0">
      <alignment horizontal="center"/>
    </xf>
    <xf numFmtId="164" fontId="33" fillId="0" borderId="12" applyAlignment="1" pivotButton="0" quotePrefix="0" xfId="0">
      <alignment horizontal="right" vertical="center" indent="2"/>
    </xf>
    <xf numFmtId="164" fontId="33" fillId="0" borderId="12" applyAlignment="1" pivotButton="0" quotePrefix="0" xfId="0">
      <alignment horizontal="right" wrapText="1" indent="2"/>
    </xf>
    <xf numFmtId="164" fontId="33" fillId="0" borderId="6" applyAlignment="1" pivotButton="0" quotePrefix="0" xfId="0">
      <alignment horizontal="right" wrapText="1" indent="2"/>
    </xf>
    <xf numFmtId="0" fontId="33" fillId="0" borderId="6" applyAlignment="1" pivotButton="0" quotePrefix="0" xfId="0">
      <alignment horizontal="right" wrapText="1" indent="2"/>
    </xf>
    <xf numFmtId="164" fontId="33" fillId="0" borderId="12" applyAlignment="1" pivotButton="0" quotePrefix="0" xfId="0">
      <alignment horizontal="right" indent="2"/>
    </xf>
    <xf numFmtId="164" fontId="33" fillId="0" borderId="6" applyAlignment="1" pivotButton="0" quotePrefix="0" xfId="0">
      <alignment horizontal="right" indent="2"/>
    </xf>
    <xf numFmtId="0" fontId="35" fillId="0" borderId="12" applyAlignment="1" pivotButton="0" quotePrefix="0" xfId="0">
      <alignment horizontal="center"/>
    </xf>
    <xf numFmtId="164" fontId="33" fillId="0" borderId="12" applyAlignment="1" pivotButton="0" quotePrefix="0" xfId="0">
      <alignment horizontal="right" vertical="center" wrapText="1" indent="2"/>
    </xf>
    <xf numFmtId="164" fontId="33" fillId="0" borderId="6" applyAlignment="1" pivotButton="0" quotePrefix="0" xfId="0">
      <alignment horizontal="right" vertical="center" wrapText="1" indent="2"/>
    </xf>
    <xf numFmtId="164" fontId="33" fillId="0" borderId="9" applyAlignment="1" pivotButton="0" quotePrefix="0" xfId="0">
      <alignment horizontal="right" wrapText="1" indent="2"/>
    </xf>
    <xf numFmtId="0" fontId="13" fillId="0" borderId="0" pivotButton="0" quotePrefix="0" xfId="0"/>
    <xf numFmtId="0" fontId="50" fillId="0" borderId="0" pivotButton="0" quotePrefix="0" xfId="0"/>
    <xf numFmtId="164" fontId="0" fillId="0" borderId="9" applyAlignment="1" pivotButton="0" quotePrefix="0" xfId="0">
      <alignment horizontal="right" wrapText="1" indent="3"/>
    </xf>
    <xf numFmtId="0" fontId="0" fillId="0" borderId="10" applyAlignment="1" pivotButton="0" quotePrefix="0" xfId="0">
      <alignment horizontal="center" vertical="top" wrapText="1"/>
    </xf>
    <xf numFmtId="2" fontId="0" fillId="0" borderId="11" applyAlignment="1" pivotButton="0" quotePrefix="0" xfId="0">
      <alignment horizontal="right" wrapText="1" indent="3"/>
    </xf>
    <xf numFmtId="164" fontId="0" fillId="0" borderId="0" applyAlignment="1" pivotButton="0" quotePrefix="0" xfId="0">
      <alignment horizontal="right" vertical="center" wrapText="1" indent="2"/>
    </xf>
    <xf numFmtId="164" fontId="0" fillId="0" borderId="0" applyAlignment="1" pivotButton="0" quotePrefix="0" xfId="0">
      <alignment horizontal="right" indent="4"/>
    </xf>
    <xf numFmtId="0" fontId="0" fillId="0" borderId="5" applyAlignment="1" pivotButton="0" quotePrefix="0" xfId="0">
      <alignment horizontal="left" vertical="center" wrapText="1" indent="1"/>
    </xf>
    <xf numFmtId="0" fontId="1" fillId="0" borderId="7" applyAlignment="1" pivotButton="0" quotePrefix="0" xfId="0">
      <alignment horizontal="left" vertical="center" wrapText="1" indent="1"/>
    </xf>
    <xf numFmtId="0" fontId="0" fillId="0" borderId="10" applyAlignment="1" pivotButton="0" quotePrefix="0" xfId="0">
      <alignment horizontal="right" indent="3"/>
    </xf>
    <xf numFmtId="164" fontId="0" fillId="0" borderId="12" applyAlignment="1" pivotButton="0" quotePrefix="0" xfId="0">
      <alignment horizontal="right" indent="4"/>
    </xf>
    <xf numFmtId="164" fontId="12" fillId="0" borderId="12" applyAlignment="1" pivotButton="0" quotePrefix="0" xfId="0">
      <alignment horizontal="right" indent="4"/>
    </xf>
    <xf numFmtId="164" fontId="0" fillId="0" borderId="12" applyAlignment="1" pivotButton="0" quotePrefix="0" xfId="0">
      <alignment horizontal="right" wrapText="1" indent="3"/>
    </xf>
    <xf numFmtId="164" fontId="0" fillId="0" borderId="12" applyAlignment="1" pivotButton="0" quotePrefix="1" xfId="0">
      <alignment horizontal="right" wrapText="1" indent="3"/>
    </xf>
    <xf numFmtId="164" fontId="12" fillId="0" borderId="12" applyAlignment="1" pivotButton="0" quotePrefix="1" xfId="0">
      <alignment horizontal="right" wrapText="1" indent="3"/>
    </xf>
    <xf numFmtId="0" fontId="0" fillId="0" borderId="12" applyAlignment="1" pivotButton="0" quotePrefix="0" xfId="0">
      <alignment horizontal="right" indent="3"/>
    </xf>
    <xf numFmtId="0" fontId="0" fillId="0" borderId="11" applyAlignment="1" pivotButton="0" quotePrefix="0" xfId="0">
      <alignment horizontal="right" indent="3"/>
    </xf>
    <xf numFmtId="0" fontId="33" fillId="0" borderId="0" applyAlignment="1" pivotButton="0" quotePrefix="0" xfId="0">
      <alignment horizontal="center"/>
    </xf>
    <xf numFmtId="0" fontId="0" fillId="2" borderId="11" applyAlignment="1" pivotButton="0" quotePrefix="0" xfId="0">
      <alignment horizontal="center" vertical="top" wrapText="1"/>
    </xf>
    <xf numFmtId="0" fontId="0" fillId="2" borderId="9" applyAlignment="1" pivotButton="0" quotePrefix="0" xfId="0">
      <alignment horizontal="center" vertical="top" wrapText="1"/>
    </xf>
    <xf numFmtId="0" fontId="1" fillId="0" borderId="12" applyAlignment="1" pivotButton="0" quotePrefix="0" xfId="0">
      <alignment horizontal="right" vertical="center" wrapText="1" indent="6"/>
    </xf>
    <xf numFmtId="164" fontId="1" fillId="0" borderId="12" applyAlignment="1" pivotButton="0" quotePrefix="0" xfId="0">
      <alignment horizontal="right" indent="4"/>
    </xf>
    <xf numFmtId="164" fontId="0" fillId="0" borderId="12" applyAlignment="1" pivotButton="0" quotePrefix="0" xfId="0">
      <alignment horizontal="right" indent="4"/>
    </xf>
    <xf numFmtId="164" fontId="0" fillId="0" borderId="11" applyAlignment="1" pivotButton="0" quotePrefix="0" xfId="0">
      <alignment horizontal="right" indent="4"/>
    </xf>
    <xf numFmtId="164" fontId="0" fillId="0" borderId="12" applyAlignment="1" pivotButton="0" quotePrefix="0" xfId="0">
      <alignment horizontal="right" indent="2"/>
    </xf>
    <xf numFmtId="0" fontId="25" fillId="0" borderId="0" pivotButton="0" quotePrefix="0" xfId="0"/>
    <xf numFmtId="164" fontId="1" fillId="0" borderId="11" applyAlignment="1" pivotButton="0" quotePrefix="0" xfId="0">
      <alignment horizontal="right" indent="1"/>
    </xf>
    <xf numFmtId="164" fontId="0" fillId="0" borderId="11" applyAlignment="1" pivotButton="0" quotePrefix="0" xfId="0">
      <alignment horizontal="right" indent="1"/>
    </xf>
    <xf numFmtId="0" fontId="1" fillId="0" borderId="11" applyAlignment="1" pivotButton="0" quotePrefix="0" xfId="0">
      <alignment horizontal="right" vertical="center" wrapText="1" indent="6"/>
    </xf>
    <xf numFmtId="0" fontId="1" fillId="0" borderId="11" applyAlignment="1" pivotButton="0" quotePrefix="0" xfId="0">
      <alignment horizontal="right" vertical="center" wrapText="1" indent="6"/>
    </xf>
    <xf numFmtId="0" fontId="18" fillId="0" borderId="0" pivotButton="0" quotePrefix="0" xfId="0"/>
    <xf numFmtId="0" fontId="33" fillId="0" borderId="11" applyAlignment="1" pivotButton="0" quotePrefix="0" xfId="0">
      <alignment wrapText="1"/>
    </xf>
    <xf numFmtId="0" fontId="1" fillId="0" borderId="0" applyAlignment="1" pivotButton="0" quotePrefix="0" xfId="0">
      <alignment horizontal="center" vertical="center"/>
    </xf>
    <xf numFmtId="0" fontId="33" fillId="0" borderId="12" applyAlignment="1" pivotButton="0" quotePrefix="0" xfId="0">
      <alignment horizontal="left" wrapText="1" indent="1"/>
    </xf>
    <xf numFmtId="0" fontId="35" fillId="0" borderId="12" applyAlignment="1" pivotButton="0" quotePrefix="0" xfId="0">
      <alignment wrapText="1"/>
    </xf>
    <xf numFmtId="164" fontId="1" fillId="0" borderId="12" applyAlignment="1" pivotButton="0" quotePrefix="0" xfId="0">
      <alignment horizontal="right" wrapText="1" indent="6"/>
    </xf>
    <xf numFmtId="0" fontId="33" fillId="0" borderId="12" applyAlignment="1" pivotButton="0" quotePrefix="0" xfId="0">
      <alignment horizontal="left" wrapText="1" indent="3"/>
    </xf>
    <xf numFmtId="0" fontId="33" fillId="0" borderId="12" applyAlignment="1" pivotButton="0" quotePrefix="0" xfId="0">
      <alignment horizontal="left" wrapText="1" indent="2"/>
    </xf>
    <xf numFmtId="0" fontId="1" fillId="0" borderId="11" applyAlignment="1" pivotButton="0" quotePrefix="0" xfId="0">
      <alignment horizontal="left" wrapText="1" indent="2"/>
    </xf>
    <xf numFmtId="0" fontId="25" fillId="0" borderId="12" applyAlignment="1" pivotButton="0" quotePrefix="0" xfId="0">
      <alignment horizontal="right" vertical="center" wrapText="1"/>
    </xf>
    <xf numFmtId="0" fontId="18" fillId="0" borderId="0" pivotButton="0" quotePrefix="0" xfId="0"/>
    <xf numFmtId="164" fontId="18" fillId="0" borderId="0" pivotButton="0" quotePrefix="0" xfId="0"/>
    <xf numFmtId="164" fontId="9" fillId="0" borderId="0" pivotButton="0" quotePrefix="0" xfId="0"/>
    <xf numFmtId="0" fontId="9" fillId="0" borderId="0" pivotButton="0" quotePrefix="0" xfId="0"/>
    <xf numFmtId="164" fontId="25" fillId="0" borderId="12" applyAlignment="1" pivotButton="0" quotePrefix="0" xfId="0">
      <alignment horizontal="right" wrapText="1" indent="6"/>
    </xf>
    <xf numFmtId="164" fontId="1" fillId="0" borderId="11" applyAlignment="1" pivotButton="0" quotePrefix="0" xfId="0">
      <alignment horizontal="right" wrapText="1" indent="6"/>
    </xf>
    <xf numFmtId="0" fontId="0" fillId="2" borderId="1" applyAlignment="1" pivotButton="0" quotePrefix="0" xfId="0">
      <alignment horizontal="center" vertical="top" wrapText="1"/>
    </xf>
    <xf numFmtId="0" fontId="0" fillId="0" borderId="12" applyAlignment="1" pivotButton="0" quotePrefix="0" xfId="0">
      <alignment vertical="center" wrapText="1"/>
    </xf>
    <xf numFmtId="0" fontId="0" fillId="0" borderId="12" applyAlignment="1" pivotButton="0" quotePrefix="0" xfId="0">
      <alignment horizontal="center" vertical="top" wrapText="1"/>
    </xf>
    <xf numFmtId="0" fontId="0" fillId="0" borderId="6" applyAlignment="1" pivotButton="0" quotePrefix="0" xfId="0">
      <alignment horizontal="center" vertical="top" wrapText="1"/>
    </xf>
    <xf numFmtId="164" fontId="0" fillId="0" borderId="12" applyAlignment="1" pivotButton="0" quotePrefix="0" xfId="0">
      <alignment horizontal="right" indent="1"/>
    </xf>
    <xf numFmtId="0" fontId="0" fillId="0" borderId="0" applyAlignment="1" pivotButton="0" quotePrefix="0" xfId="0">
      <alignment horizontal="right" indent="5"/>
    </xf>
    <xf numFmtId="164" fontId="0" fillId="0" borderId="12" applyAlignment="1" pivotButton="0" quotePrefix="0" xfId="0">
      <alignment horizontal="right" indent="5"/>
    </xf>
    <xf numFmtId="164" fontId="0" fillId="0" borderId="10" applyAlignment="1" pivotButton="0" quotePrefix="0" xfId="0">
      <alignment horizontal="right" indent="2"/>
    </xf>
    <xf numFmtId="164" fontId="2" fillId="0" borderId="10" applyAlignment="1" pivotButton="0" quotePrefix="0" xfId="0">
      <alignment horizontal="center" wrapText="1"/>
    </xf>
    <xf numFmtId="164" fontId="2" fillId="0" borderId="12" applyAlignment="1" pivotButton="0" quotePrefix="0" xfId="0">
      <alignment horizontal="center" wrapText="1"/>
    </xf>
    <xf numFmtId="0" fontId="0" fillId="0" borderId="10" applyAlignment="1" pivotButton="0" quotePrefix="0" xfId="0">
      <alignment horizontal="right" wrapText="1" indent="3"/>
    </xf>
    <xf numFmtId="0" fontId="0" fillId="0" borderId="12" applyAlignment="1" pivotButton="0" quotePrefix="0" xfId="0">
      <alignment horizontal="right" wrapText="1" indent="3"/>
    </xf>
    <xf numFmtId="0" fontId="0" fillId="0" borderId="11" applyAlignment="1" pivotButton="0" quotePrefix="0" xfId="0">
      <alignment horizontal="right" wrapText="1" indent="3"/>
    </xf>
    <xf numFmtId="0" fontId="0" fillId="0" borderId="10" applyAlignment="1" pivotButton="0" quotePrefix="0" xfId="0">
      <alignment horizontal="right" indent="3"/>
    </xf>
    <xf numFmtId="164" fontId="0" fillId="0" borderId="10" applyAlignment="1" pivotButton="0" quotePrefix="0" xfId="0">
      <alignment horizontal="right" indent="3"/>
    </xf>
    <xf numFmtId="0" fontId="0" fillId="0" borderId="12" pivotButton="0" quotePrefix="0" xfId="0"/>
    <xf numFmtId="0" fontId="0" fillId="0" borderId="5" applyAlignment="1" pivotButton="0" quotePrefix="0" xfId="0">
      <alignment wrapText="1"/>
    </xf>
    <xf numFmtId="0" fontId="0" fillId="0" borderId="10" applyAlignment="1" pivotButton="0" quotePrefix="0" xfId="0">
      <alignment horizontal="right" indent="2"/>
    </xf>
    <xf numFmtId="164" fontId="0" fillId="0" borderId="12" applyAlignment="1" pivotButton="0" quotePrefix="0" xfId="0">
      <alignment horizontal="right" wrapText="1" indent="2"/>
    </xf>
    <xf numFmtId="164" fontId="12" fillId="0" borderId="12" applyAlignment="1" pivotButton="0" quotePrefix="0" xfId="0">
      <alignment horizontal="right" wrapText="1" indent="2"/>
    </xf>
    <xf numFmtId="164" fontId="12" fillId="0" borderId="6" applyAlignment="1" pivotButton="0" quotePrefix="0" xfId="0">
      <alignment horizontal="right" wrapText="1" indent="2"/>
    </xf>
    <xf numFmtId="164" fontId="12" fillId="0" borderId="6" applyAlignment="1" pivotButton="0" quotePrefix="1" xfId="0">
      <alignment horizontal="right" wrapText="1" indent="2"/>
    </xf>
    <xf numFmtId="164" fontId="12" fillId="0" borderId="12" applyAlignment="1" pivotButton="0" quotePrefix="1" xfId="0">
      <alignment horizontal="right" wrapText="1" indent="2"/>
    </xf>
    <xf numFmtId="164" fontId="0" fillId="0" borderId="11" applyAlignment="1" pivotButton="0" quotePrefix="1" xfId="0">
      <alignment horizontal="right" wrapText="1" indent="2"/>
    </xf>
    <xf numFmtId="164" fontId="12" fillId="0" borderId="11" applyAlignment="1" pivotButton="0" quotePrefix="1" xfId="0">
      <alignment horizontal="right" wrapText="1" indent="2"/>
    </xf>
    <xf numFmtId="164" fontId="12" fillId="0" borderId="9" applyAlignment="1" pivotButton="0" quotePrefix="1" xfId="0">
      <alignment horizontal="right" wrapText="1" indent="2"/>
    </xf>
    <xf numFmtId="1" fontId="0" fillId="0" borderId="3" applyAlignment="1" pivotButton="0" quotePrefix="0" xfId="0">
      <alignment horizontal="right" indent="1"/>
    </xf>
    <xf numFmtId="164" fontId="0" fillId="0" borderId="10" applyAlignment="1" pivotButton="0" quotePrefix="0" xfId="0">
      <alignment horizontal="right" indent="1"/>
    </xf>
    <xf numFmtId="1" fontId="0" fillId="0" borderId="0" applyAlignment="1" pivotButton="0" quotePrefix="0" xfId="0">
      <alignment horizontal="right" indent="1"/>
    </xf>
    <xf numFmtId="164" fontId="0" fillId="0" borderId="0" applyAlignment="1" pivotButton="0" quotePrefix="0" xfId="0">
      <alignment horizontal="right" indent="1"/>
    </xf>
    <xf numFmtId="164" fontId="33" fillId="0" borderId="12" applyAlignment="1" pivotButton="0" quotePrefix="0" xfId="0">
      <alignment horizontal="right" indent="1"/>
    </xf>
    <xf numFmtId="164" fontId="33" fillId="0" borderId="0" applyAlignment="1" pivotButton="0" quotePrefix="0" xfId="0">
      <alignment horizontal="right" indent="1"/>
    </xf>
    <xf numFmtId="1" fontId="0" fillId="0" borderId="8" applyAlignment="1" pivotButton="0" quotePrefix="0" xfId="0">
      <alignment horizontal="right" indent="1"/>
    </xf>
    <xf numFmtId="164" fontId="0" fillId="0" borderId="2" applyAlignment="1" pivotButton="0" quotePrefix="0" xfId="0">
      <alignment horizontal="right" indent="1"/>
    </xf>
    <xf numFmtId="164" fontId="0" fillId="0" borderId="5" applyAlignment="1" pivotButton="0" quotePrefix="0" xfId="0">
      <alignment horizontal="right" indent="1"/>
    </xf>
    <xf numFmtId="164" fontId="33" fillId="0" borderId="5" applyAlignment="1" pivotButton="0" quotePrefix="0" xfId="0">
      <alignment horizontal="right" indent="1"/>
    </xf>
    <xf numFmtId="164" fontId="0" fillId="0" borderId="7" applyAlignment="1" pivotButton="0" quotePrefix="0" xfId="0">
      <alignment horizontal="right" indent="1"/>
    </xf>
    <xf numFmtId="164" fontId="1" fillId="0" borderId="2" applyAlignment="1" pivotButton="0" quotePrefix="0" xfId="0">
      <alignment horizontal="right" vertical="top" indent="3"/>
    </xf>
    <xf numFmtId="164" fontId="0" fillId="0" borderId="10" applyAlignment="1" pivotButton="0" quotePrefix="0" xfId="0">
      <alignment horizontal="right" vertical="top" indent="3"/>
    </xf>
    <xf numFmtId="164" fontId="1" fillId="0" borderId="4" applyAlignment="1" pivotButton="0" quotePrefix="0" xfId="0">
      <alignment horizontal="right" vertical="top" indent="3"/>
    </xf>
    <xf numFmtId="164" fontId="1" fillId="0" borderId="5" applyAlignment="1" pivotButton="0" quotePrefix="0" xfId="0">
      <alignment horizontal="right" vertical="top" indent="3"/>
    </xf>
    <xf numFmtId="164" fontId="1" fillId="0" borderId="12" applyAlignment="1" pivotButton="0" quotePrefix="0" xfId="0">
      <alignment horizontal="right" vertical="top" indent="3"/>
    </xf>
    <xf numFmtId="164" fontId="1" fillId="0" borderId="6" applyAlignment="1" pivotButton="0" quotePrefix="0" xfId="0">
      <alignment horizontal="right" vertical="top" indent="3"/>
    </xf>
    <xf numFmtId="164" fontId="1" fillId="0" borderId="5" applyAlignment="1" pivotButton="0" quotePrefix="0" xfId="0">
      <alignment horizontal="right" indent="3"/>
    </xf>
    <xf numFmtId="164" fontId="1" fillId="0" borderId="12" applyAlignment="1" pivotButton="0" quotePrefix="0" xfId="0">
      <alignment horizontal="right" indent="3"/>
    </xf>
    <xf numFmtId="164" fontId="1" fillId="0" borderId="7" applyAlignment="1" pivotButton="0" quotePrefix="0" xfId="0">
      <alignment horizontal="right" indent="3"/>
    </xf>
    <xf numFmtId="164" fontId="1" fillId="0" borderId="11" applyAlignment="1" pivotButton="0" quotePrefix="0" xfId="0">
      <alignment horizontal="right" indent="3"/>
    </xf>
    <xf numFmtId="164" fontId="0" fillId="0" borderId="9" applyAlignment="1" pivotButton="0" quotePrefix="0" xfId="0">
      <alignment horizontal="right" indent="3"/>
    </xf>
    <xf numFmtId="0" fontId="0" fillId="2" borderId="12" applyAlignment="1" pivotButton="0" quotePrefix="0" xfId="0">
      <alignment horizontal="center" vertical="top" wrapText="1"/>
    </xf>
    <xf numFmtId="0" fontId="1" fillId="0" borderId="6" applyAlignment="1" pivotButton="0" quotePrefix="0" xfId="0">
      <alignment horizontal="right" wrapText="1" indent="1"/>
    </xf>
    <xf numFmtId="0" fontId="1" fillId="0" borderId="12" applyAlignment="1" pivotButton="0" quotePrefix="0" xfId="0">
      <alignment horizontal="right" wrapText="1" indent="1"/>
    </xf>
    <xf numFmtId="0" fontId="1" fillId="0" borderId="6" applyAlignment="1" pivotButton="0" quotePrefix="1" xfId="0">
      <alignment horizontal="right" wrapText="1" indent="1"/>
    </xf>
    <xf numFmtId="164" fontId="1" fillId="0" borderId="6" applyAlignment="1" pivotButton="0" quotePrefix="0" xfId="0">
      <alignment horizontal="right" indent="1"/>
    </xf>
    <xf numFmtId="0" fontId="0" fillId="0" borderId="10" applyAlignment="1" pivotButton="0" quotePrefix="0" xfId="0">
      <alignment horizontal="right" indent="1"/>
    </xf>
    <xf numFmtId="0" fontId="0" fillId="0" borderId="12" applyAlignment="1" pivotButton="0" quotePrefix="0" xfId="0">
      <alignment horizontal="right" indent="1"/>
    </xf>
    <xf numFmtId="164" fontId="1" fillId="0" borderId="6" applyAlignment="1" pivotButton="0" quotePrefix="1" xfId="0">
      <alignment horizontal="right" indent="1"/>
    </xf>
    <xf numFmtId="164" fontId="0" fillId="0" borderId="6" applyAlignment="1" pivotButton="0" quotePrefix="0" xfId="0">
      <alignment horizontal="right" indent="1"/>
    </xf>
    <xf numFmtId="164" fontId="1" fillId="0" borderId="9" applyAlignment="1" pivotButton="0" quotePrefix="0" xfId="0">
      <alignment horizontal="right" indent="1"/>
    </xf>
    <xf numFmtId="164" fontId="1" fillId="0" borderId="11" applyAlignment="1" pivotButton="0" quotePrefix="0" xfId="0">
      <alignment horizontal="right" indent="1"/>
    </xf>
    <xf numFmtId="1" fontId="1" fillId="0" borderId="6" applyAlignment="1" pivotButton="0" quotePrefix="0" xfId="0">
      <alignment horizontal="right" indent="1"/>
    </xf>
    <xf numFmtId="0" fontId="1" fillId="0" borderId="5" applyAlignment="1" pivotButton="0" quotePrefix="0" xfId="0">
      <alignment wrapText="1"/>
    </xf>
    <xf numFmtId="0" fontId="33" fillId="0" borderId="5" applyAlignment="1" pivotButton="0" quotePrefix="0" xfId="0">
      <alignment wrapText="1"/>
    </xf>
    <xf numFmtId="0" fontId="0" fillId="0" borderId="7" applyAlignment="1" pivotButton="0" quotePrefix="0" xfId="0">
      <alignment wrapText="1"/>
    </xf>
    <xf numFmtId="0" fontId="0" fillId="0" borderId="2" applyAlignment="1" pivotButton="0" quotePrefix="0" xfId="0">
      <alignment horizontal="right" indent="1"/>
    </xf>
    <xf numFmtId="164" fontId="1" fillId="0" borderId="10" applyAlignment="1" pivotButton="0" quotePrefix="0" xfId="0">
      <alignment horizontal="right" wrapText="1" indent="1"/>
    </xf>
    <xf numFmtId="164" fontId="1" fillId="0" borderId="3" applyAlignment="1" pivotButton="0" quotePrefix="0" xfId="0">
      <alignment horizontal="right" wrapText="1" indent="1"/>
    </xf>
    <xf numFmtId="164" fontId="1" fillId="0" borderId="10" applyAlignment="1" pivotButton="0" quotePrefix="0" xfId="0">
      <alignment horizontal="right" indent="1"/>
    </xf>
    <xf numFmtId="164" fontId="1" fillId="0" borderId="4" applyAlignment="1" pivotButton="0" quotePrefix="0" xfId="0">
      <alignment horizontal="right" indent="1"/>
    </xf>
    <xf numFmtId="164" fontId="0" fillId="0" borderId="5" applyAlignment="1" pivotButton="0" quotePrefix="0" xfId="0">
      <alignment horizontal="right" indent="1"/>
    </xf>
    <xf numFmtId="164" fontId="0" fillId="0" borderId="12" applyAlignment="1" pivotButton="0" quotePrefix="0" xfId="0">
      <alignment horizontal="right" indent="1"/>
    </xf>
    <xf numFmtId="164" fontId="0" fillId="0" borderId="0" applyAlignment="1" pivotButton="0" quotePrefix="0" xfId="0">
      <alignment horizontal="right" indent="1"/>
    </xf>
    <xf numFmtId="164" fontId="0" fillId="0" borderId="6" applyAlignment="1" pivotButton="0" quotePrefix="0" xfId="0">
      <alignment horizontal="right" indent="1"/>
    </xf>
    <xf numFmtId="1" fontId="0" fillId="0" borderId="5" applyAlignment="1" pivotButton="0" quotePrefix="0" xfId="0">
      <alignment horizontal="right" indent="1"/>
    </xf>
    <xf numFmtId="1" fontId="0" fillId="0" borderId="0" applyAlignment="1" pivotButton="0" quotePrefix="0" xfId="0">
      <alignment horizontal="right" indent="1"/>
    </xf>
    <xf numFmtId="164" fontId="1" fillId="0" borderId="5" applyAlignment="1" pivotButton="0" quotePrefix="0" xfId="0">
      <alignment horizontal="right" indent="1"/>
    </xf>
    <xf numFmtId="164" fontId="1" fillId="0" borderId="0" applyAlignment="1" pivotButton="0" quotePrefix="0" xfId="0">
      <alignment horizontal="right" wrapText="1" indent="1"/>
    </xf>
    <xf numFmtId="0" fontId="0" fillId="0" borderId="5" applyAlignment="1" pivotButton="0" quotePrefix="0" xfId="0">
      <alignment horizontal="right" indent="1"/>
    </xf>
    <xf numFmtId="164" fontId="0" fillId="0" borderId="6" applyAlignment="1" pivotButton="0" quotePrefix="0" xfId="4">
      <alignment horizontal="right" indent="1"/>
    </xf>
    <xf numFmtId="164" fontId="33" fillId="0" borderId="12" applyAlignment="1" pivotButton="0" quotePrefix="0" xfId="0">
      <alignment horizontal="right" indent="1"/>
    </xf>
    <xf numFmtId="164" fontId="33" fillId="0" borderId="12" applyAlignment="1" pivotButton="0" quotePrefix="0" xfId="0">
      <alignment horizontal="right" indent="1"/>
    </xf>
    <xf numFmtId="164" fontId="33" fillId="0" borderId="6" applyAlignment="1" pivotButton="0" quotePrefix="0" xfId="0">
      <alignment horizontal="right" indent="1"/>
    </xf>
    <xf numFmtId="164" fontId="0" fillId="0" borderId="6" applyAlignment="1" pivotButton="0" quotePrefix="0" xfId="0">
      <alignment horizontal="right" indent="1"/>
    </xf>
    <xf numFmtId="165" fontId="33" fillId="0" borderId="12" applyAlignment="1" pivotButton="0" quotePrefix="0" xfId="0">
      <alignment horizontal="right" indent="1"/>
    </xf>
    <xf numFmtId="164" fontId="33" fillId="0" borderId="0" applyAlignment="1" pivotButton="0" quotePrefix="0" xfId="0">
      <alignment horizontal="right" indent="1"/>
    </xf>
    <xf numFmtId="164" fontId="33" fillId="0" borderId="6" applyAlignment="1" pivotButton="0" quotePrefix="0" xfId="0">
      <alignment horizontal="right" indent="1"/>
    </xf>
    <xf numFmtId="0" fontId="0" fillId="0" borderId="5" applyAlignment="1" pivotButton="0" quotePrefix="0" xfId="0">
      <alignment horizontal="right" indent="1"/>
    </xf>
    <xf numFmtId="0" fontId="0" fillId="0" borderId="12" applyAlignment="1" pivotButton="0" quotePrefix="0" xfId="0">
      <alignment horizontal="right" indent="1"/>
    </xf>
    <xf numFmtId="0" fontId="0" fillId="0" borderId="0" applyAlignment="1" pivotButton="0" quotePrefix="0" xfId="0">
      <alignment horizontal="right" indent="1"/>
    </xf>
    <xf numFmtId="0" fontId="0" fillId="0" borderId="6" applyAlignment="1" pivotButton="0" quotePrefix="0" xfId="0">
      <alignment horizontal="right" indent="1"/>
    </xf>
    <xf numFmtId="0" fontId="0" fillId="0" borderId="5" applyAlignment="1" pivotButton="0" quotePrefix="0" xfId="0">
      <alignment horizontal="right" indent="1"/>
    </xf>
    <xf numFmtId="0" fontId="0" fillId="0" borderId="12" applyAlignment="1" pivotButton="0" quotePrefix="0" xfId="0">
      <alignment horizontal="right" indent="1"/>
    </xf>
    <xf numFmtId="1" fontId="0" fillId="0" borderId="0" applyAlignment="1" pivotButton="0" quotePrefix="0" xfId="0">
      <alignment horizontal="right" indent="1"/>
    </xf>
    <xf numFmtId="0" fontId="0" fillId="0" borderId="12" applyAlignment="1" pivotButton="0" quotePrefix="0" xfId="0">
      <alignment horizontal="right" indent="1"/>
    </xf>
    <xf numFmtId="0" fontId="0" fillId="0" borderId="6" applyAlignment="1" pivotButton="0" quotePrefix="0" xfId="0">
      <alignment horizontal="right" indent="1"/>
    </xf>
    <xf numFmtId="0" fontId="0" fillId="0" borderId="5" applyAlignment="1" pivotButton="0" quotePrefix="1" xfId="0">
      <alignment horizontal="right" indent="1"/>
    </xf>
    <xf numFmtId="0" fontId="1" fillId="0" borderId="0" applyAlignment="1" pivotButton="0" quotePrefix="1" xfId="0">
      <alignment horizontal="right" indent="1"/>
    </xf>
    <xf numFmtId="164" fontId="0" fillId="0" borderId="7" applyAlignment="1" pivotButton="0" quotePrefix="0" xfId="0">
      <alignment horizontal="right" indent="1"/>
    </xf>
    <xf numFmtId="164" fontId="1" fillId="0" borderId="8" applyAlignment="1" pivotButton="0" quotePrefix="0" xfId="0">
      <alignment horizontal="right" indent="1"/>
    </xf>
    <xf numFmtId="164" fontId="0" fillId="0" borderId="9" applyAlignment="1" pivotButton="0" quotePrefix="0" xfId="0">
      <alignment horizontal="right" indent="1"/>
    </xf>
    <xf numFmtId="0" fontId="52" fillId="0" borderId="0" pivotButton="0" quotePrefix="0" xfId="0"/>
    <xf numFmtId="164" fontId="0" fillId="0" borderId="12" applyAlignment="1" pivotButton="0" quotePrefix="0" xfId="0">
      <alignment horizontal="right" wrapText="1" indent="4"/>
    </xf>
    <xf numFmtId="0" fontId="12" fillId="0" borderId="12" applyAlignment="1" pivotButton="0" quotePrefix="0" xfId="0">
      <alignment horizontal="right" wrapText="1" indent="1"/>
    </xf>
    <xf numFmtId="0" fontId="12" fillId="0" borderId="6" applyAlignment="1" pivotButton="0" quotePrefix="0" xfId="0">
      <alignment horizontal="right" wrapText="1" indent="1"/>
    </xf>
    <xf numFmtId="164" fontId="0" fillId="0" borderId="6" applyAlignment="1" pivotButton="0" quotePrefix="0" xfId="0">
      <alignment horizontal="right" wrapText="1" indent="1"/>
    </xf>
    <xf numFmtId="0" fontId="1" fillId="0" borderId="11" applyAlignment="1" pivotButton="0" quotePrefix="0" xfId="0">
      <alignment horizontal="right" wrapText="1" indent="1"/>
    </xf>
    <xf numFmtId="0" fontId="1" fillId="0" borderId="9" applyAlignment="1" pivotButton="0" quotePrefix="0" xfId="0">
      <alignment horizontal="right" wrapText="1" indent="1"/>
    </xf>
    <xf numFmtId="164" fontId="1" fillId="0" borderId="10" applyAlignment="1" pivotButton="0" quotePrefix="0" xfId="0">
      <alignment horizontal="right" indent="4"/>
    </xf>
    <xf numFmtId="164" fontId="1" fillId="0" borderId="4" applyAlignment="1" pivotButton="0" quotePrefix="0" xfId="0">
      <alignment horizontal="right" indent="4"/>
    </xf>
    <xf numFmtId="164" fontId="1" fillId="0" borderId="6" applyAlignment="1" pivotButton="0" quotePrefix="0" xfId="0">
      <alignment horizontal="right" indent="4"/>
    </xf>
    <xf numFmtId="164" fontId="0" fillId="0" borderId="6" applyAlignment="1" pivotButton="0" quotePrefix="0" xfId="0">
      <alignment horizontal="right" indent="4"/>
    </xf>
    <xf numFmtId="164" fontId="0" fillId="0" borderId="0" applyAlignment="1" pivotButton="0" quotePrefix="0" xfId="0">
      <alignment horizontal="right" vertical="center" wrapText="1" indent="3"/>
    </xf>
    <xf numFmtId="164" fontId="0" fillId="0" borderId="11" applyAlignment="1" pivotButton="0" quotePrefix="0" xfId="0">
      <alignment horizontal="right" vertical="center" wrapText="1" indent="3"/>
    </xf>
    <xf numFmtId="164" fontId="0" fillId="0" borderId="12" applyAlignment="1" pivotButton="0" quotePrefix="1" xfId="0">
      <alignment horizontal="right" indent="4"/>
    </xf>
    <xf numFmtId="164" fontId="0" fillId="0" borderId="17" applyAlignment="1" pivotButton="0" quotePrefix="0" xfId="0">
      <alignment horizontal="right" wrapText="1" indent="4"/>
    </xf>
    <xf numFmtId="164" fontId="33" fillId="0" borderId="17" applyAlignment="1" pivotButton="0" quotePrefix="0" xfId="0">
      <alignment horizontal="right" wrapText="1" indent="4"/>
    </xf>
    <xf numFmtId="0" fontId="33" fillId="0" borderId="18" applyAlignment="1" pivotButton="0" quotePrefix="0" xfId="0">
      <alignment horizontal="right" wrapText="1" indent="4"/>
    </xf>
    <xf numFmtId="164" fontId="0" fillId="0" borderId="0" applyAlignment="1" pivotButton="0" quotePrefix="0" xfId="0">
      <alignment horizontal="right" indent="3"/>
    </xf>
    <xf numFmtId="0" fontId="0" fillId="2" borderId="11" applyAlignment="1" pivotButton="0" quotePrefix="0" xfId="0">
      <alignment horizontal="center" vertical="top" wrapText="1"/>
    </xf>
    <xf numFmtId="0" fontId="33" fillId="0" borderId="12" applyAlignment="1" pivotButton="0" quotePrefix="0" xfId="0">
      <alignment horizontal="right" indent="3"/>
    </xf>
    <xf numFmtId="164" fontId="0" fillId="0" borderId="3" applyAlignment="1" pivotButton="0" quotePrefix="0" xfId="0">
      <alignment horizontal="right" indent="1"/>
    </xf>
    <xf numFmtId="1" fontId="0" fillId="0" borderId="10" applyAlignment="1" pivotButton="0" quotePrefix="0" xfId="0">
      <alignment horizontal="right" indent="1"/>
    </xf>
    <xf numFmtId="164" fontId="0" fillId="0" borderId="0" applyAlignment="1" pivotButton="0" quotePrefix="0" xfId="0">
      <alignment horizontal="right" indent="1"/>
    </xf>
    <xf numFmtId="1" fontId="0" fillId="0" borderId="12" applyAlignment="1" pivotButton="0" quotePrefix="0" xfId="0">
      <alignment horizontal="right" indent="1"/>
    </xf>
    <xf numFmtId="1" fontId="33" fillId="0" borderId="12" applyAlignment="1" pivotButton="0" quotePrefix="0" xfId="0">
      <alignment horizontal="right" indent="1"/>
    </xf>
    <xf numFmtId="164" fontId="0" fillId="0" borderId="8" applyAlignment="1" pivotButton="0" quotePrefix="0" xfId="0">
      <alignment horizontal="right" indent="1"/>
    </xf>
    <xf numFmtId="1" fontId="0" fillId="0" borderId="11" applyAlignment="1" pivotButton="0" quotePrefix="0" xfId="0">
      <alignment horizontal="right" indent="1"/>
    </xf>
    <xf numFmtId="164" fontId="0" fillId="0" borderId="6" applyAlignment="1" pivotButton="0" quotePrefix="1" xfId="0">
      <alignment horizontal="right" indent="1"/>
    </xf>
    <xf numFmtId="0" fontId="1" fillId="0" borderId="0" applyAlignment="1" pivotButton="0" quotePrefix="0" xfId="0">
      <alignment horizontal="left" wrapText="1"/>
    </xf>
    <xf numFmtId="0" fontId="1" fillId="0" borderId="0" applyAlignment="1" pivotButton="0" quotePrefix="0" xfId="0">
      <alignment vertical="center" wrapText="1"/>
    </xf>
    <xf numFmtId="0" fontId="8" fillId="0" borderId="0" applyAlignment="1" pivotButton="0" quotePrefix="0" xfId="0">
      <alignment horizontal="center" vertical="center" wrapText="1"/>
    </xf>
    <xf numFmtId="0" fontId="2" fillId="0" borderId="0" applyAlignment="1" pivotButton="0" quotePrefix="0" xfId="0">
      <alignment horizontal="center" vertical="center"/>
    </xf>
    <xf numFmtId="0" fontId="1" fillId="0" borderId="0" applyAlignment="1" pivotButton="0" quotePrefix="0" xfId="0">
      <alignment horizontal="left" vertical="center" wrapText="1"/>
    </xf>
    <xf numFmtId="0" fontId="0" fillId="0" borderId="0" applyAlignment="1" pivotButton="0" quotePrefix="0" xfId="0">
      <alignment vertical="center" wrapText="1"/>
    </xf>
    <xf numFmtId="0" fontId="0" fillId="0" borderId="0" applyAlignment="1" pivotButton="0" quotePrefix="0" xfId="0">
      <alignment horizontal="left" vertical="center" wrapText="1"/>
    </xf>
    <xf numFmtId="0" fontId="7" fillId="0" borderId="0" applyAlignment="1" pivotButton="0" quotePrefix="0" xfId="0">
      <alignment horizontal="center" vertical="center"/>
    </xf>
    <xf numFmtId="0" fontId="13" fillId="0" borderId="0" applyAlignment="1" pivotButton="0" quotePrefix="0" xfId="0">
      <alignment horizontal="justify" vertical="top" wrapText="1"/>
    </xf>
    <xf numFmtId="0" fontId="7" fillId="0" borderId="0" applyAlignment="1" pivotButton="0" quotePrefix="0" xfId="0">
      <alignment horizontal="center" vertical="top" wrapText="1"/>
    </xf>
    <xf numFmtId="0" fontId="0" fillId="2" borderId="10" applyAlignment="1" pivotButton="0" quotePrefix="0" xfId="0">
      <alignment horizontal="center" vertical="top" wrapText="1"/>
    </xf>
    <xf numFmtId="0" fontId="1" fillId="2" borderId="12" applyAlignment="1" pivotButton="0" quotePrefix="0" xfId="0">
      <alignment horizontal="center" vertical="top" wrapText="1"/>
    </xf>
    <xf numFmtId="0" fontId="15" fillId="0" borderId="0" applyAlignment="1" pivotButton="0" quotePrefix="0" xfId="0">
      <alignment horizontal="left" vertical="center" wrapText="1"/>
    </xf>
    <xf numFmtId="0" fontId="1" fillId="2" borderId="10" applyAlignment="1" pivotButton="0" quotePrefix="0" xfId="0">
      <alignment horizontal="center" vertical="center" wrapText="1"/>
    </xf>
    <xf numFmtId="0" fontId="1" fillId="2" borderId="11" applyAlignment="1" pivotButton="0" quotePrefix="0" xfId="0">
      <alignment horizontal="center" vertical="center" wrapText="1"/>
    </xf>
    <xf numFmtId="0" fontId="0" fillId="2" borderId="12" applyAlignment="1" pivotButton="0" quotePrefix="0" xfId="0">
      <alignment horizontal="center" vertical="top" wrapText="1"/>
    </xf>
    <xf numFmtId="0" fontId="15" fillId="0" borderId="0" applyAlignment="1" pivotButton="0" quotePrefix="0" xfId="0">
      <alignment horizontal="justify" vertical="center" wrapText="1"/>
    </xf>
    <xf numFmtId="0" fontId="7" fillId="0" borderId="0" applyAlignment="1" pivotButton="0" quotePrefix="0" xfId="0">
      <alignment horizontal="center"/>
    </xf>
    <xf numFmtId="0" fontId="13" fillId="0" borderId="0" applyAlignment="1" pivotButton="0" quotePrefix="0" xfId="0">
      <alignment horizontal="justify" wrapText="1"/>
    </xf>
    <xf numFmtId="0" fontId="7" fillId="0" borderId="0" applyAlignment="1" pivotButton="0" quotePrefix="0" xfId="0">
      <alignment horizontal="center" vertical="center" wrapText="1"/>
    </xf>
    <xf numFmtId="0" fontId="7" fillId="0" borderId="0" applyAlignment="1" pivotButton="0" quotePrefix="0" xfId="0">
      <alignment horizontal="center" vertical="top"/>
    </xf>
    <xf numFmtId="0" fontId="1" fillId="2" borderId="13" applyAlignment="1" pivotButton="0" quotePrefix="0" xfId="0">
      <alignment horizontal="center" vertical="center" wrapText="1"/>
    </xf>
    <xf numFmtId="0" fontId="1" fillId="2" borderId="14" applyAlignment="1" pivotButton="0" quotePrefix="0" xfId="0">
      <alignment horizontal="center" vertical="center" wrapText="1"/>
    </xf>
    <xf numFmtId="0" fontId="1" fillId="2" borderId="12" applyAlignment="1" pivotButton="0" quotePrefix="0" xfId="0">
      <alignment horizontal="center" vertical="center" wrapText="1"/>
    </xf>
    <xf numFmtId="0" fontId="0" fillId="2" borderId="13" applyAlignment="1" pivotButton="0" quotePrefix="0" xfId="0">
      <alignment horizontal="center" vertical="center" wrapText="1"/>
    </xf>
    <xf numFmtId="0" fontId="0" fillId="2" borderId="14" applyAlignment="1" pivotButton="0" quotePrefix="0" xfId="0">
      <alignment horizontal="center" vertical="center" wrapText="1"/>
    </xf>
    <xf numFmtId="0" fontId="7" fillId="0" borderId="0" applyAlignment="1" pivotButton="0" quotePrefix="0" xfId="0">
      <alignment horizontal="center" vertical="top" wrapText="1"/>
    </xf>
    <xf numFmtId="0" fontId="0" fillId="0" borderId="8" applyAlignment="1" pivotButton="0" quotePrefix="0" xfId="0">
      <alignment horizontal="right"/>
    </xf>
    <xf numFmtId="0" fontId="7" fillId="0" borderId="0" applyAlignment="1" pivotButton="0" quotePrefix="0" xfId="0">
      <alignment horizontal="center" vertical="center"/>
    </xf>
    <xf numFmtId="0" fontId="0" fillId="2" borderId="11" applyAlignment="1" pivotButton="0" quotePrefix="0" xfId="0">
      <alignment horizontal="center" vertical="top" wrapText="1"/>
    </xf>
    <xf numFmtId="0" fontId="2" fillId="2" borderId="10" applyAlignment="1" pivotButton="0" quotePrefix="0" xfId="0">
      <alignment vertical="center" wrapText="1"/>
    </xf>
    <xf numFmtId="0" fontId="2" fillId="2" borderId="11" applyAlignment="1" pivotButton="0" quotePrefix="0" xfId="0">
      <alignment vertical="center" wrapText="1"/>
    </xf>
    <xf numFmtId="0" fontId="1" fillId="2" borderId="13" applyAlignment="1" pivotButton="0" quotePrefix="0" xfId="0">
      <alignment horizontal="center" vertical="top" wrapText="1"/>
    </xf>
    <xf numFmtId="0" fontId="1" fillId="2" borderId="14" applyAlignment="1" pivotButton="0" quotePrefix="0" xfId="0">
      <alignment horizontal="center" vertical="top" wrapText="1"/>
    </xf>
    <xf numFmtId="0" fontId="7" fillId="0" borderId="0" applyAlignment="1" pivotButton="0" quotePrefix="0" xfId="0">
      <alignment horizontal="center"/>
    </xf>
    <xf numFmtId="0" fontId="2" fillId="0" borderId="0" applyAlignment="1" pivotButton="0" quotePrefix="0" xfId="0">
      <alignment horizontal="center" vertical="center" wrapText="1"/>
    </xf>
    <xf numFmtId="0" fontId="2" fillId="0" borderId="0" applyAlignment="1" pivotButton="0" quotePrefix="0" xfId="0">
      <alignment horizontal="center" vertical="center"/>
    </xf>
    <xf numFmtId="0" fontId="1" fillId="2" borderId="1" applyAlignment="1" pivotButton="0" quotePrefix="0" xfId="0">
      <alignment horizontal="right" vertical="center" wrapText="1"/>
    </xf>
    <xf numFmtId="0" fontId="0" fillId="2" borderId="1" applyAlignment="1" pivotButton="0" quotePrefix="0" xfId="0">
      <alignment horizontal="center" vertical="top" wrapText="1"/>
    </xf>
    <xf numFmtId="0" fontId="1" fillId="2" borderId="1" applyAlignment="1" pivotButton="0" quotePrefix="0" xfId="0">
      <alignment horizontal="center" vertical="top" wrapText="1"/>
    </xf>
    <xf numFmtId="0" fontId="18" fillId="2" borderId="1" applyAlignment="1" pivotButton="0" quotePrefix="0" xfId="0">
      <alignment horizontal="center" vertical="top" wrapText="1"/>
    </xf>
    <xf numFmtId="0" fontId="2"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33" fillId="0" borderId="0" applyAlignment="1" pivotButton="0" quotePrefix="0" xfId="0">
      <alignment horizontal="left" vertical="top" wrapText="1"/>
    </xf>
    <xf numFmtId="0" fontId="1" fillId="2" borderId="10" applyAlignment="1" pivotButton="0" quotePrefix="0" xfId="0">
      <alignment vertical="center" wrapText="1"/>
    </xf>
    <xf numFmtId="0" fontId="0" fillId="0" borderId="11" applyAlignment="1" pivotButton="0" quotePrefix="0" xfId="0">
      <alignment vertical="center" wrapText="1"/>
    </xf>
    <xf numFmtId="0" fontId="0" fillId="2" borderId="13" applyAlignment="1" pivotButton="0" quotePrefix="0" xfId="0">
      <alignment horizontal="center" vertical="top" wrapText="1"/>
    </xf>
    <xf numFmtId="0" fontId="13" fillId="0" borderId="0" applyAlignment="1" pivotButton="0" quotePrefix="0" xfId="0">
      <alignment wrapText="1"/>
    </xf>
    <xf numFmtId="0" fontId="7" fillId="0" borderId="0" applyAlignment="1" pivotButton="0" quotePrefix="0" xfId="0">
      <alignment horizontal="center" vertical="top"/>
    </xf>
    <xf numFmtId="0" fontId="20" fillId="0" borderId="0" applyAlignment="1" pivotButton="0" quotePrefix="0" xfId="0">
      <alignment horizontal="center" vertical="top" wrapText="1"/>
    </xf>
    <xf numFmtId="0" fontId="33" fillId="2" borderId="10" applyAlignment="1" pivotButton="0" quotePrefix="0" xfId="0">
      <alignment horizontal="center" vertical="top" wrapText="1"/>
    </xf>
    <xf numFmtId="0" fontId="0" fillId="0" borderId="11" applyAlignment="1" pivotButton="0" quotePrefix="0" xfId="0">
      <alignment horizontal="center" vertical="top" wrapText="1"/>
    </xf>
    <xf numFmtId="0" fontId="7" fillId="0" borderId="0" applyAlignment="1" pivotButton="0" quotePrefix="0" xfId="0">
      <alignment horizontal="center" vertical="center" wrapText="1"/>
    </xf>
    <xf numFmtId="0" fontId="1" fillId="2" borderId="10" applyAlignment="1" pivotButton="0" quotePrefix="0" xfId="0">
      <alignment horizontal="center" vertical="top" wrapText="1"/>
    </xf>
    <xf numFmtId="0" fontId="1" fillId="2" borderId="11" applyAlignment="1" pivotButton="0" quotePrefix="0" xfId="0">
      <alignment horizontal="center" vertical="top" wrapText="1"/>
    </xf>
    <xf numFmtId="0" fontId="1" fillId="2" borderId="10" applyAlignment="1" pivotButton="0" quotePrefix="0" xfId="0">
      <alignment horizontal="center" wrapText="1"/>
    </xf>
    <xf numFmtId="0" fontId="1" fillId="2" borderId="11" applyAlignment="1" pivotButton="0" quotePrefix="0" xfId="0">
      <alignment horizontal="center" wrapText="1"/>
    </xf>
    <xf numFmtId="0" fontId="1" fillId="2" borderId="15" applyAlignment="1" pivotButton="0" quotePrefix="0" xfId="0">
      <alignment horizontal="center" vertical="top" wrapText="1"/>
    </xf>
    <xf numFmtId="0" fontId="20" fillId="0" borderId="0" applyAlignment="1" pivotButton="0" quotePrefix="0" xfId="0">
      <alignment horizontal="center"/>
    </xf>
    <xf numFmtId="0" fontId="33" fillId="2" borderId="11" applyAlignment="1" pivotButton="0" quotePrefix="0" xfId="0">
      <alignment horizontal="center" vertical="top" wrapText="1"/>
    </xf>
    <xf numFmtId="0" fontId="7" fillId="0" borderId="0" applyAlignment="1" pivotButton="0" quotePrefix="0" xfId="0">
      <alignment horizontal="center" vertical="center"/>
    </xf>
    <xf numFmtId="0" fontId="1" fillId="0" borderId="0" applyAlignment="1" pivotButton="0" quotePrefix="0" xfId="0">
      <alignment horizontal="right" vertical="center"/>
    </xf>
    <xf numFmtId="0" fontId="0" fillId="0" borderId="12" applyAlignment="1" pivotButton="0" quotePrefix="0" xfId="0">
      <alignment vertical="center" wrapText="1"/>
    </xf>
    <xf numFmtId="0" fontId="0" fillId="0" borderId="12" applyAlignment="1" pivotButton="0" quotePrefix="0" xfId="0">
      <alignment horizontal="center" vertical="top" wrapText="1"/>
    </xf>
    <xf numFmtId="0" fontId="1" fillId="2" borderId="15" applyAlignment="1" pivotButton="0" quotePrefix="0" xfId="0">
      <alignment horizontal="center" vertical="center" wrapText="1"/>
    </xf>
    <xf numFmtId="0" fontId="1" fillId="0" borderId="8" applyAlignment="1" pivotButton="0" quotePrefix="0" xfId="0">
      <alignment horizontal="right" vertical="center"/>
    </xf>
    <xf numFmtId="0" fontId="0" fillId="2" borderId="15" applyAlignment="1" pivotButton="0" quotePrefix="0" xfId="0">
      <alignment horizontal="center" vertical="center" wrapText="1"/>
    </xf>
    <xf numFmtId="0" fontId="0" fillId="0" borderId="11" applyAlignment="1" pivotButton="0" quotePrefix="0" xfId="0">
      <alignment horizontal="center" vertical="center" wrapText="1"/>
    </xf>
    <xf numFmtId="0" fontId="0" fillId="2" borderId="11" applyAlignment="1" pivotButton="0" quotePrefix="0" xfId="0">
      <alignment horizontal="center" vertical="center" wrapText="1"/>
    </xf>
    <xf numFmtId="0" fontId="1" fillId="2" borderId="10" applyAlignment="1" pivotButton="0" quotePrefix="0" xfId="0">
      <alignment horizontal="right" vertical="center" wrapText="1"/>
    </xf>
    <xf numFmtId="0" fontId="0" fillId="0" borderId="11" applyAlignment="1" pivotButton="0" quotePrefix="0" xfId="0">
      <alignment horizontal="right" vertical="center" wrapText="1"/>
    </xf>
    <xf numFmtId="0" fontId="7" fillId="0" borderId="0" applyAlignment="1" pivotButton="0" quotePrefix="0" xfId="0">
      <alignment horizontal="center" vertical="center" wrapText="1"/>
    </xf>
    <xf numFmtId="0" fontId="0" fillId="0" borderId="8" applyAlignment="1" pivotButton="0" quotePrefix="0" xfId="0">
      <alignment horizontal="right" vertical="top"/>
    </xf>
    <xf numFmtId="0" fontId="0" fillId="2" borderId="13" applyAlignment="1" pivotButton="0" quotePrefix="0" xfId="0">
      <alignment horizontal="center" vertical="top"/>
    </xf>
    <xf numFmtId="0" fontId="0" fillId="2" borderId="14" applyAlignment="1" pivotButton="0" quotePrefix="0" xfId="0">
      <alignment horizontal="center" vertical="top"/>
    </xf>
    <xf numFmtId="0" fontId="25" fillId="2" borderId="10" applyAlignment="1" pivotButton="0" quotePrefix="0" xfId="0">
      <alignment vertical="center" wrapText="1"/>
    </xf>
    <xf numFmtId="0" fontId="7" fillId="0" borderId="0" applyAlignment="1" pivotButton="0" quotePrefix="0" xfId="0">
      <alignment horizontal="center" vertical="top" wrapText="1"/>
    </xf>
    <xf numFmtId="0" fontId="0" fillId="2" borderId="10" applyAlignment="1" pivotButton="0" quotePrefix="0" xfId="0">
      <alignment horizontal="center" vertical="top"/>
    </xf>
    <xf numFmtId="0" fontId="0" fillId="2" borderId="11" applyAlignment="1" pivotButton="0" quotePrefix="0" xfId="0">
      <alignment horizontal="center" vertical="top"/>
    </xf>
    <xf numFmtId="0" fontId="44" fillId="2" borderId="10" applyAlignment="1" pivotButton="0" quotePrefix="0" xfId="0">
      <alignment vertical="center" wrapText="1"/>
    </xf>
    <xf numFmtId="0" fontId="43" fillId="0" borderId="11" applyAlignment="1" pivotButton="0" quotePrefix="0" xfId="0">
      <alignment vertical="center" wrapText="1"/>
    </xf>
    <xf numFmtId="0" fontId="0" fillId="0" borderId="8" applyAlignment="1" pivotButton="0" quotePrefix="0" xfId="0">
      <alignment horizontal="right" vertical="center"/>
    </xf>
    <xf numFmtId="0" fontId="13" fillId="0" borderId="0" applyAlignment="1" pivotButton="0" quotePrefix="0" xfId="0">
      <alignment horizontal="justify" vertical="center" wrapText="1"/>
    </xf>
    <xf numFmtId="0" fontId="0" fillId="0" borderId="0" applyAlignment="1" pivotButton="0" quotePrefix="0" xfId="0">
      <alignment horizontal="right" vertical="center"/>
    </xf>
    <xf numFmtId="0" fontId="39" fillId="0" borderId="0" applyAlignment="1" pivotButton="0" quotePrefix="0" xfId="0">
      <alignment horizontal="center" vertical="center" wrapText="1"/>
    </xf>
    <xf numFmtId="0" fontId="33" fillId="0" borderId="8" applyAlignment="1" pivotButton="0" quotePrefix="0" xfId="0">
      <alignment horizontal="right" vertical="center"/>
    </xf>
    <xf numFmtId="0" fontId="1" fillId="2" borderId="11" applyAlignment="1" pivotButton="0" quotePrefix="0" xfId="0">
      <alignment vertical="center" wrapText="1"/>
    </xf>
    <xf numFmtId="0" fontId="41" fillId="0" borderId="0" applyAlignment="1" pivotButton="0" quotePrefix="0" xfId="0">
      <alignment horizontal="justify" vertical="center" wrapText="1"/>
    </xf>
    <xf numFmtId="0" fontId="10" fillId="2" borderId="10" applyAlignment="1" pivotButton="0" quotePrefix="0" xfId="0">
      <alignment horizontal="center" vertical="center" wrapText="1"/>
    </xf>
    <xf numFmtId="0" fontId="0" fillId="0" borderId="12" applyAlignment="1" pivotButton="0" quotePrefix="0" xfId="0">
      <alignment horizontal="center" vertical="center" wrapText="1"/>
    </xf>
    <xf numFmtId="0" fontId="7" fillId="0" borderId="0" applyAlignment="1" pivotButton="0" quotePrefix="0" xfId="0">
      <alignment horizontal="center" wrapText="1"/>
    </xf>
    <xf numFmtId="0" fontId="0" fillId="2" borderId="10" applyAlignment="1" pivotButton="0" quotePrefix="0" xfId="0">
      <alignment vertical="top" wrapText="1"/>
    </xf>
    <xf numFmtId="0" fontId="0" fillId="2" borderId="12" applyAlignment="1" pivotButton="0" quotePrefix="0" xfId="0">
      <alignment vertical="top" wrapText="1"/>
    </xf>
    <xf numFmtId="0" fontId="0" fillId="2" borderId="15" applyAlignment="1" pivotButton="0" quotePrefix="0" xfId="0">
      <alignment horizontal="center" vertical="top" wrapText="1"/>
    </xf>
    <xf numFmtId="0" fontId="0" fillId="2" borderId="14" applyAlignment="1" pivotButton="0" quotePrefix="0" xfId="0">
      <alignment horizontal="center" vertical="top" wrapText="1"/>
    </xf>
    <xf numFmtId="0" fontId="0" fillId="2" borderId="11" applyAlignment="1" pivotButton="0" quotePrefix="0" xfId="0">
      <alignment vertical="top" wrapText="1"/>
    </xf>
    <xf numFmtId="0" fontId="0" fillId="2" borderId="11" applyAlignment="1" pivotButton="0" quotePrefix="0" xfId="0">
      <alignment horizontal="center" vertical="top" wrapText="1"/>
    </xf>
    <xf numFmtId="0" fontId="0" fillId="2" borderId="4" applyAlignment="1" pivotButton="0" quotePrefix="0" xfId="0">
      <alignment horizontal="center" vertical="top" wrapText="1"/>
    </xf>
    <xf numFmtId="0" fontId="1" fillId="2" borderId="9" applyAlignment="1" pivotButton="0" quotePrefix="0" xfId="0">
      <alignment horizontal="center" vertical="top" wrapText="1"/>
    </xf>
    <xf numFmtId="0" fontId="7" fillId="0" borderId="0" applyAlignment="1" pivotButton="0" quotePrefix="0" xfId="0">
      <alignment horizontal="center"/>
    </xf>
    <xf numFmtId="0" fontId="18" fillId="0" borderId="0" applyAlignment="1" pivotButton="0" quotePrefix="0" xfId="0">
      <alignment horizontal="center"/>
    </xf>
    <xf numFmtId="0" fontId="0" fillId="2" borderId="12" applyAlignment="1" pivotButton="0" quotePrefix="0" xfId="0">
      <alignment vertical="center" wrapText="1"/>
    </xf>
    <xf numFmtId="0" fontId="0" fillId="2" borderId="11" applyAlignment="1" pivotButton="0" quotePrefix="0" xfId="0">
      <alignment vertical="center" wrapText="1"/>
    </xf>
    <xf numFmtId="0" fontId="0" fillId="2" borderId="2" applyAlignment="1" pivotButton="0" quotePrefix="0" xfId="0">
      <alignment horizontal="center" vertical="top" wrapText="1"/>
    </xf>
    <xf numFmtId="0" fontId="0" fillId="2" borderId="7" applyAlignment="1" pivotButton="0" quotePrefix="0" xfId="0">
      <alignment horizontal="center" vertical="top" wrapText="1"/>
    </xf>
    <xf numFmtId="0" fontId="0" fillId="2" borderId="9" applyAlignment="1" pivotButton="0" quotePrefix="0" xfId="0">
      <alignment horizontal="center" vertical="top" wrapText="1"/>
    </xf>
    <xf numFmtId="0" fontId="1" fillId="2" borderId="4" applyAlignment="1" pivotButton="0" quotePrefix="0" xfId="0">
      <alignment horizontal="center" vertical="top" wrapText="1"/>
    </xf>
    <xf numFmtId="0" fontId="0" fillId="0" borderId="5" applyAlignment="1" pivotButton="0" quotePrefix="0" xfId="0">
      <alignment horizontal="center" vertical="top" wrapText="1"/>
    </xf>
    <xf numFmtId="0" fontId="0" fillId="0" borderId="6" applyAlignment="1" pivotButton="0" quotePrefix="0" xfId="0">
      <alignment horizontal="center" vertical="top" wrapText="1"/>
    </xf>
    <xf numFmtId="0" fontId="0" fillId="0" borderId="7" applyAlignment="1" pivotButton="0" quotePrefix="0" xfId="0">
      <alignment horizontal="center" vertical="top" wrapText="1"/>
    </xf>
    <xf numFmtId="0" fontId="0" fillId="0" borderId="9" applyAlignment="1" pivotButton="0" quotePrefix="0" xfId="0">
      <alignment horizontal="center" vertical="top" wrapText="1"/>
    </xf>
    <xf numFmtId="0" fontId="0" fillId="0" borderId="5" applyAlignment="1" pivotButton="0" quotePrefix="0" xfId="0">
      <alignment horizontal="center" wrapText="1"/>
    </xf>
    <xf numFmtId="0" fontId="0" fillId="0" borderId="6" applyAlignment="1" pivotButton="0" quotePrefix="0" xfId="0">
      <alignment horizontal="center" wrapText="1"/>
    </xf>
    <xf numFmtId="0" fontId="0" fillId="0" borderId="7" applyAlignment="1" pivotButton="0" quotePrefix="0" xfId="0">
      <alignment horizontal="center" wrapText="1"/>
    </xf>
    <xf numFmtId="0" fontId="0" fillId="0" borderId="9" applyAlignment="1" pivotButton="0" quotePrefix="0" xfId="0">
      <alignment horizontal="center" wrapText="1"/>
    </xf>
    <xf numFmtId="0" fontId="1" fillId="2" borderId="12" applyAlignment="1" pivotButton="0" quotePrefix="0" xfId="0">
      <alignment vertical="center" wrapText="1"/>
    </xf>
    <xf numFmtId="0" fontId="0" fillId="2" borderId="10" applyAlignment="1" pivotButton="0" quotePrefix="0" xfId="0">
      <alignment horizontal="center" vertical="center" wrapText="1"/>
    </xf>
    <xf numFmtId="0" fontId="0" fillId="2" borderId="12" applyAlignment="1" pivotButton="0" quotePrefix="0" xfId="0">
      <alignment horizontal="center" vertical="center" wrapText="1"/>
    </xf>
    <xf numFmtId="0" fontId="0" fillId="0" borderId="0" applyAlignment="1" pivotButton="0" quotePrefix="0" xfId="0">
      <alignment horizontal="center" vertical="center" wrapText="1"/>
    </xf>
    <xf numFmtId="164" fontId="0" fillId="0" borderId="12" applyAlignment="1" pivotButton="0" quotePrefix="0" xfId="0">
      <alignment horizontal="right" vertical="center" wrapText="1" indent="2"/>
    </xf>
    <xf numFmtId="164" fontId="0" fillId="0" borderId="0" applyAlignment="1" pivotButton="0" quotePrefix="0" xfId="0">
      <alignment horizontal="right" vertical="center" wrapText="1" indent="2"/>
    </xf>
    <xf numFmtId="0" fontId="0" fillId="0" borderId="14" pivotButton="0" quotePrefix="0" xfId="0"/>
    <xf numFmtId="0" fontId="0" fillId="0" borderId="8" pivotButton="0" quotePrefix="0" xfId="0"/>
    <xf numFmtId="0" fontId="0" fillId="2" borderId="1" applyAlignment="1" pivotButton="0" quotePrefix="0" xfId="0">
      <alignment horizontal="center" vertical="center" wrapText="1"/>
    </xf>
    <xf numFmtId="0" fontId="0" fillId="0" borderId="11" pivotButton="0" quotePrefix="0" xfId="0"/>
    <xf numFmtId="0" fontId="2" fillId="2" borderId="1" applyAlignment="1" pivotButton="0" quotePrefix="0" xfId="0">
      <alignment vertical="center" wrapText="1"/>
    </xf>
    <xf numFmtId="0" fontId="0" fillId="0" borderId="4" pivotButton="0" quotePrefix="0" xfId="0"/>
    <xf numFmtId="0" fontId="0" fillId="0" borderId="7" pivotButton="0" quotePrefix="0" xfId="0"/>
    <xf numFmtId="0" fontId="0" fillId="0" borderId="9" pivotButton="0" quotePrefix="0" xfId="0"/>
    <xf numFmtId="0" fontId="1" fillId="2" borderId="1" applyAlignment="1" pivotButton="0" quotePrefix="0" xfId="0">
      <alignment horizontal="center" wrapText="1"/>
    </xf>
    <xf numFmtId="0" fontId="0" fillId="0" borderId="15" pivotButton="0" quotePrefix="0" xfId="0"/>
    <xf numFmtId="0" fontId="25" fillId="2" borderId="1" applyAlignment="1" pivotButton="0" quotePrefix="0" xfId="0">
      <alignment vertical="center" wrapText="1"/>
    </xf>
    <xf numFmtId="0" fontId="44" fillId="2" borderId="1" applyAlignment="1" pivotButton="0" quotePrefix="0" xfId="0">
      <alignment vertical="center" wrapText="1"/>
    </xf>
    <xf numFmtId="0" fontId="0" fillId="2" borderId="1" applyAlignment="1" pivotButton="0" quotePrefix="0" xfId="0">
      <alignment vertical="top" wrapText="1"/>
    </xf>
    <xf numFmtId="0" fontId="0" fillId="0" borderId="6" pivotButton="0" quotePrefix="0" xfId="0"/>
    <xf numFmtId="0" fontId="0" fillId="5" borderId="0" pivotButton="0" quotePrefix="0" xfId="0"/>
    <xf numFmtId="0" fontId="10" fillId="5" borderId="0" applyAlignment="1" pivotButton="0" quotePrefix="0" xfId="0">
      <alignment vertical="center" wrapText="1"/>
    </xf>
    <xf numFmtId="0" fontId="0" fillId="4" borderId="10" applyAlignment="1" pivotButton="0" quotePrefix="0" xfId="0">
      <alignment horizontal="center" vertical="top" wrapText="1"/>
    </xf>
    <xf numFmtId="0" fontId="0" fillId="3" borderId="10" applyAlignment="1" pivotButton="0" quotePrefix="0" xfId="0">
      <alignment horizontal="center" vertical="top" wrapText="1"/>
    </xf>
    <xf numFmtId="0" fontId="0" fillId="3" borderId="1" applyAlignment="1" pivotButton="0" quotePrefix="0" xfId="0">
      <alignment horizontal="center" vertical="top" wrapText="1"/>
    </xf>
    <xf numFmtId="0" fontId="0" fillId="4" borderId="0" pivotButton="0" quotePrefix="0" xfId="0"/>
    <xf numFmtId="0" fontId="0" fillId="3" borderId="0" pivotButton="0" quotePrefix="0" xfId="0"/>
    <xf numFmtId="0" fontId="0" fillId="3" borderId="12" applyAlignment="1" pivotButton="0" quotePrefix="0" xfId="0">
      <alignment horizontal="center" vertical="top" wrapText="1"/>
    </xf>
    <xf numFmtId="0" fontId="1" fillId="4" borderId="5" applyAlignment="1" pivotButton="0" quotePrefix="0" xfId="0">
      <alignment wrapText="1"/>
    </xf>
    <xf numFmtId="0" fontId="0" fillId="4" borderId="2" applyAlignment="1" pivotButton="0" quotePrefix="0" xfId="0">
      <alignment horizontal="right" indent="1"/>
    </xf>
    <xf numFmtId="164" fontId="1" fillId="4" borderId="10" applyAlignment="1" pivotButton="0" quotePrefix="0" xfId="0">
      <alignment horizontal="right" wrapText="1" indent="1"/>
    </xf>
    <xf numFmtId="164" fontId="1" fillId="4" borderId="3" applyAlignment="1" pivotButton="0" quotePrefix="0" xfId="0">
      <alignment horizontal="right" wrapText="1" indent="1"/>
    </xf>
    <xf numFmtId="164" fontId="1" fillId="4" borderId="10" applyAlignment="1" pivotButton="0" quotePrefix="0" xfId="0">
      <alignment horizontal="right" indent="1"/>
    </xf>
    <xf numFmtId="164" fontId="1" fillId="4" borderId="4" applyAlignment="1" pivotButton="0" quotePrefix="0" xfId="0">
      <alignment horizontal="right" indent="1"/>
    </xf>
    <xf numFmtId="0" fontId="1" fillId="3" borderId="5" applyAlignment="1" pivotButton="0" quotePrefix="0" xfId="0">
      <alignment wrapText="1"/>
    </xf>
    <xf numFmtId="164" fontId="0" fillId="4" borderId="5" applyAlignment="1" pivotButton="0" quotePrefix="0" xfId="0">
      <alignment horizontal="right" indent="1"/>
    </xf>
    <xf numFmtId="164" fontId="0" fillId="3" borderId="12" applyAlignment="1" pivotButton="0" quotePrefix="0" xfId="0">
      <alignment horizontal="right" indent="1"/>
    </xf>
    <xf numFmtId="164" fontId="0" fillId="3" borderId="0" applyAlignment="1" pivotButton="0" quotePrefix="0" xfId="0">
      <alignment horizontal="right" indent="1"/>
    </xf>
    <xf numFmtId="164" fontId="0" fillId="3" borderId="6" applyAlignment="1" pivotButton="0" quotePrefix="0" xfId="0">
      <alignment horizontal="right" indent="1"/>
    </xf>
    <xf numFmtId="0" fontId="33" fillId="3" borderId="5" applyAlignment="1" pivotButton="0" quotePrefix="0" xfId="0">
      <alignment wrapText="1"/>
    </xf>
    <xf numFmtId="1" fontId="0" fillId="4" borderId="5" applyAlignment="1" pivotButton="0" quotePrefix="0" xfId="0">
      <alignment horizontal="right" indent="1"/>
    </xf>
    <xf numFmtId="1" fontId="0" fillId="3" borderId="0" applyAlignment="1" pivotButton="0" quotePrefix="0" xfId="0">
      <alignment horizontal="right" indent="1"/>
    </xf>
    <xf numFmtId="0" fontId="0" fillId="3" borderId="5" applyAlignment="1" pivotButton="0" quotePrefix="0" xfId="0">
      <alignment wrapText="1"/>
    </xf>
    <xf numFmtId="164" fontId="1" fillId="4" borderId="5" applyAlignment="1" pivotButton="0" quotePrefix="0" xfId="0">
      <alignment horizontal="right" indent="1"/>
    </xf>
    <xf numFmtId="164" fontId="1" fillId="3" borderId="12" applyAlignment="1" pivotButton="0" quotePrefix="0" xfId="0">
      <alignment horizontal="right" indent="1"/>
    </xf>
    <xf numFmtId="164" fontId="1" fillId="3" borderId="0" applyAlignment="1" pivotButton="0" quotePrefix="0" xfId="0">
      <alignment horizontal="right" wrapText="1" indent="1"/>
    </xf>
    <xf numFmtId="164" fontId="1" fillId="3" borderId="12" applyAlignment="1" pivotButton="0" quotePrefix="0" xfId="0">
      <alignment horizontal="right" wrapText="1" indent="1"/>
    </xf>
    <xf numFmtId="164" fontId="1" fillId="3" borderId="6" applyAlignment="1" pivotButton="0" quotePrefix="0" xfId="0">
      <alignment horizontal="right" indent="1"/>
    </xf>
    <xf numFmtId="0" fontId="0" fillId="3" borderId="12" applyAlignment="1" pivotButton="0" quotePrefix="0" xfId="0">
      <alignment horizontal="right" indent="1"/>
    </xf>
    <xf numFmtId="0" fontId="0" fillId="4" borderId="5" applyAlignment="1" pivotButton="0" quotePrefix="0" xfId="0">
      <alignment horizontal="right" indent="1"/>
    </xf>
    <xf numFmtId="164" fontId="0" fillId="3" borderId="6" applyAlignment="1" pivotButton="0" quotePrefix="0" xfId="4">
      <alignment horizontal="right" indent="1"/>
    </xf>
    <xf numFmtId="164" fontId="33" fillId="3" borderId="12" applyAlignment="1" pivotButton="0" quotePrefix="0" xfId="0">
      <alignment horizontal="right" indent="1"/>
    </xf>
    <xf numFmtId="164" fontId="33" fillId="3" borderId="6" applyAlignment="1" pivotButton="0" quotePrefix="0" xfId="0">
      <alignment horizontal="right" indent="1"/>
    </xf>
    <xf numFmtId="0" fontId="1" fillId="3" borderId="5" applyAlignment="1" pivotButton="0" quotePrefix="0" xfId="0">
      <alignment horizontal="left" wrapText="1"/>
    </xf>
    <xf numFmtId="165" fontId="33" fillId="3" borderId="12" applyAlignment="1" pivotButton="0" quotePrefix="0" xfId="0">
      <alignment horizontal="right" indent="1"/>
    </xf>
    <xf numFmtId="164" fontId="33" fillId="3" borderId="0" applyAlignment="1" pivotButton="0" quotePrefix="0" xfId="0">
      <alignment horizontal="right" indent="1"/>
    </xf>
    <xf numFmtId="0" fontId="0" fillId="3" borderId="0" applyAlignment="1" pivotButton="0" quotePrefix="0" xfId="0">
      <alignment horizontal="right" indent="1"/>
    </xf>
    <xf numFmtId="0" fontId="0" fillId="3" borderId="6" applyAlignment="1" pivotButton="0" quotePrefix="0" xfId="0">
      <alignment horizontal="right" indent="1"/>
    </xf>
    <xf numFmtId="0" fontId="1" fillId="3" borderId="5" applyAlignment="1" pivotButton="0" quotePrefix="0" xfId="0">
      <alignment horizontal="left" wrapText="1" indent="2"/>
    </xf>
    <xf numFmtId="0" fontId="0" fillId="4" borderId="5" applyAlignment="1" pivotButton="0" quotePrefix="1" xfId="0">
      <alignment horizontal="right" indent="1"/>
    </xf>
    <xf numFmtId="0" fontId="1" fillId="3" borderId="0" applyAlignment="1" pivotButton="0" quotePrefix="1" xfId="0">
      <alignment horizontal="right" indent="1"/>
    </xf>
    <xf numFmtId="0" fontId="0" fillId="3" borderId="7" applyAlignment="1" pivotButton="0" quotePrefix="0" xfId="0">
      <alignment wrapText="1"/>
    </xf>
    <xf numFmtId="164" fontId="0" fillId="4" borderId="7" applyAlignment="1" pivotButton="0" quotePrefix="0" xfId="0">
      <alignment horizontal="right" indent="1"/>
    </xf>
    <xf numFmtId="164" fontId="1" fillId="3" borderId="11" applyAlignment="1" pivotButton="0" quotePrefix="0" xfId="0">
      <alignment horizontal="right" indent="1"/>
    </xf>
    <xf numFmtId="164" fontId="1" fillId="3" borderId="8" applyAlignment="1" pivotButton="0" quotePrefix="0" xfId="0">
      <alignment horizontal="right" indent="1"/>
    </xf>
    <xf numFmtId="164" fontId="0" fillId="3" borderId="11" applyAlignment="1" pivotButton="0" quotePrefix="0" xfId="0">
      <alignment horizontal="right" indent="1"/>
    </xf>
    <xf numFmtId="164" fontId="0" fillId="3" borderId="9" applyAlignment="1" pivotButton="0" quotePrefix="0" xfId="0">
      <alignment horizontal="right" indent="1"/>
    </xf>
  </cellXfs>
  <cellStyles count="10">
    <cellStyle name="Обычный" xfId="0" builtinId="0"/>
    <cellStyle name="Гиперссылка" xfId="1" builtinId="8"/>
    <cellStyle name="Обычный 2" xfId="2"/>
    <cellStyle name="Обычный 3" xfId="3"/>
    <cellStyle name="Normal" xfId="4"/>
    <cellStyle name="Обычный 9" xfId="5"/>
    <cellStyle name="Обычный 3 3" xfId="6"/>
    <cellStyle name="Обычный 4" xfId="7"/>
    <cellStyle name="Обычный 6" xfId="8"/>
    <cellStyle name="Обычный 2 2" xfId="9"/>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styles" Target="styles.xml" Id="rId46"/><Relationship Type="http://schemas.openxmlformats.org/officeDocument/2006/relationships/theme" Target="theme/theme1.xml" Id="rId4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2499360</colOff>
      <row>8</row>
      <rowOff>38100</rowOff>
    </from>
    <to>
      <col>0</col>
      <colOff>3471674</colOff>
      <row>16</row>
      <rowOff>190504</rowOff>
    </to>
    <pic>
      <nvPicPr>
        <cNvPr id="2" name="Рисунок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499360" y="1562100"/>
          <a:ext cx="972314" cy="1737364"/>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42"/>
  <sheetViews>
    <sheetView topLeftCell="A10" zoomScale="80" zoomScaleNormal="80" workbookViewId="0">
      <selection activeCell="D6" sqref="D6"/>
    </sheetView>
  </sheetViews>
  <sheetFormatPr baseColWidth="8" defaultRowHeight="13.2"/>
  <cols>
    <col width="87.6640625" customWidth="1" style="216" min="1" max="1"/>
  </cols>
  <sheetData>
    <row r="1" ht="15" customHeight="1" s="216">
      <c r="A1" s="1" t="inlineStr">
        <is>
          <t>ФЕДЕРАЛЬНАЯ СЛУЖБА ГОСУДАРСТВЕННОЙ СТАТИСТИКИ</t>
        </is>
      </c>
    </row>
    <row r="2" ht="15" customHeight="1" s="216">
      <c r="A2" s="1" t="n"/>
    </row>
    <row r="3" ht="15" customHeight="1" s="216">
      <c r="A3" s="1" t="inlineStr">
        <is>
          <t>УПРАВЛЕНИЕ ФЕДЕРАЛЬНОЙ СЛУЖБЫ ГОСУДАРСТВЕННОЙ СТАТИСТИКИ</t>
        </is>
      </c>
    </row>
    <row r="4" ht="15" customHeight="1" s="216">
      <c r="A4" s="1" t="inlineStr">
        <is>
          <t>ПО ТЮМЕНСКОЙ ОБЛАСТИ,</t>
        </is>
      </c>
    </row>
    <row r="5" ht="15" customHeight="1" s="216">
      <c r="A5" s="1" t="inlineStr">
        <is>
          <t>ХАНТЫ-МАНСИЙСКОМУ АВТОНОМНОМУ ОКРУГУ – ЮГРЕ</t>
        </is>
      </c>
    </row>
    <row r="6" ht="15" customHeight="1" s="216">
      <c r="A6" s="1" t="inlineStr">
        <is>
          <t>И ЯМАЛО-НЕНЕЦКОМУ АВТОНОМНОМУ ОКРУГУ</t>
        </is>
      </c>
    </row>
    <row r="7" ht="15" customHeight="1" s="216">
      <c r="A7" s="1" t="inlineStr">
        <is>
          <t>(ТЮМЕНЬСТАТ)</t>
        </is>
      </c>
    </row>
    <row r="8" ht="15" customHeight="1" s="216">
      <c r="A8" s="1" t="n"/>
    </row>
    <row r="9" ht="15.6" customHeight="1" s="216">
      <c r="A9" s="2" t="n"/>
    </row>
    <row r="10" ht="15.6" customHeight="1" s="216">
      <c r="A10" s="2" t="n"/>
    </row>
    <row r="11" ht="15.6" customHeight="1" s="216">
      <c r="A11" s="2" t="n"/>
    </row>
    <row r="12" ht="15.6" customHeight="1" s="216">
      <c r="A12" s="2" t="n"/>
    </row>
    <row r="13" ht="15.6" customHeight="1" s="216">
      <c r="A13" s="2" t="n"/>
    </row>
    <row r="14" ht="15.6" customHeight="1" s="216">
      <c r="A14" s="2" t="n"/>
    </row>
    <row r="15" ht="15.6" customHeight="1" s="216">
      <c r="A15" s="2" t="n"/>
    </row>
    <row r="16" ht="15.6" customHeight="1" s="216">
      <c r="A16" s="2" t="n"/>
    </row>
    <row r="17" ht="15.6" customHeight="1" s="216">
      <c r="A17" s="2" t="n"/>
    </row>
    <row r="18" ht="15.6" customHeight="1" s="216">
      <c r="A18" s="2" t="n"/>
    </row>
    <row r="19" ht="15.6" customHeight="1" s="216">
      <c r="A19" s="2" t="n"/>
    </row>
    <row r="20" ht="25.95" customHeight="1" s="216">
      <c r="A20" s="53" t="inlineStr">
        <is>
          <t>Cоциально-экономическое положение</t>
        </is>
      </c>
    </row>
    <row r="21" ht="61.95" customHeight="1" s="216">
      <c r="A21" s="109" t="inlineStr">
        <is>
          <t>Тюменской области (кроме Ханты-Мансийского автономного округа – Югры и Ямало-Ненецкого автономного округа)</t>
        </is>
      </c>
    </row>
    <row r="22" ht="28.95" customHeight="1" s="216">
      <c r="A22" s="59" t="inlineStr">
        <is>
          <t>в январе-августе 2025 года</t>
        </is>
      </c>
    </row>
    <row r="23" ht="15.6" customHeight="1" s="216">
      <c r="A23" s="2" t="n"/>
    </row>
    <row r="24" ht="15" customHeight="1" s="216">
      <c r="A24" s="1" t="inlineStr">
        <is>
          <t xml:space="preserve">КРАТКИЙ </t>
        </is>
      </c>
    </row>
    <row r="25" ht="15" customHeight="1" s="216">
      <c r="A25" s="1" t="inlineStr">
        <is>
          <t>СТАТИСТИЧЕСКИЙ ДОКЛАД</t>
        </is>
      </c>
    </row>
    <row r="26" ht="15.6" customHeight="1" s="216">
      <c r="A26" s="2" t="n"/>
    </row>
    <row r="27" ht="15.6" customHeight="1" s="216">
      <c r="A27" s="2" t="n"/>
    </row>
    <row r="28" ht="15.6" customHeight="1" s="216">
      <c r="A28" s="2" t="n"/>
    </row>
    <row r="29" ht="15.6" customHeight="1" s="216">
      <c r="A29" s="2" t="n"/>
    </row>
    <row r="30" ht="17.4" customHeight="1" s="216">
      <c r="A30" s="3" t="n">
        <v>25007</v>
      </c>
    </row>
    <row r="31" ht="15.6" customHeight="1" s="216">
      <c r="A31" s="2" t="n"/>
    </row>
    <row r="32" ht="15.6" customHeight="1" s="216">
      <c r="A32" s="2" t="n"/>
    </row>
    <row r="33" ht="15.6" customHeight="1" s="216">
      <c r="A33" s="2" t="n"/>
    </row>
    <row r="34" ht="15.6" customHeight="1" s="216">
      <c r="A34" s="2" t="n"/>
    </row>
    <row r="35" ht="15.6" customHeight="1" s="216">
      <c r="A35" s="2" t="n"/>
    </row>
    <row r="36" ht="15" customHeight="1" s="216">
      <c r="A36" s="4" t="n"/>
    </row>
    <row r="37">
      <c r="A37" s="31" t="n"/>
    </row>
    <row r="38">
      <c r="A38" s="31" t="n"/>
    </row>
    <row r="39">
      <c r="A39" s="31" t="n"/>
    </row>
    <row r="40">
      <c r="A40" s="31" t="n"/>
    </row>
    <row r="41" ht="15" customHeight="1" s="216">
      <c r="A41" s="1" t="inlineStr">
        <is>
          <t>Тюмень</t>
        </is>
      </c>
    </row>
    <row r="42" ht="15" customHeight="1" s="216">
      <c r="A42" s="1" t="n">
        <v>2025</v>
      </c>
    </row>
  </sheetData>
  <pageMargins left="0.7" right="0.7" top="0.75" bottom="0.75" header="0.3" footer="0.3"/>
  <pageSetup orientation="portrait" paperSize="9" fitToHeight="0"/>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A46"/>
  <sheetViews>
    <sheetView zoomScale="80" zoomScaleNormal="80" zoomScalePageLayoutView="110" workbookViewId="0">
      <selection activeCell="D6" sqref="D6"/>
    </sheetView>
  </sheetViews>
  <sheetFormatPr baseColWidth="8" defaultRowHeight="13.2"/>
  <cols>
    <col width="88.6640625" customWidth="1" style="216" min="1" max="1"/>
  </cols>
  <sheetData>
    <row r="1">
      <c r="A1" s="6" t="inlineStr">
        <is>
          <t>Редакционная коллегия:</t>
        </is>
      </c>
    </row>
    <row r="2">
      <c r="A2" s="31" t="n"/>
    </row>
    <row r="3">
      <c r="A3" s="256" t="inlineStr">
        <is>
          <t>Л.О. Сараева – Председатель редакционной коллегии</t>
        </is>
      </c>
    </row>
    <row r="4">
      <c r="A4" s="256" t="inlineStr">
        <is>
          <t>Ю.А. Карявина, Т.Л. Тихомирова, Л.Б. Савенкова, И.Г. Клепова</t>
        </is>
      </c>
    </row>
    <row r="5">
      <c r="A5" s="8" t="n"/>
    </row>
    <row r="6">
      <c r="A6" s="31" t="n"/>
    </row>
    <row r="7">
      <c r="A7" s="31" t="n"/>
    </row>
    <row r="8">
      <c r="A8" s="31" t="n"/>
    </row>
    <row r="9" ht="66" customHeight="1" s="216">
      <c r="A9" s="383" t="inlineStr">
        <is>
          <t xml:space="preserve">   Социально-экономическое положение Тюменской области (кроме Ханты-Мансийского автономного округа – Югры и Ямало-Ненецкого автономного округа) в январе-августе 2025 года: краткий стат. доклад/ Управление Федеральной службы государственной статистики по Тюменской области, Ханты-Мансийскому автономному округу – Югре и Ямало-Ненецкому автономному округу. – Т., 2025</t>
        </is>
      </c>
    </row>
    <row r="10">
      <c r="A10" s="9" t="n"/>
    </row>
    <row r="11">
      <c r="A11" s="31" t="n"/>
    </row>
    <row r="12">
      <c r="A12" s="31" t="n"/>
    </row>
    <row r="13">
      <c r="A13" s="31" t="n"/>
    </row>
    <row r="14">
      <c r="A14" s="31" t="n"/>
    </row>
    <row r="15">
      <c r="A15" s="31" t="n"/>
    </row>
    <row r="16">
      <c r="A16" s="31" t="n"/>
    </row>
    <row r="17">
      <c r="A17" s="31" t="n"/>
    </row>
    <row r="18">
      <c r="A18" s="31" t="n"/>
    </row>
    <row r="19">
      <c r="A19" s="31" t="n"/>
    </row>
    <row r="20">
      <c r="A20" s="31" t="n"/>
    </row>
    <row r="21">
      <c r="A21" s="9" t="n"/>
    </row>
    <row r="22" ht="79.2" customHeight="1" s="216">
      <c r="A22" s="60" t="inlineStr">
        <is>
          <t xml:space="preserve">     В кратком статистическом докладе помещены сведения о социально-экономическом положении Тюменской области (кроме Ханты-Мансийского автономного округа – Югры и Ямало-Ненецкого автономного округа) за отчетный период и нарастающим итогом с начала года в сравнении с соответствующим периодом предыдущего года. 
    Предназначен для органов государственного управления, научных, образовательных, предпринимательских, банковских учреждений и других заинтересованных пользователей.</t>
        </is>
      </c>
    </row>
    <row r="23">
      <c r="A23" s="12" t="n"/>
    </row>
    <row r="24">
      <c r="A24" s="9" t="n"/>
    </row>
    <row r="25">
      <c r="A25" s="9" t="n"/>
    </row>
    <row r="26">
      <c r="A26" s="10" t="n"/>
    </row>
    <row r="27">
      <c r="A27" s="10" t="n"/>
    </row>
    <row r="28">
      <c r="A28" s="10" t="n"/>
    </row>
    <row r="29">
      <c r="A29" s="10" t="n"/>
    </row>
    <row r="30">
      <c r="A30" s="10" t="n"/>
    </row>
    <row r="31">
      <c r="A31" s="10" t="n"/>
    </row>
    <row r="32">
      <c r="A32" s="10" t="n"/>
    </row>
    <row r="33">
      <c r="A33" s="10" t="n"/>
    </row>
    <row r="34">
      <c r="A34" s="10" t="n"/>
    </row>
    <row r="35">
      <c r="A35" s="10" t="n"/>
    </row>
    <row r="36">
      <c r="A36" s="10" t="n"/>
    </row>
    <row r="37">
      <c r="A37" s="10" t="n"/>
    </row>
    <row r="38">
      <c r="A38" s="10" t="n"/>
    </row>
    <row r="39">
      <c r="A39" s="61" t="n"/>
    </row>
    <row r="40">
      <c r="A40" s="62" t="n"/>
    </row>
    <row r="41" ht="79.8" customHeight="1" s="216">
      <c r="A41" s="255" t="inlineStr">
        <is>
          <t>Управление Федеральной службы государственной статистики по Тюменской области, Ханты-Мансийскому автономному округу – Югре и Ямало-Ненецкому автономному округу, 2025</t>
        </is>
      </c>
    </row>
    <row r="42" ht="26.4" customHeight="1" s="216">
      <c r="A42" s="180" t="inlineStr">
        <is>
          <t xml:space="preserve">e-mail:72@rosstat.gov.ru
http://72.rosstat.gov.ru
</t>
        </is>
      </c>
    </row>
    <row r="43">
      <c r="A43" s="181" t="n"/>
    </row>
    <row r="44">
      <c r="A44" s="15" t="n"/>
    </row>
    <row r="45">
      <c r="A45" s="13" t="n"/>
    </row>
    <row r="46">
      <c r="A46" s="14" t="n"/>
    </row>
  </sheetData>
  <pageMargins left="0.7" right="0.7" top="0.75" bottom="0.75" header="0.3" footer="0.3"/>
  <pageSetup orientation="portrait" paperSize="9" fitToHeight="0"/>
</worksheet>
</file>

<file path=xl/worksheets/sheet3.xml><?xml version="1.0" encoding="utf-8"?>
<worksheet xmlns="http://schemas.openxmlformats.org/spreadsheetml/2006/main">
  <sheetPr>
    <outlinePr summaryBelow="1" summaryRight="1"/>
    <pageSetUpPr fitToPage="1"/>
  </sheetPr>
  <dimension ref="A1:A9"/>
  <sheetViews>
    <sheetView view="pageLayout" zoomScale="80" zoomScaleNormal="100" zoomScalePageLayoutView="80" workbookViewId="0">
      <selection activeCell="D6" sqref="D6"/>
    </sheetView>
  </sheetViews>
  <sheetFormatPr baseColWidth="8" defaultRowHeight="13.2"/>
  <cols>
    <col width="89.33203125" customWidth="1" style="216" min="1" max="1"/>
  </cols>
  <sheetData>
    <row r="1">
      <c r="A1" s="670" t="inlineStr">
        <is>
          <t>ПРЕДИСЛОВИЕ</t>
        </is>
      </c>
    </row>
    <row r="2">
      <c r="A2" s="9" t="n"/>
    </row>
    <row r="3" ht="60" customHeight="1" s="216">
      <c r="A3" s="383" t="inlineStr">
        <is>
          <t xml:space="preserve">   В кратком статистическом докладе публикуется информация по основным экономическим и социальным показателям, подготовленная на основе данных государственных статистических наблюдений месячной, квартальной и годовой периодичности, а также сведений, предоставленных другими субъектами официального статистического учета в установленной сфере деятельности. </t>
        </is>
      </c>
    </row>
    <row r="4" ht="66" customHeight="1" s="216">
      <c r="A4" s="444" t="inlineStr">
        <is>
          <t xml:space="preserve">   Доклад содержит информацию о производстве товаров и услуг, рынке товаров и услуг, ценах и тарифах, об уровне жизни населения, о занятости и безработице в Тюменской области (кроме Ханты-Мансийского автономного округа – Югры и Ямало-Ненецкого автономного округа) за отчетный период и нарастающим итогом с начала года в сравнении с соответствующим периодом предыдущего года. </t>
        </is>
      </c>
    </row>
    <row r="5" ht="52.8" customHeight="1" s="216">
      <c r="A5" s="383" t="inlineStr">
        <is>
          <t xml:space="preserve">   В ряде случаев предварительные данные в последующих выпусках доклада уточняются в соответствии с методиками сбора и обработки сведений. При расчете отдельных показателей используется экспертная оценка по официальной методологии Федеральной службы государственной статистики. </t>
        </is>
      </c>
    </row>
    <row r="6" ht="66" customHeight="1" s="216">
      <c r="A6" s="383" t="inlineStr">
        <is>
          <t xml:space="preserve">   В целях обеспечения конфиденциальности первичных статистических данных, полученных от организаций, в соответствии с Федеральным законом от 29 декабря 2007 г. № 282 – ФЗ «Об официальном статистическом учете и системе государственной статистики в Российской Федерации» (п.5, ст.4; п.1, ст.9) отдельные статистические данные являются конфиденциальными и публикации не подлежат. </t>
        </is>
      </c>
    </row>
    <row r="7" ht="26.4" customHeight="1" s="216">
      <c r="A7" s="383" t="inlineStr">
        <is>
          <t xml:space="preserve">  В отдельных случаях незначительные расхождения между итогом и суммой слагаемых объясняются округлением данных.</t>
        </is>
      </c>
    </row>
    <row r="8" ht="26.4" customHeight="1" s="216">
      <c r="A8" s="383" t="inlineStr">
        <is>
          <t xml:space="preserve">    В помощь пользователям публикуются методологические пояснения, содержащие определения используемых в материале статистических терминов (показателей).</t>
        </is>
      </c>
    </row>
    <row r="9">
      <c r="A9" s="9" t="n"/>
    </row>
  </sheetData>
  <pageMargins left="0.7" right="0.7" top="0.75" bottom="0.75" header="0.3" footer="0.3"/>
  <pageSetup orientation="portrait" paperSize="9" fitToHeight="0"/>
</worksheet>
</file>

<file path=xl/worksheets/sheet4.xml><?xml version="1.0" encoding="utf-8"?>
<worksheet xmlns="http://schemas.openxmlformats.org/spreadsheetml/2006/main">
  <sheetPr>
    <outlinePr summaryBelow="1" summaryRight="1"/>
    <pageSetUpPr fitToPage="1"/>
  </sheetPr>
  <dimension ref="A1:D44"/>
  <sheetViews>
    <sheetView view="pageLayout" zoomScale="80" zoomScaleNormal="80" zoomScalePageLayoutView="80" workbookViewId="0">
      <selection activeCell="D6" sqref="D6"/>
    </sheetView>
  </sheetViews>
  <sheetFormatPr baseColWidth="8" defaultRowHeight="13.2"/>
  <cols>
    <col width="36.5546875" customWidth="1" style="216" min="1" max="1"/>
    <col width="18.33203125" customWidth="1" style="216" min="2" max="2"/>
    <col width="11.33203125" customWidth="1" style="216" min="3" max="3"/>
    <col width="19.5546875" customWidth="1" style="216" min="4" max="4"/>
  </cols>
  <sheetData>
    <row r="1" ht="13.8" customHeight="1" s="216">
      <c r="A1" s="694" t="inlineStr">
        <is>
          <t>ОТВЕТСТВЕННЫЕ ЗА РАЗДЕЛЫ ДОКЛАДА</t>
        </is>
      </c>
    </row>
    <row r="2">
      <c r="A2" s="670" t="n"/>
    </row>
    <row r="3" ht="13.2" customHeight="1" s="216">
      <c r="A3" s="635" t="inlineStr">
        <is>
          <t>Основные экономические и социальные показатели</t>
        </is>
      </c>
      <c r="B3" s="639" t="inlineStr">
        <is>
          <t>Савенкова Л.Б.</t>
        </is>
      </c>
      <c r="C3" s="636" t="inlineStr">
        <is>
          <t>'</t>
        </is>
      </c>
      <c r="D3" s="189" t="inlineStr">
        <is>
          <t>39-30-51</t>
        </is>
      </c>
    </row>
    <row r="4">
      <c r="D4" s="405" t="inlineStr">
        <is>
          <t>(доб. 1285)</t>
        </is>
      </c>
    </row>
    <row r="5">
      <c r="A5" s="635" t="inlineStr">
        <is>
          <t>Производство товаров и услуг</t>
        </is>
      </c>
      <c r="B5" s="639" t="inlineStr">
        <is>
          <t>Исакова О.В.</t>
        </is>
      </c>
      <c r="C5" s="636" t="inlineStr">
        <is>
          <t>'</t>
        </is>
      </c>
      <c r="D5" s="189" t="inlineStr">
        <is>
          <t>39-30-53</t>
        </is>
      </c>
    </row>
    <row r="6">
      <c r="B6" s="639" t="n"/>
      <c r="D6" s="405" t="inlineStr">
        <is>
          <t>(доб. 1220)</t>
        </is>
      </c>
    </row>
    <row r="7">
      <c r="B7" s="635" t="inlineStr">
        <is>
          <t>Володкина М.А.</t>
        </is>
      </c>
      <c r="C7" s="636" t="inlineStr">
        <is>
          <t>'</t>
        </is>
      </c>
      <c r="D7" s="189" t="inlineStr">
        <is>
          <t>39-30-59</t>
        </is>
      </c>
    </row>
    <row r="8">
      <c r="B8" s="639" t="n"/>
      <c r="D8" s="405" t="inlineStr">
        <is>
          <t>(доб. 1093)</t>
        </is>
      </c>
    </row>
    <row r="9">
      <c r="B9" s="635" t="inlineStr">
        <is>
          <t>Радаева Н.Ю.</t>
        </is>
      </c>
      <c r="C9" s="636" t="inlineStr">
        <is>
          <t>'</t>
        </is>
      </c>
      <c r="D9" s="189" t="inlineStr">
        <is>
          <t>39-30-57</t>
        </is>
      </c>
    </row>
    <row r="10">
      <c r="B10" s="639" t="n"/>
      <c r="D10" s="405" t="inlineStr">
        <is>
          <t>(доб. 1078)</t>
        </is>
      </c>
    </row>
    <row r="11">
      <c r="B11" s="635" t="inlineStr">
        <is>
          <t>Штрек О.Я.</t>
        </is>
      </c>
      <c r="C11" s="636" t="inlineStr">
        <is>
          <t>'</t>
        </is>
      </c>
      <c r="D11" s="189" t="inlineStr">
        <is>
          <t>39-30-54</t>
        </is>
      </c>
    </row>
    <row r="12">
      <c r="B12" s="58" t="n"/>
      <c r="D12" s="405" t="inlineStr">
        <is>
          <t>(доб. 1118)</t>
        </is>
      </c>
    </row>
    <row r="13">
      <c r="A13" s="635" t="inlineStr">
        <is>
          <t>Рынки товаров и услуг</t>
        </is>
      </c>
      <c r="B13" s="635" t="inlineStr">
        <is>
          <t>Штрек О.Я.</t>
        </is>
      </c>
      <c r="C13" s="636" t="inlineStr">
        <is>
          <t>'</t>
        </is>
      </c>
      <c r="D13" s="189" t="inlineStr">
        <is>
          <t>39-30-54</t>
        </is>
      </c>
    </row>
    <row r="14">
      <c r="D14" s="405" t="inlineStr">
        <is>
          <t>(доб. 1118)</t>
        </is>
      </c>
    </row>
    <row r="15">
      <c r="A15" s="635" t="inlineStr">
        <is>
          <t xml:space="preserve">Цены </t>
        </is>
      </c>
      <c r="B15" s="635" t="inlineStr">
        <is>
          <t>Менг Л.Н.</t>
        </is>
      </c>
      <c r="C15" s="636" t="inlineStr">
        <is>
          <t>'</t>
        </is>
      </c>
      <c r="D15" s="189" t="inlineStr">
        <is>
          <t>39-30-58</t>
        </is>
      </c>
    </row>
    <row r="16">
      <c r="D16" s="405" t="inlineStr">
        <is>
          <t>(доб. 1151)</t>
        </is>
      </c>
    </row>
    <row r="17">
      <c r="A17" s="639" t="inlineStr">
        <is>
          <t>Состоние платежей и расчетов в организациях</t>
        </is>
      </c>
      <c r="B17" s="635" t="inlineStr">
        <is>
          <t>Менг Л.Н.</t>
        </is>
      </c>
      <c r="C17" s="636" t="inlineStr">
        <is>
          <t>'</t>
        </is>
      </c>
      <c r="D17" s="189" t="inlineStr">
        <is>
          <t>39-30-58</t>
        </is>
      </c>
    </row>
    <row r="18">
      <c r="D18" s="405" t="inlineStr">
        <is>
          <t>(доб. 1151)</t>
        </is>
      </c>
    </row>
    <row r="19">
      <c r="A19" s="640" t="inlineStr">
        <is>
          <t>Уровень жизни населения</t>
        </is>
      </c>
      <c r="B19" s="640" t="inlineStr">
        <is>
          <t>Скрипникова В.И.</t>
        </is>
      </c>
      <c r="C19" s="636" t="inlineStr">
        <is>
          <t>'</t>
        </is>
      </c>
      <c r="D19" s="752" t="inlineStr">
        <is>
          <t>39-30-56</t>
        </is>
      </c>
    </row>
    <row r="20" ht="13.8" customHeight="1" s="216">
      <c r="D20" s="405" t="inlineStr">
        <is>
          <t>(доб. 1108)</t>
        </is>
      </c>
    </row>
    <row r="21">
      <c r="A21" s="635" t="inlineStr">
        <is>
          <t>Занятость и безработица</t>
        </is>
      </c>
      <c r="B21" s="635" t="inlineStr">
        <is>
          <t>Скрипникова В.И.</t>
        </is>
      </c>
      <c r="C21" s="636" t="inlineStr">
        <is>
          <t>'</t>
        </is>
      </c>
      <c r="D21" s="189" t="inlineStr">
        <is>
          <t>39-30-56</t>
        </is>
      </c>
    </row>
    <row r="22">
      <c r="D22" s="405" t="inlineStr">
        <is>
          <t>(доб. 1108)</t>
        </is>
      </c>
    </row>
    <row r="23">
      <c r="A23" s="635" t="inlineStr">
        <is>
          <t>Методологические пояснения</t>
        </is>
      </c>
      <c r="B23" s="639" t="inlineStr">
        <is>
          <t>Савенкова Л.Б.</t>
        </is>
      </c>
      <c r="C23" s="636" t="inlineStr">
        <is>
          <t>'</t>
        </is>
      </c>
      <c r="D23" s="189" t="inlineStr">
        <is>
          <t>39-30-51</t>
        </is>
      </c>
    </row>
    <row r="24">
      <c r="D24" s="405" t="inlineStr">
        <is>
          <t>(доб. 1285)</t>
        </is>
      </c>
    </row>
    <row r="25">
      <c r="A25" s="635" t="n"/>
      <c r="B25" s="635" t="n"/>
      <c r="C25" s="636" t="n"/>
      <c r="D25" s="405" t="n"/>
    </row>
    <row r="26">
      <c r="A26" s="635" t="n"/>
      <c r="B26" s="635" t="n"/>
      <c r="C26" s="636" t="n"/>
      <c r="D26" s="405" t="n"/>
    </row>
    <row r="28">
      <c r="A28" s="670" t="inlineStr">
        <is>
          <t>Сокращения</t>
        </is>
      </c>
    </row>
    <row r="29">
      <c r="A29" s="31" t="n"/>
    </row>
    <row r="30" ht="15.6" customHeight="1" s="216">
      <c r="A30" s="135" t="inlineStr">
        <is>
          <t>г.</t>
        </is>
      </c>
      <c r="B30" s="635" t="inlineStr">
        <is>
          <t>год</t>
        </is>
      </c>
      <c r="C30" s="114" t="inlineStr">
        <is>
          <t>м3</t>
        </is>
      </c>
      <c r="D30" s="635" t="inlineStr">
        <is>
          <t>кубический метр</t>
        </is>
      </c>
    </row>
    <row r="31">
      <c r="A31" s="135" t="inlineStr">
        <is>
          <t>га</t>
        </is>
      </c>
      <c r="B31" s="635" t="inlineStr">
        <is>
          <t>гектар</t>
        </is>
      </c>
      <c r="C31" s="114" t="inlineStr">
        <is>
          <t>млн</t>
        </is>
      </c>
      <c r="D31" s="635" t="inlineStr">
        <is>
          <t>миллион</t>
        </is>
      </c>
    </row>
    <row r="32">
      <c r="A32" s="135" t="inlineStr">
        <is>
          <t>Гкал</t>
        </is>
      </c>
      <c r="B32" s="635" t="inlineStr">
        <is>
          <t>гигакалория</t>
        </is>
      </c>
      <c r="C32" s="114" t="inlineStr">
        <is>
          <t>полул.</t>
        </is>
      </c>
      <c r="D32" s="635" t="inlineStr">
        <is>
          <t>полулитр</t>
        </is>
      </c>
    </row>
    <row r="33">
      <c r="A33" s="135" t="inlineStr">
        <is>
          <t>км</t>
        </is>
      </c>
      <c r="B33" s="635" t="inlineStr">
        <is>
          <t>километр</t>
        </is>
      </c>
      <c r="C33" s="114" t="inlineStr">
        <is>
          <t>р</t>
        </is>
      </c>
      <c r="D33" s="635" t="inlineStr">
        <is>
          <t>раз</t>
        </is>
      </c>
    </row>
    <row r="34">
      <c r="A34" s="135" t="inlineStr">
        <is>
          <t>кВт ч</t>
        </is>
      </c>
      <c r="B34" s="635" t="inlineStr">
        <is>
          <t>киловатт-час</t>
        </is>
      </c>
      <c r="C34" s="114" t="inlineStr">
        <is>
          <t>т-км</t>
        </is>
      </c>
      <c r="D34" s="635" t="inlineStr">
        <is>
          <t>тонно-километр</t>
        </is>
      </c>
    </row>
    <row r="35">
      <c r="A35" s="135" t="inlineStr">
        <is>
          <t>кг</t>
        </is>
      </c>
      <c r="B35" s="635" t="inlineStr">
        <is>
          <t>килограмм</t>
        </is>
      </c>
      <c r="C35" s="114" t="inlineStr">
        <is>
          <t>тыс.</t>
        </is>
      </c>
      <c r="D35" s="635" t="inlineStr">
        <is>
          <t>тысяча</t>
        </is>
      </c>
    </row>
    <row r="36" ht="15.6" customHeight="1" s="216">
      <c r="A36" s="135" t="inlineStr">
        <is>
          <t>м2</t>
        </is>
      </c>
      <c r="B36" s="635" t="inlineStr">
        <is>
          <t>квадратный метр</t>
        </is>
      </c>
      <c r="C36" s="114" t="n"/>
      <c r="D36" s="635" t="n"/>
    </row>
    <row r="37">
      <c r="A37" s="635" t="n"/>
      <c r="B37" s="635" t="n"/>
      <c r="C37" s="635" t="n"/>
      <c r="D37" s="635" t="n"/>
    </row>
    <row r="38">
      <c r="A38" s="493" t="n"/>
    </row>
    <row r="39">
      <c r="A39" s="493" t="n"/>
    </row>
    <row r="40" ht="25.2" customHeight="1" s="216">
      <c r="A40" s="670" t="inlineStr">
        <is>
          <t>Условные обозначения</t>
        </is>
      </c>
    </row>
    <row r="41" ht="18" customHeight="1" s="216">
      <c r="A41" s="493" t="n"/>
    </row>
    <row r="42" ht="12.75" customHeight="1" s="216">
      <c r="A42" s="113" t="inlineStr">
        <is>
          <t>…</t>
        </is>
      </c>
      <c r="B42" s="638" t="inlineStr">
        <is>
          <t>данные не отражены (не имеются, являются конфиденциальными);</t>
        </is>
      </c>
    </row>
    <row r="43">
      <c r="A43" s="113" t="inlineStr">
        <is>
          <t>-</t>
        </is>
      </c>
      <c r="B43" s="638" t="inlineStr">
        <is>
          <t>явление отсутствует;</t>
        </is>
      </c>
    </row>
    <row r="44">
      <c r="A44" s="116" t="n">
        <v>0</v>
      </c>
      <c r="B44" s="634" t="inlineStr">
        <is>
          <t>величина явления меньше единицы измерения.</t>
        </is>
      </c>
    </row>
  </sheetData>
  <mergeCells count="32">
    <mergeCell ref="B42:D42"/>
    <mergeCell ref="B3:B4"/>
    <mergeCell ref="B17:B18"/>
    <mergeCell ref="B44:D44"/>
    <mergeCell ref="A28:D28"/>
    <mergeCell ref="B43:C43"/>
    <mergeCell ref="C9:C10"/>
    <mergeCell ref="A40:D40"/>
    <mergeCell ref="B23:B24"/>
    <mergeCell ref="B13:B14"/>
    <mergeCell ref="A3:A4"/>
    <mergeCell ref="C21:C22"/>
    <mergeCell ref="C11:C12"/>
    <mergeCell ref="B19:B20"/>
    <mergeCell ref="A21:A22"/>
    <mergeCell ref="B15:B16"/>
    <mergeCell ref="A1:D1"/>
    <mergeCell ref="C23:C24"/>
    <mergeCell ref="A17:A18"/>
    <mergeCell ref="A13:A14"/>
    <mergeCell ref="C17:C18"/>
    <mergeCell ref="C7:C8"/>
    <mergeCell ref="A23:A24"/>
    <mergeCell ref="A19:A20"/>
    <mergeCell ref="C19:C20"/>
    <mergeCell ref="C13:C14"/>
    <mergeCell ref="C3:C4"/>
    <mergeCell ref="A15:A16"/>
    <mergeCell ref="C15:C16"/>
    <mergeCell ref="A5:A12"/>
    <mergeCell ref="B21:B22"/>
    <mergeCell ref="C5:C6"/>
  </mergeCells>
  <pageMargins left="0.7" right="0.7" top="0.75" bottom="0.75" header="0.3" footer="0.3"/>
  <pageSetup orientation="portrait" paperSize="9" fitToHeight="0"/>
</worksheet>
</file>

<file path=xl/worksheets/sheet5.xml><?xml version="1.0" encoding="utf-8"?>
<worksheet xmlns="http://schemas.openxmlformats.org/spreadsheetml/2006/main">
  <sheetPr>
    <outlinePr summaryBelow="1" summaryRight="1"/>
    <pageSetUpPr/>
  </sheetPr>
  <dimension ref="A2:B71"/>
  <sheetViews>
    <sheetView zoomScale="80" zoomScaleNormal="80" zoomScalePageLayoutView="80" workbookViewId="0">
      <selection activeCell="B33" sqref="B33"/>
    </sheetView>
  </sheetViews>
  <sheetFormatPr baseColWidth="8" defaultRowHeight="13.2"/>
  <cols>
    <col width="5.5546875" customWidth="1" style="196" min="1" max="1"/>
    <col width="83" customWidth="1" style="93" min="2" max="2"/>
    <col width="8.88671875" customWidth="1" style="184" min="3" max="5"/>
    <col width="8.88671875" customWidth="1" style="184" min="6" max="16384"/>
  </cols>
  <sheetData>
    <row r="2" ht="13.8" customHeight="1" s="216">
      <c r="B2" s="718" t="inlineStr">
        <is>
          <t>СОДЕРЖАНИЕ</t>
        </is>
      </c>
    </row>
    <row r="3">
      <c r="B3" s="198" t="n"/>
    </row>
    <row r="4">
      <c r="A4" s="196" t="n"/>
      <c r="B4" s="157" t="inlineStr">
        <is>
          <t>ПРЕДИСЛОВИЕ</t>
        </is>
      </c>
    </row>
    <row r="5">
      <c r="A5" s="196" t="n">
        <v>1</v>
      </c>
      <c r="B5" s="249" t="inlineStr">
        <is>
          <t xml:space="preserve">I. ОСНОВНЫЕ ЭКОНОМИЧЕСКИЕ И СОЦИАЛЬНЫЕ ПОКАЗАТЕЛИ </t>
        </is>
      </c>
    </row>
    <row r="6">
      <c r="A6" s="196" t="n"/>
      <c r="B6" s="157" t="inlineStr">
        <is>
          <t>II. ПРОИЗВОДСТВО ТОВАРОВ И УСЛУГ</t>
        </is>
      </c>
    </row>
    <row r="7">
      <c r="A7" s="196" t="n"/>
      <c r="B7" s="158" t="inlineStr">
        <is>
          <t>ПРОМЫШЛЕННОЕ ПРОИЗВОДСТВО</t>
        </is>
      </c>
    </row>
    <row r="8">
      <c r="A8" s="196" t="n">
        <v>2</v>
      </c>
      <c r="B8" s="159" t="inlineStr">
        <is>
          <t>Динамика индекса промышленного производства</t>
        </is>
      </c>
    </row>
    <row r="9">
      <c r="A9" s="196" t="n">
        <v>3</v>
      </c>
      <c r="B9" s="159" t="inlineStr">
        <is>
          <t>Индексы производства по отдельным видам экономической деятельности</t>
        </is>
      </c>
    </row>
    <row r="10" ht="26.4" customHeight="1" s="216">
      <c r="A10" s="196" t="n">
        <v>4</v>
      </c>
      <c r="B10" s="159" t="inlineStr">
        <is>
          <t>Объем отгруженных товаров собственного производства, выполненных работ и услуг собственными силами по отдельным видам экономической деятельности</t>
        </is>
      </c>
    </row>
    <row r="11">
      <c r="A11" s="196" t="n">
        <v>5</v>
      </c>
      <c r="B11" s="159" t="inlineStr">
        <is>
          <t>Производство основных видов продукции</t>
        </is>
      </c>
    </row>
    <row r="12" ht="17.4" customHeight="1" s="216">
      <c r="A12" s="196" t="n"/>
      <c r="B12" s="366" t="inlineStr">
        <is>
          <t>СЕЛЬСКОЕ ХОЗЯЙСТВО</t>
        </is>
      </c>
    </row>
    <row r="13">
      <c r="A13" s="196" t="n">
        <v>6</v>
      </c>
      <c r="B13" s="159">
        <f>'6'!A3</f>
        <v/>
      </c>
    </row>
    <row r="14" ht="14.4" customHeight="1" s="216">
      <c r="A14" s="196" t="n">
        <v>7</v>
      </c>
      <c r="B14" s="411">
        <f>'7'!A1</f>
        <v/>
      </c>
    </row>
    <row r="15" ht="14.4" customHeight="1" s="216">
      <c r="A15" s="196" t="n">
        <v>8</v>
      </c>
      <c r="B15" s="411">
        <f>'8'!A1</f>
        <v/>
      </c>
    </row>
    <row r="16" ht="27.6" customHeight="1" s="216">
      <c r="A16" s="196" t="n">
        <v>9</v>
      </c>
      <c r="B16" s="411" t="inlineStr">
        <is>
          <t>Производство основных видов продукции животноводства в сельскохозяйственных организациях</t>
        </is>
      </c>
    </row>
    <row r="17">
      <c r="A17" s="196" t="n"/>
      <c r="B17" s="411" t="inlineStr">
        <is>
          <t>СТРОИТЕЛЬСТВО</t>
        </is>
      </c>
    </row>
    <row r="18">
      <c r="A18" s="196" t="n">
        <v>10</v>
      </c>
      <c r="B18" s="412">
        <f>'10'!A3</f>
        <v/>
      </c>
    </row>
    <row r="19" ht="26.4" customHeight="1" s="216">
      <c r="A19" s="196" t="n">
        <v>11</v>
      </c>
      <c r="B19" s="413">
        <f>'11'!A1</f>
        <v/>
      </c>
    </row>
    <row r="20">
      <c r="A20" s="196" t="n"/>
      <c r="B20" s="413" t="inlineStr">
        <is>
          <t>АВТОМОБИЛЬНЫЙ ТРАНСПОРТ</t>
        </is>
      </c>
    </row>
    <row r="21" ht="26.4" customHeight="1" s="216">
      <c r="A21" s="196" t="n">
        <v>12</v>
      </c>
      <c r="B21" s="159">
        <f>'12'!A3</f>
        <v/>
      </c>
    </row>
    <row r="22" ht="26.4" customHeight="1" s="216">
      <c r="A22" s="196" t="n">
        <v>13</v>
      </c>
      <c r="B22" s="413">
        <f>'13'!A1</f>
        <v/>
      </c>
    </row>
    <row r="23" ht="16.2" customHeight="1" s="216">
      <c r="A23" s="196" t="n"/>
      <c r="B23" s="410" t="inlineStr">
        <is>
          <t>III. РЫНКИ ТОВАРОВ И УСЛУГ</t>
        </is>
      </c>
    </row>
    <row r="24">
      <c r="A24" s="196" t="n"/>
      <c r="B24" s="677" t="inlineStr">
        <is>
          <t>РОЗНИЧНАЯ ТОРГОВЛЯ</t>
        </is>
      </c>
    </row>
    <row r="25">
      <c r="A25" s="196" t="n">
        <v>14</v>
      </c>
      <c r="B25" s="411">
        <f>'14'!A5</f>
        <v/>
      </c>
    </row>
    <row r="26" ht="26.4" customHeight="1" s="216">
      <c r="A26" s="196" t="n">
        <v>15</v>
      </c>
      <c r="B26" s="413">
        <f>'15'!A1</f>
        <v/>
      </c>
    </row>
    <row r="27" ht="26.4" customHeight="1" s="216">
      <c r="A27" s="196" t="n">
        <v>16</v>
      </c>
      <c r="B27" s="413">
        <f>'16'!A1</f>
        <v/>
      </c>
    </row>
    <row r="28" ht="18.6" customHeight="1" s="216">
      <c r="A28" s="196" t="n"/>
      <c r="B28" s="413" t="inlineStr">
        <is>
          <t>РЫНОК ПЛАТНЫХ УСЛУГ НАСЕЛЕНИЮ</t>
        </is>
      </c>
    </row>
    <row r="29">
      <c r="A29" s="196" t="n">
        <v>17</v>
      </c>
      <c r="B29" s="411">
        <f>'17'!A3</f>
        <v/>
      </c>
    </row>
    <row r="30">
      <c r="A30" s="196" t="n">
        <v>18</v>
      </c>
      <c r="B30" s="411">
        <f>'18'!A1</f>
        <v/>
      </c>
    </row>
    <row r="31">
      <c r="A31" s="196" t="n"/>
      <c r="B31" s="410" t="inlineStr">
        <is>
          <t>IV. ЦЕНЫ</t>
        </is>
      </c>
    </row>
    <row r="32">
      <c r="A32" s="196" t="n"/>
      <c r="B32" s="415" t="inlineStr">
        <is>
          <t>ИНДЕКСЫ ПОТРЕБИТЕЛЬСКИХ ЦЕН И ТАРИФОВ</t>
        </is>
      </c>
    </row>
    <row r="33">
      <c r="A33" s="196" t="n">
        <v>19</v>
      </c>
      <c r="B33" s="416">
        <f>'19'!A5</f>
        <v/>
      </c>
    </row>
    <row r="34">
      <c r="A34" s="196" t="n">
        <v>20</v>
      </c>
      <c r="B34" s="413">
        <f>'20'!A1</f>
        <v/>
      </c>
    </row>
    <row r="35">
      <c r="A35" s="196" t="n">
        <v>21</v>
      </c>
      <c r="B35" s="413">
        <f>'21'!A1</f>
        <v/>
      </c>
    </row>
    <row r="36">
      <c r="A36" s="196" t="n">
        <v>22</v>
      </c>
      <c r="B36" s="413">
        <f>'22'!A1</f>
        <v/>
      </c>
    </row>
    <row r="37">
      <c r="A37" s="196" t="n">
        <v>23</v>
      </c>
      <c r="B37" s="413">
        <f>'23'!A1</f>
        <v/>
      </c>
    </row>
    <row r="38">
      <c r="A38" s="196" t="n">
        <v>24</v>
      </c>
      <c r="B38" s="413">
        <f>'24'!A1</f>
        <v/>
      </c>
    </row>
    <row r="39">
      <c r="A39" s="196" t="n">
        <v>25</v>
      </c>
      <c r="B39" s="413">
        <f>'25'!A1</f>
        <v/>
      </c>
    </row>
    <row r="40" ht="21.6" customHeight="1" s="216">
      <c r="A40" s="196" t="n">
        <v>26</v>
      </c>
      <c r="B40" s="416">
        <f>'26'!A1</f>
        <v/>
      </c>
    </row>
    <row r="41">
      <c r="A41" s="196" t="n"/>
      <c r="B41" s="413" t="inlineStr">
        <is>
          <t>ИНДЕКСЫ ЦЕН И ТАРИФОВ ПРОИЗВОДИТЕЛЕЙ</t>
        </is>
      </c>
    </row>
    <row r="42" ht="26.4" customHeight="1" s="216">
      <c r="A42" s="196" t="n">
        <v>27</v>
      </c>
      <c r="B42" s="159">
        <f>'27'!A3</f>
        <v/>
      </c>
    </row>
    <row r="43" ht="26.4" customHeight="1" s="216">
      <c r="A43" s="196" t="n">
        <v>28</v>
      </c>
      <c r="B43" s="413">
        <f>'28'!A1</f>
        <v/>
      </c>
    </row>
    <row r="44" ht="26.4" customHeight="1" s="216">
      <c r="A44" s="196" t="n">
        <v>29</v>
      </c>
      <c r="B44" s="413">
        <f>'29'!A1</f>
        <v/>
      </c>
    </row>
    <row r="45" ht="26.4" customHeight="1" s="216">
      <c r="A45" s="196" t="n">
        <v>30</v>
      </c>
      <c r="B45" s="413">
        <f>'30'!A1</f>
        <v/>
      </c>
    </row>
    <row r="46" ht="26.4" customHeight="1" s="216">
      <c r="A46" s="478" t="n">
        <v>31</v>
      </c>
      <c r="B46" s="413">
        <f>'31'!A1</f>
        <v/>
      </c>
    </row>
    <row r="47">
      <c r="A47" s="478" t="n">
        <v>32</v>
      </c>
      <c r="B47" s="413">
        <f>'32'!A1</f>
        <v/>
      </c>
    </row>
    <row r="48">
      <c r="A48" s="196" t="n"/>
      <c r="B48" s="417" t="inlineStr">
        <is>
          <t>V. СОСТОЯНИЕ ПЛАТЕЖЕЙ  И РАСЧЕТОВ В ОРГАНИЗАЦИЯХ</t>
        </is>
      </c>
    </row>
    <row r="49" ht="26.4" customHeight="1" s="216">
      <c r="A49" s="196" t="n">
        <v>33</v>
      </c>
      <c r="B49" s="413">
        <f>'33'!A4</f>
        <v/>
      </c>
    </row>
    <row r="50" ht="26.4" customHeight="1" s="216">
      <c r="A50" s="196" t="n">
        <v>34</v>
      </c>
      <c r="B50" s="413">
        <f>'34'!A1</f>
        <v/>
      </c>
    </row>
    <row r="51">
      <c r="A51" s="196" t="n"/>
      <c r="B51" s="418" t="inlineStr">
        <is>
          <t>VI. УРОВЕНЬ ЖИЗНИ НАСЕЛЕНИЯ</t>
        </is>
      </c>
    </row>
    <row r="52">
      <c r="A52" s="196" t="n"/>
      <c r="B52" s="158" t="inlineStr">
        <is>
          <t>ЗАРАБОТНАЯ ПЛАТА</t>
        </is>
      </c>
    </row>
    <row r="53" ht="26.4" customHeight="1" s="216">
      <c r="A53" s="196" t="n">
        <v>35</v>
      </c>
      <c r="B53" s="413">
        <f>'35'!A5</f>
        <v/>
      </c>
    </row>
    <row r="54" ht="26.4" customHeight="1" s="216">
      <c r="A54" s="196" t="n">
        <v>36</v>
      </c>
      <c r="B54" s="413">
        <f>'36'!A1</f>
        <v/>
      </c>
    </row>
    <row r="55" ht="26.4" customHeight="1" s="216">
      <c r="A55" s="196" t="n">
        <v>37</v>
      </c>
      <c r="B55" s="413">
        <f>'37'!A1</f>
        <v/>
      </c>
    </row>
    <row r="56">
      <c r="A56" s="196" t="n"/>
      <c r="B56" s="419" t="inlineStr">
        <is>
          <t>VII. ЗАНЯТОСТЬ И БЕЗРАБОТИЦА</t>
        </is>
      </c>
    </row>
    <row r="57" ht="14.4" customHeight="1" s="216">
      <c r="A57" s="196" t="n">
        <v>38</v>
      </c>
      <c r="B57" s="412" t="inlineStr">
        <is>
          <t xml:space="preserve">Число замещенных рабочих мест в организациях (без субъектов малого предпринимательства) </t>
        </is>
      </c>
    </row>
    <row r="58" ht="26.4" customHeight="1" s="216">
      <c r="A58" s="196" t="n">
        <v>39</v>
      </c>
      <c r="B58" s="411">
        <f>'39'!A1</f>
        <v/>
      </c>
    </row>
    <row r="59">
      <c r="A59" s="196" t="n">
        <v>40</v>
      </c>
      <c r="B59" s="410" t="inlineStr">
        <is>
          <t>VIII. МЕТОДОЛОГИЧЕСКИЕ ПОЯСНЕНИЯ</t>
        </is>
      </c>
    </row>
    <row r="64">
      <c r="B64" s="365" t="n"/>
    </row>
    <row r="65">
      <c r="B65" s="365" t="n"/>
    </row>
    <row r="66">
      <c r="B66" s="365" t="n"/>
    </row>
    <row r="67">
      <c r="B67" s="365" t="n"/>
    </row>
    <row r="68">
      <c r="B68" s="365" t="n"/>
    </row>
    <row r="69">
      <c r="B69" s="365" t="n"/>
    </row>
    <row r="70">
      <c r="B70" s="365" t="n"/>
    </row>
    <row r="71">
      <c r="B71" s="365" t="n"/>
    </row>
  </sheetData>
  <hyperlinks>
    <hyperlink ref="B5" location="'1'!A1" display="I. ОСНОВНЫЕ ЭКОНОМИЧЕСКИЕ И СОЦИАЛЬНЫЕ ПОКАЗАТЕЛИ "/>
    <hyperlink ref="B8" location="'2'!A1" display="Динамика индекса промышленного производства"/>
    <hyperlink ref="B9" location="'3'!A1" display="'3'!A1"/>
    <hyperlink ref="B10" location="'4'!A1" display="'4'!A1"/>
    <hyperlink ref="B11" location="'5'!A1" display="'5'!A1"/>
    <hyperlink ref="B13" location="'6'!A1" display="'6'!A1"/>
    <hyperlink ref="B14" location="'7'!A1" display="Производство основных видов продукции животноводства в сельскохозяйственных организациях"/>
    <hyperlink ref="B15" location="'8'!A1" display="'8'!A1"/>
    <hyperlink ref="B16" location="'9'!A1" display="Производство основных видов продукции животноводства в сельскохозяйственных организациях"/>
    <hyperlink ref="B18" location="'10'!A1" display="'10'!A1"/>
    <hyperlink ref="B19" location="'11'!A1" display="'11'!A1"/>
    <hyperlink ref="B21" location="'12'!A1" display="'12'!A1"/>
    <hyperlink ref="B22" location="'13'!A1" display="'13'!A1"/>
    <hyperlink ref="B25" location="'14'!A1" display="'14'!A1"/>
    <hyperlink ref="B26" location="'15'!A1" display="'15'!A1"/>
    <hyperlink ref="B27" location="'16'!A1" display="'16'!A1"/>
    <hyperlink ref="B29" location="'17'!A1" display="'17'!A1"/>
    <hyperlink ref="B30" location="'18'!A1" display="'18'!A1"/>
    <hyperlink ref="B33" location="'19'!A1" display="'19'!A1"/>
    <hyperlink ref="B34" location="'20'!A1" display="'20'!A1"/>
    <hyperlink ref="B35" location="'21'!A1" display="'21'!A1"/>
    <hyperlink ref="B36" location="'22'!A1" display="'22'!A1"/>
    <hyperlink ref="B37" location="'23'!A1" display="'23'!A1"/>
    <hyperlink ref="B38" location="'24'!A1" display="'24'!A1"/>
    <hyperlink ref="B39" location="'25'!A1" display="'25'!A1"/>
    <hyperlink ref="B40" location="'26'!A1" display="'26'!A1"/>
    <hyperlink ref="B42" location="'27'!A1" display="'27'!A1"/>
    <hyperlink ref="B43" location="'28'!A1" display="'28'!A1"/>
    <hyperlink ref="B44" location="'29'!A1" display="'29'!A1"/>
    <hyperlink ref="B45" location="'30'!A1" display="'30'!A1"/>
    <hyperlink ref="B46" location="'31'!A1" display="'31'!A1"/>
    <hyperlink ref="B47" location="'32'!A1" display="'32'!A1"/>
    <hyperlink ref="B49" location="'33'!A1" display="'33'!A1"/>
    <hyperlink ref="B50" location="'34'!A1" display="'34'!A1"/>
    <hyperlink ref="B53" location="'35'!A1" display="'35'!A1"/>
    <hyperlink ref="B54" location="'36'!A1" display="'36'!A1"/>
    <hyperlink ref="B55" location="'37'!A1" display="'37'!A1"/>
    <hyperlink ref="B57" location="'38'!A1" display="Число замещенных рабочих мест в организациях (без субъектов малого предпринимательства) "/>
    <hyperlink ref="B58" location="'39'!A1" display="'39'!A1"/>
    <hyperlink ref="B59" location="'40'!A1" display="VIII. МЕТОДОЛОГИЧЕСКИЕ ПОЯСНЕНИЯ"/>
  </hyperlinks>
  <pageMargins left="0.7" right="0.7" top="0.75" bottom="0.75" header="0.3" footer="0.3"/>
  <pageSetup orientation="portrait" paperSize="9"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F22"/>
  <sheetViews>
    <sheetView tabSelected="1" zoomScale="80" zoomScaleNormal="80" zoomScalePageLayoutView="90" workbookViewId="0">
      <selection activeCell="M8" sqref="M8"/>
    </sheetView>
  </sheetViews>
  <sheetFormatPr baseColWidth="8" defaultRowHeight="13.2"/>
  <cols>
    <col width="40.6640625" customWidth="1" style="216" min="1" max="1"/>
    <col width="16.44140625" customWidth="1" style="216" min="2" max="2"/>
    <col width="17" customWidth="1" style="216" min="3" max="3"/>
    <col width="14.6640625" customWidth="1" style="216" min="4" max="4"/>
    <col width="16.44140625" customWidth="1" style="216" min="5" max="5"/>
    <col width="18.44140625" customWidth="1" style="216" min="6" max="6"/>
  </cols>
  <sheetData>
    <row r="1" ht="13.8" customHeight="1" s="216">
      <c r="A1" s="710" t="inlineStr">
        <is>
          <t>I.  ОСНОВНЫЕ ЭКОНОМИЧЕСКИЕ И СОЦИАЛЬНЫЕ ПОКАЗАТЕЛИ</t>
        </is>
      </c>
      <c r="B1" t="inlineStr">
        <is>
          <t>I.  ОСНОВНЫЕ ЭКОНОМИЧЕСКИЕ И СОЦИАЛЬНЫЕ ПОКАЗАТЕЛИ</t>
        </is>
      </c>
      <c r="C1" s="769" t="inlineStr">
        <is>
          <t>I.  ОСНОВНЫЕ ЭКОНОМИЧЕСКИЕ И СОЦИАЛЬНЫЕ ПОКАЗАТЕЛИ</t>
        </is>
      </c>
      <c r="D1" s="769" t="inlineStr">
        <is>
          <t>I.  ОСНОВНЫЕ ЭКОНОМИЧЕСКИЕ И СОЦИАЛЬНЫЕ ПОКАЗАТЕЛИ</t>
        </is>
      </c>
      <c r="E1" s="769" t="inlineStr">
        <is>
          <t>I.  ОСНОВНЫЕ ЭКОНОМИЧЕСКИЕ И СОЦИАЛЬНЫЕ ПОКАЗАТЕЛИ</t>
        </is>
      </c>
      <c r="F1" s="769" t="inlineStr">
        <is>
          <t>I.  ОСНОВНЫЕ ЭКОНОМИЧЕСКИЕ И СОЦИАЛЬНЫЕ ПОКАЗАТЕЛИ</t>
        </is>
      </c>
    </row>
    <row r="2">
      <c r="A2" s="17" t="n"/>
      <c r="B2" s="17" t="n"/>
      <c r="C2" s="770" t="n"/>
      <c r="D2" s="769" t="n"/>
      <c r="E2" s="769" t="n"/>
      <c r="F2" s="769" t="n"/>
    </row>
    <row r="3" ht="16.2" customHeight="1" s="216">
      <c r="A3" s="144" t="n"/>
      <c r="B3" s="771" t="inlineStr">
        <is>
          <t>Август
 2025 г.</t>
        </is>
      </c>
      <c r="C3" s="772" t="inlineStr">
        <is>
          <t>В % к         соответствующему месяцу    предыдущего года</t>
        </is>
      </c>
      <c r="D3" s="772" t="inlineStr">
        <is>
          <t>Январь-август 
2025 г.</t>
        </is>
      </c>
      <c r="E3" s="772" t="inlineStr">
        <is>
          <t>В % к        соответствующему периоду предыдущего года</t>
        </is>
      </c>
      <c r="F3" s="773" t="inlineStr">
        <is>
          <t xml:space="preserve">Справочно </t>
        </is>
      </c>
    </row>
    <row r="4" ht="77.40000000000001" customHeight="1" s="216">
      <c r="B4" s="774" t="inlineStr">
        <is>
          <t>Август
 2025 г.</t>
        </is>
      </c>
      <c r="C4" s="775" t="inlineStr">
        <is>
          <t>В % к         соответствующему месяцу    предыдущего года</t>
        </is>
      </c>
      <c r="D4" s="775" t="inlineStr">
        <is>
          <t>Январь-август 
2025 г.</t>
        </is>
      </c>
      <c r="E4" s="775" t="inlineStr">
        <is>
          <t>В % к        соответствующему периоду предыдущего года</t>
        </is>
      </c>
      <c r="F4" s="776" t="inlineStr">
        <is>
          <t xml:space="preserve">январь-август 
2024 г. 
в % к 
январю-августу 
2023 г.
</t>
        </is>
      </c>
    </row>
    <row r="5" ht="21.6" customHeight="1" s="216">
      <c r="A5" s="777" t="inlineStr">
        <is>
          <t>Индекс промышленного производства1)</t>
        </is>
      </c>
      <c r="B5" s="778" t="n"/>
      <c r="C5" s="779" t="n">
        <v>98.5</v>
      </c>
      <c r="D5" s="780" t="n"/>
      <c r="E5" s="781" t="n">
        <v>97.7</v>
      </c>
      <c r="F5" s="782" t="n">
        <v>100.9</v>
      </c>
    </row>
    <row r="6" ht="43.2" customHeight="1" s="216">
      <c r="A6" s="783" t="inlineStr">
        <is>
          <t>Объем работ, выполненных по виду экономической деятельности «строительство», млн рублей</t>
        </is>
      </c>
      <c r="B6" s="784" t="n">
        <v>25744.5</v>
      </c>
      <c r="C6" s="785" t="n">
        <v>118.2</v>
      </c>
      <c r="D6" s="786" t="n">
        <v>175279.3</v>
      </c>
      <c r="E6" s="785" t="n">
        <v>129.9</v>
      </c>
      <c r="F6" s="787" t="n">
        <v>82.40000000000001</v>
      </c>
    </row>
    <row r="7" ht="70.2" customHeight="1" s="216">
      <c r="A7" s="788" t="inlineStr">
        <is>
          <t>Ввод в действие жилых домов (с учетом жилых домов, построенных на земельных участках, предназначенных для ведения гражданами садоводства), м2 общей площади жилых помещений</t>
        </is>
      </c>
      <c r="B7" s="789" t="n">
        <v>194852</v>
      </c>
      <c r="C7" s="785" t="n">
        <v>101.9</v>
      </c>
      <c r="D7" s="790" t="n">
        <v>1538724</v>
      </c>
      <c r="E7" s="785" t="n">
        <v>90.09999999999999</v>
      </c>
      <c r="F7" s="787" t="n">
        <v>119</v>
      </c>
    </row>
    <row r="8" ht="39.6" customHeight="1" s="216">
      <c r="A8" s="791" t="inlineStr">
        <is>
          <t>Грузооборот автомобильного транспорта организаций (без субъектов малого предпринимательства), млн т-км</t>
        </is>
      </c>
      <c r="B8" s="792" t="n">
        <v>180.8</v>
      </c>
      <c r="C8" s="793" t="n">
        <v>99.3</v>
      </c>
      <c r="D8" s="794" t="n">
        <v>1383.2</v>
      </c>
      <c r="E8" s="795" t="n">
        <v>116.8</v>
      </c>
      <c r="F8" s="796" t="n">
        <v>113</v>
      </c>
    </row>
    <row r="9">
      <c r="A9" s="791" t="inlineStr">
        <is>
          <t>Оборот розничной торговли, млн рублей</t>
        </is>
      </c>
      <c r="B9" s="784" t="n">
        <v>61894.6</v>
      </c>
      <c r="C9" s="785" t="n">
        <v>103.6</v>
      </c>
      <c r="D9" s="786" t="n">
        <v>465118.2</v>
      </c>
      <c r="E9" s="785" t="n">
        <v>102</v>
      </c>
      <c r="F9" s="787" t="n">
        <v>114.2</v>
      </c>
    </row>
    <row r="10" ht="15.6" customHeight="1" s="216">
      <c r="A10" s="791" t="inlineStr">
        <is>
          <t>Объем платных услуг населению, млн рублей</t>
        </is>
      </c>
      <c r="B10" s="784" t="n">
        <v>19929.7</v>
      </c>
      <c r="C10" s="785" t="n">
        <v>101.9</v>
      </c>
      <c r="D10" s="786" t="n">
        <v>150317.2</v>
      </c>
      <c r="E10" s="797" t="n">
        <v>104.8</v>
      </c>
      <c r="F10" s="787" t="n">
        <v>106.5</v>
      </c>
    </row>
    <row r="11" ht="26.4" customHeight="1" s="216">
      <c r="A11" s="783" t="inlineStr">
        <is>
          <t>Индекс потребительских цен и тарифов на конец периода</t>
        </is>
      </c>
      <c r="B11" s="798" t="n"/>
      <c r="C11" s="785" t="n">
        <v>108.36</v>
      </c>
      <c r="D11" s="786" t="n"/>
      <c r="E11" s="785" t="n">
        <v>108.58</v>
      </c>
      <c r="F11" s="799" t="n">
        <v>106.8</v>
      </c>
    </row>
    <row r="12" ht="42" customHeight="1" s="216">
      <c r="A12" s="783" t="inlineStr">
        <is>
          <t>Индекс цен производителей промышленных товаров, реализованных на внутреннем рынке, на конец периода1)</t>
        </is>
      </c>
      <c r="B12" s="798" t="n"/>
      <c r="C12" s="800" t="n">
        <v>84.59999999999999</v>
      </c>
      <c r="D12" s="786" t="n"/>
      <c r="E12" s="800" t="n">
        <v>96.61</v>
      </c>
      <c r="F12" s="801" t="n">
        <v>114.34</v>
      </c>
    </row>
    <row r="13" ht="55.8" customHeight="1" s="216">
      <c r="A13" s="802" t="inlineStr">
        <is>
          <t>Индекс цен производителей сельскохозяйственной продукции, реализованной сельскохозяйственными организациями, на конец периода</t>
        </is>
      </c>
      <c r="B13" s="798" t="n"/>
      <c r="C13" s="800" t="n">
        <v>104.74</v>
      </c>
      <c r="D13" s="786" t="n"/>
      <c r="E13" s="800" t="n">
        <v>104.76</v>
      </c>
      <c r="F13" s="787" t="n">
        <v>110.82</v>
      </c>
    </row>
    <row r="14" ht="40.2" customHeight="1" s="216">
      <c r="A14" s="791" t="inlineStr">
        <is>
          <t>Сводный индекс цен на продукцию (затраты, услуги) инвестиционного назначения, на конец периода</t>
        </is>
      </c>
      <c r="B14" s="798" t="n"/>
      <c r="C14" s="803" t="n">
        <v>108.4</v>
      </c>
      <c r="D14" s="804" t="n"/>
      <c r="E14" s="803" t="n">
        <v>108.1</v>
      </c>
      <c r="F14" s="801" t="n">
        <v>108.1</v>
      </c>
    </row>
    <row r="15" ht="26.4" customHeight="1" s="216">
      <c r="A15" s="791" t="inlineStr">
        <is>
          <t>Индекс тарифов на грузовые перевозки, на конец периода</t>
        </is>
      </c>
      <c r="B15" s="798" t="n"/>
      <c r="C15" s="800" t="n">
        <v>109.93</v>
      </c>
      <c r="D15" s="804" t="n"/>
      <c r="E15" s="800" t="n">
        <v>109.9</v>
      </c>
      <c r="F15" s="801" t="n">
        <v>107.4</v>
      </c>
    </row>
    <row r="16" ht="28.8" customHeight="1" s="216">
      <c r="A16" s="791" t="inlineStr">
        <is>
          <t xml:space="preserve">Среднемесячная начисленная заработная плата одного работника2) </t>
        </is>
      </c>
      <c r="B16" s="798" t="n"/>
      <c r="C16" s="797" t="n"/>
      <c r="D16" s="805" t="n"/>
      <c r="E16" s="797" t="n"/>
      <c r="F16" s="806" t="n"/>
    </row>
    <row r="17">
      <c r="A17" s="807" t="inlineStr">
        <is>
          <t>номинальная, рублей</t>
        </is>
      </c>
      <c r="B17" s="798" t="n">
        <v>93419</v>
      </c>
      <c r="C17" s="797" t="n">
        <v>113.2</v>
      </c>
      <c r="D17" s="790" t="n">
        <v>90213</v>
      </c>
      <c r="E17" s="797" t="n">
        <v>111.8</v>
      </c>
      <c r="F17" s="806" t="n">
        <v>115.8</v>
      </c>
    </row>
    <row r="18">
      <c r="A18" s="807" t="inlineStr">
        <is>
          <t>реальная</t>
        </is>
      </c>
      <c r="B18" s="808" t="n"/>
      <c r="C18" s="797" t="n">
        <v>103.8</v>
      </c>
      <c r="D18" s="809" t="n"/>
      <c r="E18" s="797" t="n">
        <v>102.9</v>
      </c>
      <c r="F18" s="806" t="n">
        <v>108.6</v>
      </c>
    </row>
    <row r="19" ht="28.2" customHeight="1" s="216">
      <c r="A19" s="810" t="inlineStr">
        <is>
          <t xml:space="preserve">Численность официально зарегистрированных безработных на конец месяца, тыс. человек </t>
        </is>
      </c>
      <c r="B19" s="811" t="n">
        <v>2.5</v>
      </c>
      <c r="C19" s="812" t="n">
        <v>122.1</v>
      </c>
      <c r="D19" s="813" t="n"/>
      <c r="E19" s="814" t="n"/>
      <c r="F19" s="815" t="n"/>
    </row>
    <row r="20">
      <c r="A20" s="650" t="n"/>
    </row>
    <row r="21" ht="43.2" customHeight="1" s="216">
      <c r="A21" s="646" t="inlineStr">
        <is>
          <t>1) По видам экономической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t>
        </is>
      </c>
      <c r="B21" t="inlineStr">
        <is>
          <t>1) По видам экономической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t>
        </is>
      </c>
      <c r="C21" t="inlineStr">
        <is>
          <t>1) По видам экономической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t>
        </is>
      </c>
      <c r="D21" t="inlineStr">
        <is>
          <t>1) По видам экономической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t>
        </is>
      </c>
      <c r="E21" t="inlineStr">
        <is>
          <t>1) По видам экономической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t>
        </is>
      </c>
      <c r="F21" t="inlineStr">
        <is>
          <t>1) По видам экономической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t>
        </is>
      </c>
    </row>
    <row r="22" ht="18.6" customHeight="1" s="216">
      <c r="A22" s="642" t="inlineStr">
        <is>
          <t>2)Абсолютные показатели за июль, январь-июль 2025 г., относительные – в % к июлю, январю-июлю 2024 г. и январю-июлю 2023 г.</t>
        </is>
      </c>
      <c r="B22" t="inlineStr">
        <is>
          <t>2)Абсолютные показатели за июль, январь-июль 2025 г., относительные – в % к июлю, январю-июлю 2024 г. и январю-июлю 2023 г.</t>
        </is>
      </c>
      <c r="C22" t="inlineStr">
        <is>
          <t>2)Абсолютные показатели за июль, январь-июль 2025 г., относительные – в % к июлю, январю-июлю 2024 г. и январю-июлю 2023 г.</t>
        </is>
      </c>
      <c r="D22" t="inlineStr">
        <is>
          <t>2)Абсолютные показатели за июль, январь-июль 2025 г., относительные – в % к июлю, январю-июлю 2024 г. и январю-июлю 2023 г.</t>
        </is>
      </c>
      <c r="E22" t="inlineStr">
        <is>
          <t>2)Абсолютные показатели за июль, январь-июль 2025 г., относительные – в % к июлю, январю-июлю 2024 г. и январю-июлю 2023 г.</t>
        </is>
      </c>
      <c r="F22" t="inlineStr">
        <is>
          <t>2)Абсолютные показатели за июль, январь-июль 2025 г., относительные – в % к июлю, январю-июлю 2024 г. и январю-июлю 2023 г.</t>
        </is>
      </c>
    </row>
  </sheetData>
  <pageMargins left="0.7" right="0.7" top="0.75" bottom="0.75" header="0.3" footer="0.3"/>
  <pageSetup orientation="portrait" paperSize="9" scale="72"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D39"/>
  <sheetViews>
    <sheetView zoomScale="80" zoomScaleNormal="80" workbookViewId="0">
      <selection activeCell="D6" sqref="D6"/>
    </sheetView>
  </sheetViews>
  <sheetFormatPr baseColWidth="8" defaultRowHeight="13.2"/>
  <cols>
    <col width="33.33203125" customWidth="1" style="216" min="1" max="1"/>
    <col width="26.6640625" customWidth="1" style="216" min="2" max="2"/>
    <col width="27.109375" customWidth="1" style="216" min="3" max="3"/>
  </cols>
  <sheetData>
    <row r="1" ht="13.8" customHeight="1" s="216">
      <c r="A1" s="733" t="inlineStr">
        <is>
          <t>II. ПРОИЗВОДСТВО ТОВАРОВ И УСЛУГ</t>
        </is>
      </c>
    </row>
    <row r="3" ht="13.8" customHeight="1" s="216">
      <c r="A3" s="705" t="inlineStr">
        <is>
          <t>ПРОМЫШЛЕННОЕ ПРОИЗВОДСТВО</t>
        </is>
      </c>
    </row>
    <row r="4" ht="13.8" customHeight="1" s="216">
      <c r="A4" s="21" t="n"/>
      <c r="B4" s="22" t="n"/>
    </row>
    <row r="5" ht="16.2" customHeight="1" s="216">
      <c r="A5" s="682" t="inlineStr">
        <is>
          <t>Динамика индекса промышленного производства1)</t>
        </is>
      </c>
    </row>
    <row r="6" ht="15.6" customHeight="1" s="216">
      <c r="A6" s="71" t="n"/>
    </row>
    <row r="7">
      <c r="A7" s="647" t="n"/>
      <c r="B7" s="144" t="inlineStr">
        <is>
          <t>В % к</t>
        </is>
      </c>
      <c r="C7" s="755" t="n"/>
    </row>
    <row r="8" ht="33.6" customHeight="1" s="216">
      <c r="A8" s="522" t="n"/>
      <c r="B8" s="644" t="inlineStr">
        <is>
          <t>предыдущему месяцу</t>
        </is>
      </c>
      <c r="C8" s="740" t="inlineStr">
        <is>
          <t>соответствующему периоду предыдущего года</t>
        </is>
      </c>
    </row>
    <row r="9">
      <c r="A9" s="257" t="inlineStr">
        <is>
          <t>2025 г.</t>
        </is>
      </c>
      <c r="B9" s="121" t="n"/>
      <c r="C9" s="121" t="n"/>
    </row>
    <row r="10">
      <c r="A10" s="140" t="inlineStr">
        <is>
          <t>Январь</t>
        </is>
      </c>
      <c r="B10" s="481" t="n">
        <v>94.59999999999999</v>
      </c>
      <c r="C10" s="375" t="n">
        <v>98</v>
      </c>
    </row>
    <row r="11">
      <c r="A11" s="70" t="inlineStr">
        <is>
          <t>Февраль</t>
        </is>
      </c>
      <c r="B11" s="481" t="n">
        <v>95.8</v>
      </c>
      <c r="C11" s="481" t="n">
        <v>95.3</v>
      </c>
    </row>
    <row r="12">
      <c r="A12" s="70" t="inlineStr">
        <is>
          <t>Март</t>
        </is>
      </c>
      <c r="B12" s="481" t="n">
        <v>110.1</v>
      </c>
      <c r="C12" s="481" t="n">
        <v>96.40000000000001</v>
      </c>
    </row>
    <row r="13">
      <c r="A13" s="77" t="inlineStr">
        <is>
          <t>Январь-март</t>
        </is>
      </c>
      <c r="B13" s="481" t="n"/>
      <c r="C13" s="481" t="n">
        <v>96.5</v>
      </c>
    </row>
    <row r="14">
      <c r="A14" s="696" t="inlineStr">
        <is>
          <t>Апрель</t>
        </is>
      </c>
      <c r="B14" s="481" t="n">
        <v>90.2</v>
      </c>
      <c r="C14" s="481" t="n">
        <v>92.59999999999999</v>
      </c>
    </row>
    <row r="15">
      <c r="A15" s="70" t="inlineStr">
        <is>
          <t>Май</t>
        </is>
      </c>
      <c r="B15" s="481" t="n">
        <v>96.09999999999999</v>
      </c>
      <c r="C15" s="481" t="n">
        <v>91.09999999999999</v>
      </c>
    </row>
    <row r="16">
      <c r="A16" s="70" t="inlineStr">
        <is>
          <t>Июнь</t>
        </is>
      </c>
      <c r="B16" s="481" t="n">
        <v>101</v>
      </c>
      <c r="C16" s="481" t="n">
        <v>102.9</v>
      </c>
    </row>
    <row r="17">
      <c r="A17" s="77" t="inlineStr">
        <is>
          <t>Январь-июнь</t>
        </is>
      </c>
      <c r="B17" s="481" t="n"/>
      <c r="C17" s="481" t="n">
        <v>95.90000000000001</v>
      </c>
    </row>
    <row r="18">
      <c r="A18" s="70" t="inlineStr">
        <is>
          <t>Июль</t>
        </is>
      </c>
      <c r="B18" s="481" t="n">
        <v>116.6</v>
      </c>
      <c r="C18" s="481" t="n">
        <v>107.5</v>
      </c>
    </row>
    <row r="19">
      <c r="A19" s="70" t="inlineStr">
        <is>
          <t>Август</t>
        </is>
      </c>
      <c r="B19" s="481" t="n">
        <v>100.4</v>
      </c>
      <c r="C19" s="481" t="n">
        <v>98.5</v>
      </c>
    </row>
    <row r="20">
      <c r="A20" s="77" t="inlineStr">
        <is>
          <t>Январь-август</t>
        </is>
      </c>
      <c r="B20" s="481" t="n"/>
      <c r="C20" s="481" t="n">
        <v>97.7</v>
      </c>
    </row>
    <row r="21">
      <c r="A21" s="128" t="inlineStr">
        <is>
          <t>2024 г.</t>
        </is>
      </c>
      <c r="B21" s="481" t="n"/>
      <c r="C21" s="481" t="n"/>
    </row>
    <row r="22">
      <c r="A22" s="140" t="inlineStr">
        <is>
          <t>Январь</t>
        </is>
      </c>
      <c r="B22" s="375" t="n">
        <v>93.90000000000001</v>
      </c>
      <c r="C22" s="375" t="n">
        <v>102.6</v>
      </c>
      <c r="D22" s="436" t="n"/>
    </row>
    <row r="23">
      <c r="A23" s="70" t="inlineStr">
        <is>
          <t>Февраль</t>
        </is>
      </c>
      <c r="B23" s="375" t="n">
        <v>98.5</v>
      </c>
      <c r="C23" s="375" t="n">
        <v>105.2</v>
      </c>
      <c r="D23" s="436" t="n"/>
    </row>
    <row r="24">
      <c r="A24" s="70" t="inlineStr">
        <is>
          <t>Март</t>
        </is>
      </c>
      <c r="B24" s="375" t="n">
        <v>108.9</v>
      </c>
      <c r="C24" s="375" t="n">
        <v>101.8</v>
      </c>
      <c r="D24" s="436" t="n"/>
    </row>
    <row r="25">
      <c r="A25" s="77" t="inlineStr">
        <is>
          <t>Январь-март</t>
        </is>
      </c>
      <c r="B25" s="375" t="n"/>
      <c r="C25" s="375" t="n">
        <v>103.1</v>
      </c>
      <c r="D25" s="436" t="n"/>
    </row>
    <row r="26">
      <c r="A26" s="70" t="inlineStr">
        <is>
          <t>Апрель</t>
        </is>
      </c>
      <c r="B26" s="375" t="n">
        <v>93.8</v>
      </c>
      <c r="C26" s="375" t="n">
        <v>102.2</v>
      </c>
      <c r="D26" s="436" t="n"/>
    </row>
    <row r="27">
      <c r="A27" s="70" t="inlineStr">
        <is>
          <t>Май</t>
        </is>
      </c>
      <c r="B27" s="375" t="n">
        <v>97.7</v>
      </c>
      <c r="C27" s="375" t="n">
        <v>102.7</v>
      </c>
      <c r="D27" s="436" t="n"/>
    </row>
    <row r="28">
      <c r="A28" s="70" t="inlineStr">
        <is>
          <t>Июнь</t>
        </is>
      </c>
      <c r="B28" s="375" t="n">
        <v>89.40000000000001</v>
      </c>
      <c r="C28" s="375" t="n">
        <v>92</v>
      </c>
      <c r="D28" s="436" t="n"/>
    </row>
    <row r="29">
      <c r="A29" s="77" t="inlineStr">
        <is>
          <t>Январь-июнь</t>
        </is>
      </c>
      <c r="B29" s="375" t="n"/>
      <c r="C29" s="375" t="n">
        <v>101.1</v>
      </c>
      <c r="D29" s="436" t="n"/>
    </row>
    <row r="30">
      <c r="A30" s="70" t="inlineStr">
        <is>
          <t>Июль</t>
        </is>
      </c>
      <c r="B30" s="375" t="n">
        <v>111.6</v>
      </c>
      <c r="C30" s="375" t="n">
        <v>97.40000000000001</v>
      </c>
      <c r="D30" s="436" t="n"/>
    </row>
    <row r="31">
      <c r="A31" s="70" t="inlineStr">
        <is>
          <t>Август</t>
        </is>
      </c>
      <c r="B31" s="375" t="n">
        <v>109.4</v>
      </c>
      <c r="C31" s="375" t="n">
        <v>103.4</v>
      </c>
      <c r="D31" s="436" t="n"/>
    </row>
    <row r="32">
      <c r="A32" s="70" t="inlineStr">
        <is>
          <t>Сентябрь</t>
        </is>
      </c>
      <c r="B32" s="375" t="n">
        <v>94.09999999999999</v>
      </c>
      <c r="C32" s="375" t="n">
        <v>98.3</v>
      </c>
      <c r="D32" s="436" t="n"/>
    </row>
    <row r="33">
      <c r="A33" s="77" t="inlineStr">
        <is>
          <t>Январь-сентябрь</t>
        </is>
      </c>
      <c r="B33" s="375" t="n"/>
      <c r="C33" s="375" t="n">
        <v>100.6</v>
      </c>
      <c r="D33" s="436" t="n"/>
    </row>
    <row r="34">
      <c r="A34" s="696" t="inlineStr">
        <is>
          <t>Октябрь</t>
        </is>
      </c>
      <c r="B34" s="375" t="n">
        <v>102.6</v>
      </c>
      <c r="C34" s="375" t="n">
        <v>96.09999999999999</v>
      </c>
      <c r="D34" s="436" t="n"/>
    </row>
    <row r="35">
      <c r="A35" s="140" t="inlineStr">
        <is>
          <t>Ноябрь</t>
        </is>
      </c>
      <c r="B35" s="375" t="n">
        <v>93.09999999999999</v>
      </c>
      <c r="C35" s="375" t="n">
        <v>93.8</v>
      </c>
      <c r="D35" s="436" t="n"/>
    </row>
    <row r="36">
      <c r="A36" s="70" t="inlineStr">
        <is>
          <t>Декабрь</t>
        </is>
      </c>
      <c r="B36" s="375" t="n">
        <v>107.3</v>
      </c>
      <c r="C36" s="375" t="n">
        <v>97.2</v>
      </c>
      <c r="D36" s="436" t="n"/>
    </row>
    <row r="37">
      <c r="A37" s="161" t="inlineStr">
        <is>
          <t>Январь-декабрь</t>
        </is>
      </c>
      <c r="B37" s="490" t="n"/>
      <c r="C37" s="490" t="n">
        <v>99.3</v>
      </c>
      <c r="D37" s="436" t="n"/>
    </row>
    <row r="38">
      <c r="A38" s="154" t="n"/>
      <c r="B38" s="258" t="n"/>
      <c r="C38" s="258" t="n"/>
    </row>
    <row r="39" ht="48.6" customHeight="1" s="216">
      <c r="A39" s="652" t="inlineStr">
        <is>
          <t>1) По видам экономической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t>
        </is>
      </c>
    </row>
  </sheetData>
  <mergeCells count="6">
    <mergeCell ref="B7:C7"/>
    <mergeCell ref="A1:C1"/>
    <mergeCell ref="A5:C5"/>
    <mergeCell ref="A7:A8"/>
    <mergeCell ref="A3:C3"/>
    <mergeCell ref="A39:C39"/>
  </mergeCells>
  <pageMargins left="0.7" right="0.7" top="0.75" bottom="0.75" header="0.3" footer="0.3"/>
  <pageSetup orientation="portrait" paperSize="9"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C32"/>
  <sheetViews>
    <sheetView zoomScale="80" zoomScaleNormal="80" workbookViewId="0">
      <selection activeCell="D6" sqref="D6"/>
    </sheetView>
  </sheetViews>
  <sheetFormatPr baseColWidth="8" defaultRowHeight="13.2"/>
  <cols>
    <col width="42.88671875" customWidth="1" style="216" min="1" max="1"/>
    <col width="21.109375" customWidth="1" style="216" min="2" max="3"/>
    <col width="6.77734375" customWidth="1" style="216" min="4" max="4"/>
  </cols>
  <sheetData>
    <row r="1" ht="21.6" customHeight="1" s="216">
      <c r="A1" s="710" t="inlineStr">
        <is>
          <t>Индексы производства по отдельным видам экономической деятельности</t>
        </is>
      </c>
    </row>
    <row r="2">
      <c r="A2" s="695" t="n"/>
      <c r="B2" s="695" t="n"/>
    </row>
    <row r="3" ht="79.2" customHeight="1" s="216">
      <c r="A3" s="687" t="n"/>
      <c r="B3" s="728" t="inlineStr">
        <is>
          <t>Август 2025 г. 
в % к 
соответствующему месяцу предыдущего года</t>
        </is>
      </c>
      <c r="C3" s="728" t="inlineStr">
        <is>
          <t>Январь-август
 2025 г. 
в % к соответствующему периоду предыдущего года</t>
        </is>
      </c>
    </row>
    <row r="4">
      <c r="A4" s="315" t="inlineStr">
        <is>
          <t>Добыча полезных ископаемых</t>
        </is>
      </c>
      <c r="B4" s="613" t="n">
        <v>100.8</v>
      </c>
      <c r="C4" s="614" t="n">
        <v>100.4</v>
      </c>
    </row>
    <row r="5">
      <c r="A5" s="271" t="inlineStr">
        <is>
          <t>добыча прочих полезных ископаемых</t>
        </is>
      </c>
      <c r="B5" s="482" t="n">
        <v>105.4</v>
      </c>
      <c r="C5" s="615" t="n">
        <v>96.90000000000001</v>
      </c>
    </row>
    <row r="6" ht="26.4" customHeight="1" s="216">
      <c r="A6" s="468" t="inlineStr">
        <is>
          <t>предоставление услуг в области добычи полезных ископаемых</t>
        </is>
      </c>
      <c r="B6" s="482" t="n">
        <v>143.4</v>
      </c>
      <c r="C6" s="615" t="n">
        <v>139.6</v>
      </c>
    </row>
    <row r="7">
      <c r="A7" s="236" t="inlineStr">
        <is>
          <t>Обрабатывающие производства</t>
        </is>
      </c>
      <c r="B7" s="482" t="n">
        <v>98</v>
      </c>
      <c r="C7" s="615" t="n">
        <v>96.8</v>
      </c>
    </row>
    <row r="8">
      <c r="A8" s="200" t="inlineStr">
        <is>
          <t>производство пищевых продуктов</t>
        </is>
      </c>
      <c r="B8" s="482" t="n">
        <v>94.8</v>
      </c>
      <c r="C8" s="615" t="n">
        <v>95.40000000000001</v>
      </c>
    </row>
    <row r="9">
      <c r="A9" s="200" t="inlineStr">
        <is>
          <t>производство напитков</t>
        </is>
      </c>
      <c r="B9" s="482" t="n">
        <v>114.6</v>
      </c>
      <c r="C9" s="615" t="n">
        <v>105.5</v>
      </c>
    </row>
    <row r="10">
      <c r="A10" s="200" t="inlineStr">
        <is>
          <t>производство текстильных изделий</t>
        </is>
      </c>
      <c r="B10" s="482" t="n">
        <v>182.3</v>
      </c>
      <c r="C10" s="615" t="n">
        <v>98.90000000000001</v>
      </c>
    </row>
    <row r="11">
      <c r="A11" s="200" t="inlineStr">
        <is>
          <t>производство одежды</t>
        </is>
      </c>
      <c r="B11" s="482" t="n">
        <v>93.2</v>
      </c>
      <c r="C11" s="615" t="n">
        <v>100.2</v>
      </c>
    </row>
    <row r="12" s="216">
      <c r="A12" s="200" t="inlineStr">
        <is>
          <t>производство кожи и изделий из кожи</t>
        </is>
      </c>
      <c r="B12" s="482" t="inlineStr">
        <is>
          <t>6,1р</t>
        </is>
      </c>
      <c r="C12" s="615" t="n">
        <v>95.2</v>
      </c>
    </row>
    <row r="13" ht="52.8" customHeight="1" s="216">
      <c r="A13" s="316" t="inlineStr">
        <is>
          <t>обработка древесины и производство изделий из дерева и пробки, кроме мебели, производство изделий из соломки и материалов для плетения</t>
        </is>
      </c>
      <c r="B13" s="482" t="n">
        <v>91.09999999999999</v>
      </c>
      <c r="C13" s="615" t="n">
        <v>97.09999999999999</v>
      </c>
    </row>
    <row r="14">
      <c r="A14" s="317" t="inlineStr">
        <is>
          <t>производство бумаги и бумажных изделий</t>
        </is>
      </c>
      <c r="B14" s="482" t="n">
        <v>81.09999999999999</v>
      </c>
      <c r="C14" s="615" t="n">
        <v>90.90000000000001</v>
      </c>
    </row>
    <row r="15" ht="26.4" customHeight="1" s="216">
      <c r="A15" s="200" t="inlineStr">
        <is>
          <t>деятельность полиграфическая и копирование носителей информации</t>
        </is>
      </c>
      <c r="B15" s="482" t="n">
        <v>93.09999999999999</v>
      </c>
      <c r="C15" s="615" t="n">
        <v>104.5</v>
      </c>
    </row>
    <row r="16">
      <c r="A16" s="200" t="inlineStr">
        <is>
          <t>производство кокса и нефтепродуктов</t>
        </is>
      </c>
      <c r="B16" s="482" t="n">
        <v>103</v>
      </c>
      <c r="C16" s="615" t="n">
        <v>100.8</v>
      </c>
    </row>
    <row r="17" ht="26.4" customHeight="1" s="216">
      <c r="A17" s="200" t="inlineStr">
        <is>
          <t>производство химических веществ и химических продуктов</t>
        </is>
      </c>
      <c r="B17" s="482" t="n">
        <v>96.3</v>
      </c>
      <c r="C17" s="615" t="n">
        <v>94.40000000000001</v>
      </c>
    </row>
    <row r="18" ht="39.6" customHeight="1" s="216">
      <c r="A18" s="271" t="inlineStr">
        <is>
          <t>производство лекарственных средств и материалов, применяемых в медицинских целях и ветеринарии</t>
        </is>
      </c>
      <c r="B18" s="482" t="n">
        <v>120.6</v>
      </c>
      <c r="C18" s="615" t="n">
        <v>104</v>
      </c>
    </row>
    <row r="19" ht="26.4" customHeight="1" s="216">
      <c r="A19" s="316" t="inlineStr">
        <is>
          <t>производство резиновых и пластмассовых изделий</t>
        </is>
      </c>
      <c r="B19" s="482" t="n">
        <v>94.7</v>
      </c>
      <c r="C19" s="615" t="n">
        <v>92.3</v>
      </c>
    </row>
    <row r="20" ht="26.4" customHeight="1" s="216">
      <c r="A20" s="316" t="inlineStr">
        <is>
          <t>производство прочей неметаллической минеральной продукции</t>
        </is>
      </c>
      <c r="B20" s="482" t="n">
        <v>96.5</v>
      </c>
      <c r="C20" s="615" t="n">
        <v>98.7</v>
      </c>
    </row>
    <row r="21">
      <c r="A21" s="200" t="inlineStr">
        <is>
          <t xml:space="preserve">производство металлургическое </t>
        </is>
      </c>
      <c r="B21" s="483" t="n">
        <v>99.90000000000001</v>
      </c>
      <c r="C21" s="616" t="n">
        <v>93.90000000000001</v>
      </c>
    </row>
    <row r="22" ht="26.4" customHeight="1" s="216">
      <c r="A22" s="316" t="inlineStr">
        <is>
          <t>производство готовых металлических изделий, кроме машин и оборудования</t>
        </is>
      </c>
      <c r="B22" s="483" t="n">
        <v>78.59999999999999</v>
      </c>
      <c r="C22" s="616" t="n">
        <v>80.2</v>
      </c>
    </row>
    <row r="23" ht="26.4" customHeight="1" s="216">
      <c r="A23" s="200" t="inlineStr">
        <is>
          <t>производство компьютеров, электронных и оптических изделий</t>
        </is>
      </c>
      <c r="B23" s="483" t="n">
        <v>90.3</v>
      </c>
      <c r="C23" s="616" t="n">
        <v>106.7</v>
      </c>
    </row>
    <row r="24">
      <c r="A24" s="200" t="inlineStr">
        <is>
          <t>производство электрического оборудования</t>
        </is>
      </c>
      <c r="B24" s="483" t="n">
        <v>86.90000000000001</v>
      </c>
      <c r="C24" s="616" t="n">
        <v>84.90000000000001</v>
      </c>
    </row>
    <row r="25" ht="26.4" customHeight="1" s="216">
      <c r="A25" s="200" t="inlineStr">
        <is>
          <t>производство машин и оборудования, не включенных в другие группировки</t>
        </is>
      </c>
      <c r="B25" s="483" t="n">
        <v>119.8</v>
      </c>
      <c r="C25" s="483" t="n">
        <v>154.9</v>
      </c>
    </row>
    <row r="26" ht="26.4" customHeight="1" s="216">
      <c r="A26" s="200" t="inlineStr">
        <is>
          <t>производство автотранспортных средств, прицепов и полуприцепов</t>
        </is>
      </c>
      <c r="B26" s="483" t="n">
        <v>94.7</v>
      </c>
      <c r="C26" s="483" t="n">
        <v>84.2</v>
      </c>
    </row>
    <row r="27" ht="26.4" customHeight="1" s="216">
      <c r="A27" s="316" t="inlineStr">
        <is>
          <t>производство прочих транспортных средств и оборудования</t>
        </is>
      </c>
      <c r="B27" s="483" t="n">
        <v>105.8</v>
      </c>
      <c r="C27" s="483" t="n">
        <v>136.1</v>
      </c>
    </row>
    <row r="28">
      <c r="A28" s="200" t="inlineStr">
        <is>
          <t>производство мебели</t>
        </is>
      </c>
      <c r="B28" s="483" t="n">
        <v>99.5</v>
      </c>
      <c r="C28" s="483" t="n">
        <v>90.8</v>
      </c>
    </row>
    <row r="29">
      <c r="A29" s="271" t="inlineStr">
        <is>
          <t>производство прочих готовых изделий</t>
        </is>
      </c>
      <c r="B29" s="483" t="n">
        <v>112.9</v>
      </c>
      <c r="C29" s="483" t="n">
        <v>104.7</v>
      </c>
    </row>
    <row r="30">
      <c r="A30" s="200" t="inlineStr">
        <is>
          <t>ремонт и монтаж машин и оборудования</t>
        </is>
      </c>
      <c r="B30" s="483" t="n">
        <v>108</v>
      </c>
      <c r="C30" s="483" t="n">
        <v>128.6</v>
      </c>
    </row>
    <row r="31" ht="26.4" customHeight="1" s="216">
      <c r="A31" s="318" t="inlineStr">
        <is>
          <t>Обеспечение электрической энергией, газом и паром; кондиционирование воздуха</t>
        </is>
      </c>
      <c r="B31" s="483" t="n">
        <v>95</v>
      </c>
      <c r="C31" s="483" t="n">
        <v>97.3</v>
      </c>
    </row>
    <row r="32" ht="39.6" customHeight="1" s="216">
      <c r="A32" s="319" t="inlineStr">
        <is>
          <t>Водоснабжение; водоотведение, организация сбора и утилизации отходов, деятельность по ликвидации загрязнений</t>
        </is>
      </c>
      <c r="B32" s="484" t="n">
        <v>99.09999999999999</v>
      </c>
      <c r="C32" s="484" t="n">
        <v>91.59999999999999</v>
      </c>
    </row>
  </sheetData>
  <mergeCells count="1">
    <mergeCell ref="A1:C1"/>
  </mergeCells>
  <pageMargins left="0.7" right="0.7" top="0.75" bottom="0.75" header="0.3" footer="0.3"/>
  <pageSetup orientation="portrait" paperSize="9"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F40"/>
  <sheetViews>
    <sheetView zoomScale="80" zoomScaleNormal="80" workbookViewId="0">
      <selection activeCell="D6" sqref="D6"/>
    </sheetView>
  </sheetViews>
  <sheetFormatPr baseColWidth="8" defaultRowHeight="13.2"/>
  <cols>
    <col width="42.88671875" customWidth="1" style="216" min="1" max="1"/>
    <col width="16" customWidth="1" style="238" min="2" max="2"/>
    <col width="14.5546875" customWidth="1" style="238" min="3" max="3"/>
    <col width="16" customWidth="1" style="216" min="4" max="5"/>
  </cols>
  <sheetData>
    <row r="1" ht="32.25" customHeight="1" s="216">
      <c r="A1" s="710" t="inlineStr">
        <is>
          <t>Объем отгруженных товаров собственного производства, выполненных работ и услуг собственными силами по отдельным видам экономической деятельности</t>
        </is>
      </c>
    </row>
    <row r="2" ht="13.8" customHeight="1" s="216">
      <c r="A2" s="28" t="n"/>
      <c r="B2" s="238" t="n"/>
      <c r="C2" s="238" t="n"/>
    </row>
    <row r="3">
      <c r="A3" s="661" t="inlineStr">
        <is>
          <t>в действующих ценах</t>
        </is>
      </c>
      <c r="B3" s="756" t="n"/>
      <c r="C3" s="756" t="n"/>
      <c r="D3" s="756" t="n"/>
      <c r="E3" s="756" t="n"/>
    </row>
    <row r="4" ht="13.2" customHeight="1" s="216">
      <c r="A4" s="144" t="n"/>
      <c r="B4" s="757" t="inlineStr">
        <is>
          <t>Август 2025 г.</t>
        </is>
      </c>
      <c r="C4" s="755" t="n"/>
      <c r="D4" s="757" t="inlineStr">
        <is>
          <t>Январь-август 2025 г.</t>
        </is>
      </c>
      <c r="E4" s="755" t="n"/>
    </row>
    <row r="5" ht="79.2" customHeight="1" s="216">
      <c r="A5" s="758" t="n"/>
      <c r="B5" s="688" t="inlineStr">
        <is>
          <t>млн рублей</t>
        </is>
      </c>
      <c r="C5" s="739" t="inlineStr">
        <is>
          <t>в % к соответству-ющему месяцу предыдущего года</t>
        </is>
      </c>
      <c r="D5" s="688" t="inlineStr">
        <is>
          <t>млн рублей</t>
        </is>
      </c>
      <c r="E5" s="672" t="inlineStr">
        <is>
          <t>в % к соответствующему периоду предыдущего года</t>
        </is>
      </c>
    </row>
    <row r="6">
      <c r="A6" s="77" t="inlineStr">
        <is>
          <t>Добыча полезных ископаемых</t>
        </is>
      </c>
      <c r="B6" s="557" t="n">
        <v>23539.7</v>
      </c>
      <c r="C6" s="338" t="n">
        <v>75</v>
      </c>
      <c r="D6" s="556" t="n">
        <v>198354.2</v>
      </c>
      <c r="E6" s="338" t="n">
        <v>82.09999999999999</v>
      </c>
    </row>
    <row r="7">
      <c r="A7" s="55" t="inlineStr">
        <is>
          <t>добыча нефти и природного газа</t>
        </is>
      </c>
      <c r="B7" s="557" t="n">
        <v>20682.8</v>
      </c>
      <c r="C7" s="338" t="n">
        <v>71.59999999999999</v>
      </c>
      <c r="D7" s="556" t="n">
        <v>177670.2</v>
      </c>
      <c r="E7" s="338" t="n">
        <v>79</v>
      </c>
    </row>
    <row r="8">
      <c r="A8" s="78" t="inlineStr">
        <is>
          <t>добыча прочих полезных ископаемых</t>
        </is>
      </c>
      <c r="B8" s="557" t="n">
        <v>454.7</v>
      </c>
      <c r="C8" s="338" t="n">
        <v>118.5</v>
      </c>
      <c r="D8" s="556" t="n">
        <v>2378.1</v>
      </c>
      <c r="E8" s="338" t="n">
        <v>127.9</v>
      </c>
      <c r="F8" s="440" t="n"/>
    </row>
    <row r="9" ht="26.4" customHeight="1" s="216">
      <c r="A9" s="78" t="inlineStr">
        <is>
          <t>предоставление услуг в области добычи полезных ископаемых</t>
        </is>
      </c>
      <c r="B9" s="557" t="n">
        <v>2402.2</v>
      </c>
      <c r="C9" s="338" t="n">
        <v>113.3</v>
      </c>
      <c r="D9" s="556" t="n">
        <v>18305.8</v>
      </c>
      <c r="E9" s="338" t="n">
        <v>122.6</v>
      </c>
      <c r="F9" s="440" t="n"/>
    </row>
    <row r="10">
      <c r="A10" s="77" t="inlineStr">
        <is>
          <t>Обрабатывающие производства</t>
        </is>
      </c>
      <c r="B10" s="557" t="n">
        <v>106141.3</v>
      </c>
      <c r="C10" s="338" t="n">
        <v>87.2</v>
      </c>
      <c r="D10" s="556" t="n">
        <v>912087.2</v>
      </c>
      <c r="E10" s="338" t="n">
        <v>95.8</v>
      </c>
    </row>
    <row r="11">
      <c r="A11" s="85" t="inlineStr">
        <is>
          <t>производство пищевых продуктов</t>
        </is>
      </c>
      <c r="B11" s="608" t="n">
        <v>6287.5</v>
      </c>
      <c r="C11" s="448" t="n">
        <v>109.6</v>
      </c>
      <c r="D11" s="609" t="n">
        <v>49275.4</v>
      </c>
      <c r="E11" s="338" t="n">
        <v>108.3</v>
      </c>
    </row>
    <row r="12">
      <c r="A12" s="85" t="inlineStr">
        <is>
          <t>производство напитков</t>
        </is>
      </c>
      <c r="B12" s="557" t="n">
        <v>203.8</v>
      </c>
      <c r="C12" s="610" t="n">
        <v>121.6</v>
      </c>
      <c r="D12" s="556" t="n">
        <v>1824.5</v>
      </c>
      <c r="E12" s="338" t="n">
        <v>96.40000000000001</v>
      </c>
      <c r="F12" s="440" t="n"/>
    </row>
    <row r="13">
      <c r="A13" s="85" t="inlineStr">
        <is>
          <t>производство текстильных изделий</t>
        </is>
      </c>
      <c r="B13" s="557" t="n">
        <v>21.6</v>
      </c>
      <c r="C13" s="338" t="n">
        <v>74.40000000000001</v>
      </c>
      <c r="D13" s="556" t="n">
        <v>220.3</v>
      </c>
      <c r="E13" s="338" t="n">
        <v>138.2</v>
      </c>
      <c r="F13" s="440" t="n"/>
    </row>
    <row r="14">
      <c r="A14" s="85" t="inlineStr">
        <is>
          <t>производство одежды</t>
        </is>
      </c>
      <c r="B14" s="557" t="n">
        <v>17.4</v>
      </c>
      <c r="C14" s="338" t="n">
        <v>36.7</v>
      </c>
      <c r="D14" s="556" t="n">
        <v>231.9</v>
      </c>
      <c r="E14" s="338" t="n">
        <v>51.3</v>
      </c>
      <c r="F14" s="440" t="n"/>
    </row>
    <row r="15" s="216">
      <c r="A15" s="85" t="inlineStr">
        <is>
          <t>производство кожи и изделий из кожи</t>
        </is>
      </c>
      <c r="B15" s="557" t="n">
        <v>2.3</v>
      </c>
      <c r="C15" s="338" t="inlineStr">
        <is>
          <t>2,1р</t>
        </is>
      </c>
      <c r="D15" s="556" t="n">
        <v>11.5</v>
      </c>
      <c r="E15" s="338" t="n">
        <v>17.2</v>
      </c>
    </row>
    <row r="16" ht="52.8" customHeight="1" s="216">
      <c r="A16" s="85" t="inlineStr">
        <is>
          <t>обработка древесины и производство изделий из дерева и пробки, кроме мебели, производство изделий из соломки и материалов для плетения</t>
        </is>
      </c>
      <c r="B16" s="557" t="n">
        <v>415.4</v>
      </c>
      <c r="C16" s="338" t="n">
        <v>79.09999999999999</v>
      </c>
      <c r="D16" s="556" t="n">
        <v>3429.6</v>
      </c>
      <c r="E16" s="338" t="n">
        <v>114.8</v>
      </c>
      <c r="F16" s="440" t="n"/>
    </row>
    <row r="17">
      <c r="A17" s="85" t="inlineStr">
        <is>
          <t>производство бумаги и бумажных изделий</t>
        </is>
      </c>
      <c r="B17" s="557" t="n">
        <v>307.8</v>
      </c>
      <c r="C17" s="338" t="n">
        <v>93.3</v>
      </c>
      <c r="D17" s="556" t="n">
        <v>3065.8</v>
      </c>
      <c r="E17" s="338" t="n">
        <v>101.5</v>
      </c>
    </row>
    <row r="18" ht="26.4" customHeight="1" s="216">
      <c r="A18" s="85" t="inlineStr">
        <is>
          <t>деятельность полиграфическая и копирование носителей информации</t>
        </is>
      </c>
      <c r="B18" s="557" t="n">
        <v>110.8</v>
      </c>
      <c r="C18" s="338" t="n">
        <v>125.9</v>
      </c>
      <c r="D18" s="556" t="n">
        <v>743.3</v>
      </c>
      <c r="E18" s="338" t="n">
        <v>127.5</v>
      </c>
    </row>
    <row r="19">
      <c r="A19" s="85" t="inlineStr">
        <is>
          <t>производство кокса и нефтепродуктов</t>
        </is>
      </c>
      <c r="B19" s="557" t="n">
        <v>44280.6</v>
      </c>
      <c r="C19" s="338" t="n">
        <v>100.1</v>
      </c>
      <c r="D19" s="556" t="n">
        <v>377424.5</v>
      </c>
      <c r="E19" s="338" t="n">
        <v>115.2</v>
      </c>
    </row>
    <row r="20" ht="26.4" customHeight="1" s="216">
      <c r="A20" s="85" t="inlineStr">
        <is>
          <t>производство химических веществ и химических продуктов</t>
        </is>
      </c>
      <c r="B20" s="557" t="n">
        <v>33868.1</v>
      </c>
      <c r="C20" s="338" t="n">
        <v>71</v>
      </c>
      <c r="D20" s="556" t="n">
        <v>285869</v>
      </c>
      <c r="E20" s="338" t="n">
        <v>71.5</v>
      </c>
    </row>
    <row r="21" ht="39.6" customHeight="1" s="216">
      <c r="A21" s="78" t="inlineStr">
        <is>
          <t>производство лекарственных средств и материалов, применяемых в медицинских целях и ветеринарии</t>
        </is>
      </c>
      <c r="B21" s="557" t="n">
        <v>752.4</v>
      </c>
      <c r="C21" s="338" t="n">
        <v>100.6</v>
      </c>
      <c r="D21" s="556" t="n">
        <v>7375.5</v>
      </c>
      <c r="E21" s="338" t="n">
        <v>125.2</v>
      </c>
    </row>
    <row r="22" ht="26.4" customHeight="1" s="216">
      <c r="A22" s="85" t="inlineStr">
        <is>
          <t>производство резиновых и пластмассовых изделий</t>
        </is>
      </c>
      <c r="B22" s="557" t="n">
        <v>4900.7</v>
      </c>
      <c r="C22" s="338" t="n">
        <v>82.7</v>
      </c>
      <c r="D22" s="556" t="n">
        <v>41320.8</v>
      </c>
      <c r="E22" s="338" t="n">
        <v>95.40000000000001</v>
      </c>
    </row>
    <row r="23" ht="30.6" customHeight="1" s="216">
      <c r="A23" s="199" t="inlineStr">
        <is>
          <t>производство прочей неметаллической минеральной продукции</t>
        </is>
      </c>
      <c r="B23" s="557" t="n">
        <v>3549.3</v>
      </c>
      <c r="C23" s="338" t="n">
        <v>104.5</v>
      </c>
      <c r="D23" s="556" t="n">
        <v>26352.3</v>
      </c>
      <c r="E23" s="338" t="n">
        <v>104.8</v>
      </c>
    </row>
    <row r="24" ht="13.95" customHeight="1" s="216">
      <c r="A24" s="199" t="inlineStr">
        <is>
          <t>производство металлургическое</t>
        </is>
      </c>
      <c r="B24" s="557" t="n">
        <v>3130</v>
      </c>
      <c r="C24" s="338" t="n">
        <v>88.3</v>
      </c>
      <c r="D24" s="556" t="n">
        <v>22583.1</v>
      </c>
      <c r="E24" s="338" t="n">
        <v>84.8</v>
      </c>
    </row>
    <row r="25" ht="27" customHeight="1" s="216">
      <c r="A25" s="85" t="inlineStr">
        <is>
          <t>производство готовых металлических изделий, кроме машин и оборудования</t>
        </is>
      </c>
      <c r="B25" s="557" t="n">
        <v>2386.9</v>
      </c>
      <c r="C25" s="338" t="n">
        <v>105.5</v>
      </c>
      <c r="D25" s="556" t="n">
        <v>20464.1</v>
      </c>
      <c r="E25" s="338" t="n">
        <v>106.9</v>
      </c>
    </row>
    <row r="26" ht="26.4" customHeight="1" s="216">
      <c r="A26" s="85" t="inlineStr">
        <is>
          <t>производство компьютеров, электронных и оптических изделий</t>
        </is>
      </c>
      <c r="B26" s="557" t="n">
        <v>136.6</v>
      </c>
      <c r="C26" s="338" t="n">
        <v>79.8</v>
      </c>
      <c r="D26" s="556" t="n">
        <v>2155.1</v>
      </c>
      <c r="E26" s="338" t="n">
        <v>102.3</v>
      </c>
      <c r="F26" s="440" t="n"/>
    </row>
    <row r="27">
      <c r="A27" s="85" t="inlineStr">
        <is>
          <t>производство электрического оборудования</t>
        </is>
      </c>
      <c r="B27" s="557" t="n">
        <v>1461.7</v>
      </c>
      <c r="C27" s="338" t="n">
        <v>87.3</v>
      </c>
      <c r="D27" s="556" t="n">
        <v>10665</v>
      </c>
      <c r="E27" s="338" t="n">
        <v>84.40000000000001</v>
      </c>
    </row>
    <row r="28" ht="26.4" customHeight="1" s="216">
      <c r="A28" s="85" t="inlineStr">
        <is>
          <t>производство машин и оборудования, не включенных в другие группировки</t>
        </is>
      </c>
      <c r="B28" s="557" t="n">
        <v>1626.8</v>
      </c>
      <c r="C28" s="338" t="n">
        <v>68.90000000000001</v>
      </c>
      <c r="D28" s="556" t="n">
        <v>36060.5</v>
      </c>
      <c r="E28" s="338" t="inlineStr">
        <is>
          <t>2,2р</t>
        </is>
      </c>
      <c r="F28" s="440" t="n"/>
    </row>
    <row r="29" ht="26.4" customHeight="1" s="216">
      <c r="A29" s="85" t="inlineStr">
        <is>
          <t>производство автотранспортных средств, прицепов и полуприцепов</t>
        </is>
      </c>
      <c r="B29" s="557" t="n">
        <v>367.8</v>
      </c>
      <c r="C29" s="610" t="n">
        <v>40.7</v>
      </c>
      <c r="D29" s="556" t="n">
        <v>4148.6</v>
      </c>
      <c r="E29" s="610" t="n">
        <v>76.7</v>
      </c>
    </row>
    <row r="30" ht="26.4" customHeight="1" s="216">
      <c r="A30" s="85" t="inlineStr">
        <is>
          <t>производство прочих транспортных средств и оборудования</t>
        </is>
      </c>
      <c r="B30" s="557" t="n">
        <v>305</v>
      </c>
      <c r="C30" s="338" t="inlineStr">
        <is>
          <t>5,9р</t>
        </is>
      </c>
      <c r="D30" s="556" t="n">
        <v>743.5</v>
      </c>
      <c r="E30" s="338" t="inlineStr">
        <is>
          <t>2р</t>
        </is>
      </c>
    </row>
    <row r="31">
      <c r="A31" s="85" t="inlineStr">
        <is>
          <t>производство мебели</t>
        </is>
      </c>
      <c r="B31" s="557" t="n">
        <v>167.2</v>
      </c>
      <c r="C31" s="338" t="n">
        <v>116.7</v>
      </c>
      <c r="D31" s="556" t="n">
        <v>1288.7</v>
      </c>
      <c r="E31" s="338" t="n">
        <v>106.9</v>
      </c>
    </row>
    <row r="32">
      <c r="A32" s="199" t="inlineStr">
        <is>
          <t>производство прочих готовых изделий</t>
        </is>
      </c>
      <c r="B32" s="557" t="n">
        <v>166.1</v>
      </c>
      <c r="C32" s="338" t="n">
        <v>149.8</v>
      </c>
      <c r="D32" s="556" t="n">
        <v>1126</v>
      </c>
      <c r="E32" s="338" t="n">
        <v>148.9</v>
      </c>
      <c r="F32" s="449" t="n"/>
    </row>
    <row r="33">
      <c r="A33" s="85" t="inlineStr">
        <is>
          <t>ремонт и монтаж машин и оборудования</t>
        </is>
      </c>
      <c r="B33" s="557" t="n">
        <v>1675.6</v>
      </c>
      <c r="C33" s="338" t="n">
        <v>106.1</v>
      </c>
      <c r="D33" s="556" t="n">
        <v>15708.4</v>
      </c>
      <c r="E33" s="338" t="n">
        <v>140.2</v>
      </c>
      <c r="F33" s="449" t="n"/>
    </row>
    <row r="34" ht="26.4" customHeight="1" s="216">
      <c r="A34" s="77" t="inlineStr">
        <is>
          <t>Обеспечение электрической энергией, газом и паром; кондиционирование воздуха</t>
        </is>
      </c>
      <c r="B34" s="557" t="n">
        <v>5174.5</v>
      </c>
      <c r="C34" s="338" t="n">
        <v>130</v>
      </c>
      <c r="D34" s="556" t="n">
        <v>56232</v>
      </c>
      <c r="E34" s="338" t="n">
        <v>122.5</v>
      </c>
    </row>
    <row r="35" ht="39.6" customHeight="1" s="216">
      <c r="A35" s="161" t="inlineStr">
        <is>
          <t>Водоснабжение; водоотведение, организация сбора и утилизации отходов, деятельность по ликвидации загрязнений</t>
        </is>
      </c>
      <c r="B35" s="611" t="n">
        <v>3024.7</v>
      </c>
      <c r="C35" s="367" t="n">
        <v>97.5</v>
      </c>
      <c r="D35" s="612" t="n">
        <v>19764.2</v>
      </c>
      <c r="E35" s="367" t="n">
        <v>92.7</v>
      </c>
    </row>
    <row r="37">
      <c r="B37" s="238" t="n"/>
      <c r="C37" s="238" t="n"/>
    </row>
    <row r="38">
      <c r="B38" s="238" t="n"/>
      <c r="C38" s="238" t="n"/>
    </row>
    <row r="39">
      <c r="B39" s="238" t="n"/>
      <c r="C39" s="238" t="n"/>
    </row>
    <row r="40">
      <c r="B40" s="238" t="n"/>
      <c r="C40" s="238" t="n"/>
    </row>
  </sheetData>
  <mergeCells count="5">
    <mergeCell ref="A4:A5"/>
    <mergeCell ref="A1:E1"/>
    <mergeCell ref="D4:E4"/>
    <mergeCell ref="B4:C4"/>
    <mergeCell ref="A3:E3"/>
  </mergeCells>
  <pageMargins left="0.7" right="0.7" top="0.75" bottom="0.75" header="0.3" footer="0.3"/>
  <pageSetup orientation="portrait" paperSize="9" scale="84"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colBreaks count="1" manualBreakCount="1">
    <brk id="5" min="0" max="1048575" man="1"/>
  </colBreaks>
</worksheet>
</file>

<file path=xl/worksheets/sheet10.xml><?xml version="1.0" encoding="utf-8"?>
<worksheet xmlns="http://schemas.openxmlformats.org/spreadsheetml/2006/main">
  <sheetPr>
    <outlinePr summaryBelow="1" summaryRight="1"/>
    <pageSetUpPr fitToPage="1"/>
  </sheetPr>
  <dimension ref="A1:G63"/>
  <sheetViews>
    <sheetView zoomScale="80" zoomScaleNormal="80" workbookViewId="0">
      <selection activeCell="D6" sqref="D6"/>
    </sheetView>
  </sheetViews>
  <sheetFormatPr baseColWidth="8" defaultRowHeight="13.2"/>
  <cols>
    <col width="32.88671875" customWidth="1" style="216" min="1" max="1"/>
    <col width="13.88671875" customWidth="1" style="216" min="2" max="2"/>
    <col width="14.33203125" customWidth="1" style="216" min="3" max="3"/>
    <col width="14.77734375" customWidth="1" style="216" min="4" max="4"/>
    <col width="15.33203125" customWidth="1" style="216" min="5" max="5"/>
    <col width="14.5546875" customWidth="1" style="216" min="6" max="6"/>
    <col width="5.109375" customWidth="1" style="216" min="7" max="7"/>
  </cols>
  <sheetData>
    <row r="1" ht="13.8" customHeight="1" s="216">
      <c r="A1" s="694" t="inlineStr">
        <is>
          <t>Производство основных видов продукции</t>
        </is>
      </c>
    </row>
    <row r="2">
      <c r="A2" s="493" t="n"/>
    </row>
    <row r="3" ht="13.2" customHeight="1" s="216">
      <c r="A3" s="759" t="n"/>
      <c r="B3" s="672" t="inlineStr">
        <is>
          <t>Август 2025 г.</t>
        </is>
      </c>
      <c r="C3" s="673" t="inlineStr">
        <is>
          <t>В % к</t>
        </is>
      </c>
      <c r="D3" s="755" t="n"/>
      <c r="E3" s="672" t="inlineStr">
        <is>
          <t>Январь-август 2025 г.</t>
        </is>
      </c>
      <c r="F3" s="672" t="inlineStr">
        <is>
          <t>В % к 
соответст-вующему периоду преды-дущего года</t>
        </is>
      </c>
    </row>
    <row r="4" ht="54.6" customHeight="1" s="216">
      <c r="A4" s="758" t="n"/>
      <c r="B4" s="758" t="n"/>
      <c r="C4" s="730" t="inlineStr">
        <is>
          <t>предыдущему месяцу</t>
        </is>
      </c>
      <c r="D4" s="739" t="inlineStr">
        <is>
          <t>соответст-вующему месяцу преды-дущего года</t>
        </is>
      </c>
      <c r="E4" s="758" t="n"/>
      <c r="F4" s="758" t="n"/>
    </row>
    <row r="5" ht="13.2" customHeight="1" s="216">
      <c r="A5" s="77" t="inlineStr">
        <is>
          <t>Добыча полезных ископаемых</t>
        </is>
      </c>
      <c r="B5" s="559" t="n"/>
      <c r="C5" s="108" t="n"/>
      <c r="D5" s="559" t="n"/>
      <c r="E5" s="560" t="n"/>
      <c r="F5" s="599" t="n"/>
      <c r="G5" s="440" t="n"/>
    </row>
    <row r="6">
      <c r="A6" s="696" t="inlineStr">
        <is>
          <t>Добыча нефти и природного газа</t>
        </is>
      </c>
      <c r="B6" s="559" t="n"/>
      <c r="C6" s="108" t="n"/>
      <c r="D6" s="559" t="n"/>
      <c r="E6" s="599" t="n"/>
      <c r="F6" s="599" t="n"/>
      <c r="G6" s="440" t="n"/>
    </row>
    <row r="7" ht="42" customHeight="1" s="216">
      <c r="A7" s="251" t="inlineStr">
        <is>
          <t>газ нефтяной попутный (газ горючий природный нефтяных месторождений), млн м3</t>
        </is>
      </c>
      <c r="B7" s="559" t="n">
        <v>27</v>
      </c>
      <c r="C7" s="108" t="n">
        <v>118.8</v>
      </c>
      <c r="D7" s="559" t="n">
        <v>109.5</v>
      </c>
      <c r="E7" s="559" t="n">
        <v>179</v>
      </c>
      <c r="F7" s="559" t="n">
        <v>89</v>
      </c>
      <c r="G7" s="440" t="n"/>
    </row>
    <row r="8" ht="17.4" customHeight="1" s="216">
      <c r="A8" s="70" t="inlineStr">
        <is>
          <t>Добыча прочих полезных ископаемых</t>
        </is>
      </c>
      <c r="B8" s="559" t="n"/>
      <c r="C8" s="108" t="n"/>
      <c r="D8" s="559" t="n"/>
      <c r="E8" s="559" t="n"/>
      <c r="F8" s="559" t="n"/>
      <c r="G8" s="440" t="n"/>
    </row>
    <row r="9" ht="15.6" customHeight="1" s="216">
      <c r="A9" s="78" t="inlineStr">
        <is>
          <t>пески природные, тыс. м3</t>
        </is>
      </c>
      <c r="B9" s="559" t="n">
        <v>1398.6</v>
      </c>
      <c r="C9" s="108" t="n">
        <v>181.5</v>
      </c>
      <c r="D9" s="559" t="n">
        <v>106.3</v>
      </c>
      <c r="E9" s="559" t="n">
        <v>4902.1</v>
      </c>
      <c r="F9" s="559" t="n">
        <v>99.40000000000001</v>
      </c>
      <c r="G9" s="440" t="n"/>
    </row>
    <row r="10">
      <c r="A10" s="77" t="inlineStr">
        <is>
          <t>Обрабатывающие производства</t>
        </is>
      </c>
      <c r="B10" s="559" t="n"/>
      <c r="C10" s="108" t="n"/>
      <c r="D10" s="559" t="n"/>
      <c r="E10" s="559" t="n"/>
      <c r="F10" s="559" t="n"/>
      <c r="G10" s="440" t="n"/>
    </row>
    <row r="11">
      <c r="A11" s="70" t="inlineStr">
        <is>
          <t>Производство пищевых продуктов</t>
        </is>
      </c>
      <c r="B11" s="559" t="n"/>
      <c r="C11" s="108" t="n"/>
      <c r="D11" s="559" t="n"/>
      <c r="E11" s="559" t="n"/>
      <c r="F11" s="559" t="n"/>
      <c r="G11" s="440" t="n"/>
    </row>
    <row r="12" ht="13.2" customHeight="1" s="216">
      <c r="A12" s="225" t="inlineStr">
        <is>
          <t>говядина, кроме субпродуктов, тонн</t>
        </is>
      </c>
      <c r="B12" s="559" t="n">
        <v>311.9</v>
      </c>
      <c r="C12" s="108" t="n">
        <v>108.2</v>
      </c>
      <c r="D12" s="559" t="n">
        <v>87.09999999999999</v>
      </c>
      <c r="E12" s="559" t="n">
        <v>2472</v>
      </c>
      <c r="F12" s="559" t="n">
        <v>91.90000000000001</v>
      </c>
      <c r="G12" s="440" t="n"/>
    </row>
    <row r="13" ht="15.6" customHeight="1" s="216">
      <c r="A13" s="225" t="inlineStr">
        <is>
          <t>свинина, кроме субпродуктов, тонн</t>
        </is>
      </c>
      <c r="B13" s="559" t="n">
        <v>2518.7</v>
      </c>
      <c r="C13" s="108" t="n">
        <v>97.90000000000001</v>
      </c>
      <c r="D13" s="559" t="n">
        <v>103.1</v>
      </c>
      <c r="E13" s="559" t="n">
        <v>18815.8</v>
      </c>
      <c r="F13" s="559" t="n">
        <v>98.8</v>
      </c>
      <c r="G13" s="440" t="n"/>
    </row>
    <row r="14" ht="26.4" customHeight="1" s="216">
      <c r="A14" s="85" t="inlineStr">
        <is>
          <t>мясо и субпродукты пищевые домашней птицы, тонн</t>
        </is>
      </c>
      <c r="B14" s="559" t="n">
        <v>7081.7</v>
      </c>
      <c r="C14" s="108" t="n">
        <v>104.2</v>
      </c>
      <c r="D14" s="559" t="n">
        <v>93.59999999999999</v>
      </c>
      <c r="E14" s="559" t="n">
        <v>55020.5</v>
      </c>
      <c r="F14" s="559" t="n">
        <v>96.90000000000001</v>
      </c>
      <c r="G14" s="440" t="n"/>
    </row>
    <row r="15" ht="39.6" customHeight="1" s="216">
      <c r="A15" s="199" t="inlineStr">
        <is>
          <t>полуфабрикаты мясные, мясосодержащие, охлажденные, замороженные, тонн</t>
        </is>
      </c>
      <c r="B15" s="559" t="n">
        <v>5737.1</v>
      </c>
      <c r="C15" s="108" t="n">
        <v>103.1</v>
      </c>
      <c r="D15" s="559" t="n">
        <v>93</v>
      </c>
      <c r="E15" s="559" t="n">
        <v>45110.7</v>
      </c>
      <c r="F15" s="559" t="n">
        <v>98.2</v>
      </c>
      <c r="G15" s="440" t="n"/>
    </row>
    <row r="16" ht="39.6" customHeight="1" s="216">
      <c r="A16" s="85" t="inlineStr">
        <is>
          <t>изделия колбасные, включая изделия колбасные для детского питания, тонн</t>
        </is>
      </c>
      <c r="B16" s="559" t="n">
        <v>866.4</v>
      </c>
      <c r="C16" s="108" t="n">
        <v>85.3</v>
      </c>
      <c r="D16" s="559" t="n">
        <v>99.59999999999999</v>
      </c>
      <c r="E16" s="559" t="n">
        <v>7259.9</v>
      </c>
      <c r="F16" s="559" t="n">
        <v>101.2</v>
      </c>
      <c r="G16" s="440" t="n"/>
    </row>
    <row r="17" ht="39.6" customHeight="1" s="216">
      <c r="A17" s="85" t="inlineStr">
        <is>
          <t>рыба переработанная и консервированная, ракообразные и моллюски, тонн</t>
        </is>
      </c>
      <c r="B17" s="559" t="n">
        <v>87.3</v>
      </c>
      <c r="C17" s="108" t="n">
        <v>83.5</v>
      </c>
      <c r="D17" s="559" t="n">
        <v>92.09999999999999</v>
      </c>
      <c r="E17" s="559" t="n">
        <v>1185.1</v>
      </c>
      <c r="F17" s="559" t="n">
        <v>85.8</v>
      </c>
      <c r="G17" s="440" t="n"/>
    </row>
    <row r="18" ht="39.6" customHeight="1" s="216">
      <c r="A18" s="85" t="inlineStr">
        <is>
          <t>молоко жидкое обработанное, включая молоко для детского питания, тонн</t>
        </is>
      </c>
      <c r="B18" s="559" t="n">
        <v>10812.7</v>
      </c>
      <c r="C18" s="108" t="n">
        <v>112.4</v>
      </c>
      <c r="D18" s="559" t="n">
        <v>107.6</v>
      </c>
      <c r="E18" s="559" t="n">
        <v>82132.8</v>
      </c>
      <c r="F18" s="559" t="n">
        <v>98.40000000000001</v>
      </c>
      <c r="G18" s="440" t="n"/>
    </row>
    <row r="19">
      <c r="A19" s="85" t="inlineStr">
        <is>
          <t>сливки, тонн</t>
        </is>
      </c>
      <c r="B19" s="559" t="n">
        <v>471.8</v>
      </c>
      <c r="C19" s="108" t="n">
        <v>85.90000000000001</v>
      </c>
      <c r="D19" s="559" t="n">
        <v>47.6</v>
      </c>
      <c r="E19" s="559" t="n">
        <v>5265.2</v>
      </c>
      <c r="F19" s="559" t="n">
        <v>56</v>
      </c>
      <c r="G19" s="440" t="n"/>
    </row>
    <row r="20" ht="39.6" customHeight="1" s="216">
      <c r="A20" s="199" t="inlineStr">
        <is>
          <t>масло сливочное, в том числе с пищевкусовыми компонентами, тонн</t>
        </is>
      </c>
      <c r="B20" s="559" t="n">
        <v>83.59999999999999</v>
      </c>
      <c r="C20" s="108" t="n">
        <v>77.3</v>
      </c>
      <c r="D20" s="559" t="n">
        <v>62.7</v>
      </c>
      <c r="E20" s="559" t="n">
        <v>677.8</v>
      </c>
      <c r="F20" s="559" t="n">
        <v>90</v>
      </c>
      <c r="G20" s="440" t="n"/>
    </row>
    <row r="21">
      <c r="A21" s="85" t="inlineStr">
        <is>
          <t>сыры, тонн</t>
        </is>
      </c>
      <c r="B21" s="559" t="n">
        <v>131.2</v>
      </c>
      <c r="C21" s="108" t="n">
        <v>101.4</v>
      </c>
      <c r="D21" s="559" t="n">
        <v>100.2</v>
      </c>
      <c r="E21" s="559" t="n">
        <v>785.6</v>
      </c>
      <c r="F21" s="559" t="n">
        <v>95.59999999999999</v>
      </c>
      <c r="G21" s="440" t="n"/>
    </row>
    <row r="22">
      <c r="A22" s="85" t="inlineStr">
        <is>
          <t>творог, тонн</t>
        </is>
      </c>
      <c r="B22" s="559" t="n">
        <v>1099.4</v>
      </c>
      <c r="C22" s="108" t="n">
        <v>104.3</v>
      </c>
      <c r="D22" s="559" t="n">
        <v>106</v>
      </c>
      <c r="E22" s="559" t="n">
        <v>9359.5</v>
      </c>
      <c r="F22" s="559" t="n">
        <v>108.1</v>
      </c>
      <c r="G22" s="440" t="n"/>
    </row>
    <row r="23" ht="39.6" customHeight="1" s="216">
      <c r="A23" s="85" t="inlineStr">
        <is>
          <t>продукты кисломолочные (кроме творога и продуктов из творога), тонн</t>
        </is>
      </c>
      <c r="B23" s="559" t="n">
        <v>3206.3</v>
      </c>
      <c r="C23" s="108" t="n">
        <v>99.7</v>
      </c>
      <c r="D23" s="559" t="n">
        <v>100.8</v>
      </c>
      <c r="E23" s="559" t="n">
        <v>26507</v>
      </c>
      <c r="F23" s="559" t="n">
        <v>93.59999999999999</v>
      </c>
      <c r="G23" s="440" t="n"/>
    </row>
    <row r="24" ht="26.4" customHeight="1" s="216">
      <c r="A24" s="85" t="inlineStr">
        <is>
          <t>хлеб и хлебобулочные изделия недлительного хранения, тонн</t>
        </is>
      </c>
      <c r="B24" s="559" t="n">
        <v>3365.9</v>
      </c>
      <c r="C24" s="108" t="n">
        <v>98.7</v>
      </c>
      <c r="D24" s="559" t="n">
        <v>93.59999999999999</v>
      </c>
      <c r="E24" s="559" t="n">
        <v>27182.5</v>
      </c>
      <c r="F24" s="559" t="n">
        <v>94.40000000000001</v>
      </c>
      <c r="G24" s="440" t="n"/>
    </row>
    <row r="25">
      <c r="A25" s="85" t="inlineStr">
        <is>
          <t>кондитерские изделия, тонн</t>
        </is>
      </c>
      <c r="B25" s="559" t="n">
        <v>1619.9</v>
      </c>
      <c r="C25" s="108" t="n">
        <v>108.2</v>
      </c>
      <c r="D25" s="559" t="n">
        <v>117.5</v>
      </c>
      <c r="E25" s="559" t="n">
        <v>12148.3</v>
      </c>
      <c r="F25" s="559" t="n">
        <v>109.3</v>
      </c>
      <c r="G25" s="440" t="n"/>
    </row>
    <row r="26">
      <c r="A26" s="70" t="inlineStr">
        <is>
          <t>Производство напитков</t>
        </is>
      </c>
      <c r="B26" s="559" t="n"/>
      <c r="C26" s="108" t="n"/>
      <c r="D26" s="559" t="n"/>
      <c r="E26" s="559" t="n"/>
      <c r="F26" s="559" t="n"/>
      <c r="G26" s="440" t="n"/>
    </row>
    <row r="27" ht="79.2" customHeight="1" s="216">
      <c r="A27" s="55" t="inlineStr">
        <is>
          <t>воды минеральные природные упакованные, воды питьевые упакованные, не содержащие сахара, подсластителей, ароматизаторов и других пищевых веществ, тыс. полул.</t>
        </is>
      </c>
      <c r="B27" s="559" t="n">
        <v>11480</v>
      </c>
      <c r="C27" s="108" t="n">
        <v>93.2</v>
      </c>
      <c r="D27" s="559" t="n">
        <v>105.1</v>
      </c>
      <c r="E27" s="559" t="n">
        <v>91729</v>
      </c>
      <c r="F27" s="559" t="n">
        <v>98.2</v>
      </c>
    </row>
    <row r="28">
      <c r="A28" s="70" t="inlineStr">
        <is>
          <t>Производство одежды</t>
        </is>
      </c>
      <c r="B28" s="559" t="n"/>
      <c r="C28" s="108" t="n"/>
      <c r="D28" s="559" t="n"/>
      <c r="E28" s="559" t="n"/>
      <c r="F28" s="559" t="n"/>
    </row>
    <row r="29">
      <c r="A29" s="78" t="inlineStr">
        <is>
          <t>спецодежда, тыс. штук</t>
        </is>
      </c>
      <c r="B29" s="559" t="n">
        <v>335.2</v>
      </c>
      <c r="C29" s="108" t="n">
        <v>107.4</v>
      </c>
      <c r="D29" s="559" t="n">
        <v>99.09999999999999</v>
      </c>
      <c r="E29" s="559" t="n">
        <v>2847.2</v>
      </c>
      <c r="F29" s="559" t="n">
        <v>100</v>
      </c>
    </row>
    <row r="30" ht="26.4" customHeight="1" s="216">
      <c r="A30" s="70" t="inlineStr">
        <is>
          <t>Производство кожи и изделий из кожи</t>
        </is>
      </c>
      <c r="B30" s="559" t="n"/>
      <c r="C30" s="108" t="n"/>
      <c r="D30" s="559" t="n"/>
      <c r="E30" s="559" t="n"/>
      <c r="F30" s="559" t="n"/>
    </row>
    <row r="31">
      <c r="A31" s="78" t="inlineStr">
        <is>
          <t>обувь, тыс. пар</t>
        </is>
      </c>
      <c r="B31" s="562" t="n">
        <v>1.7</v>
      </c>
      <c r="C31" s="108" t="inlineStr">
        <is>
          <t>2,7р</t>
        </is>
      </c>
      <c r="D31" s="633" t="inlineStr">
        <is>
          <t>…</t>
        </is>
      </c>
      <c r="E31" s="562" t="n">
        <v>4.4</v>
      </c>
      <c r="F31" s="559" t="n">
        <v>95</v>
      </c>
    </row>
    <row r="32" ht="66" customHeight="1" s="216">
      <c r="A32" s="70" t="inlineStr">
        <is>
          <t>Обработка древесины и производство изделий из дерева и пробки, кроме мебели, производство изделий из соломки и материалов для плетения</t>
        </is>
      </c>
      <c r="B32" s="559" t="n"/>
      <c r="C32" s="108" t="n"/>
      <c r="D32" s="559" t="n"/>
      <c r="E32" s="559" t="n"/>
      <c r="F32" s="559" t="n"/>
    </row>
    <row r="33" ht="83.40000000000001" customHeight="1" s="216">
      <c r="A33" s="78" t="inlineStr">
        <is>
          <t>лесоматериалы, продольно распиленные или расколотые, разделенные на слои или лущеные, толщиной более 6 мм; деревянные железнодорожные или трамвайные шпалы, непропитанные, тыс. м3</t>
        </is>
      </c>
      <c r="B33" s="559" t="n">
        <v>16.6</v>
      </c>
      <c r="C33" s="108" t="n">
        <v>105.3</v>
      </c>
      <c r="D33" s="559" t="n">
        <v>95.09999999999999</v>
      </c>
      <c r="E33" s="559" t="n">
        <v>119.4</v>
      </c>
      <c r="F33" s="559" t="n">
        <v>100.9</v>
      </c>
    </row>
    <row r="34" ht="15.6" customHeight="1" s="216">
      <c r="A34" s="78" t="inlineStr">
        <is>
          <t>фанера, м3</t>
        </is>
      </c>
      <c r="B34" s="562" t="inlineStr">
        <is>
          <t>...</t>
        </is>
      </c>
      <c r="C34" s="108" t="n">
        <v>69.3</v>
      </c>
      <c r="D34" s="559" t="n">
        <v>66.3</v>
      </c>
      <c r="E34" s="562" t="inlineStr">
        <is>
          <t>...</t>
        </is>
      </c>
      <c r="F34" s="559" t="n">
        <v>94.5</v>
      </c>
    </row>
    <row r="35" ht="28.8" customHeight="1" s="216">
      <c r="A35" s="251" t="inlineStr">
        <is>
          <t>двери, их коробки и пороги деревянные, тыс. м2</t>
        </is>
      </c>
      <c r="B35" s="562" t="n">
        <v>30</v>
      </c>
      <c r="C35" s="108" t="inlineStr">
        <is>
          <t>…</t>
        </is>
      </c>
      <c r="D35" s="559" t="n">
        <v>99.90000000000001</v>
      </c>
      <c r="E35" s="562" t="n">
        <v>177</v>
      </c>
      <c r="F35" s="559" t="n">
        <v>100</v>
      </c>
    </row>
    <row r="36" ht="26.4" customHeight="1" s="216">
      <c r="A36" s="70" t="inlineStr">
        <is>
          <t>Производство химических веществ и химических продуктов</t>
        </is>
      </c>
      <c r="B36" s="559" t="n"/>
      <c r="C36" s="108" t="n"/>
      <c r="D36" s="559" t="n"/>
      <c r="E36" s="559" t="n"/>
      <c r="F36" s="559" t="n"/>
    </row>
    <row r="37" ht="26.4" customHeight="1" s="216">
      <c r="A37" s="199" t="inlineStr">
        <is>
          <t>пластмассы в первичных формах, тонн</t>
        </is>
      </c>
      <c r="B37" s="562" t="n">
        <v>241449.2</v>
      </c>
      <c r="C37" s="108" t="n">
        <v>101.4</v>
      </c>
      <c r="D37" s="559" t="n">
        <v>99.8</v>
      </c>
      <c r="E37" s="562" t="n">
        <v>1722688</v>
      </c>
      <c r="F37" s="559" t="n">
        <v>97.40000000000001</v>
      </c>
    </row>
    <row r="38" ht="45" customHeight="1" s="216">
      <c r="A38" s="201" t="inlineStr">
        <is>
          <t>Производство лекарственных средств и материалов, применяемых в медицинских целях и ветеринарии</t>
        </is>
      </c>
      <c r="B38" s="559" t="n"/>
      <c r="C38" s="108" t="n"/>
      <c r="D38" s="559" t="n"/>
      <c r="E38" s="559" t="n"/>
      <c r="F38" s="559" t="n"/>
    </row>
    <row r="39" ht="26.4" customHeight="1" s="216">
      <c r="A39" s="85" t="inlineStr">
        <is>
          <t>препараты лекарственные, тыс. рублей</t>
        </is>
      </c>
      <c r="B39" s="562" t="inlineStr">
        <is>
          <t>...</t>
        </is>
      </c>
      <c r="C39" s="108" t="n">
        <v>107.2</v>
      </c>
      <c r="D39" s="559" t="n">
        <v>114.8</v>
      </c>
      <c r="E39" s="562" t="inlineStr">
        <is>
          <t>...</t>
        </is>
      </c>
      <c r="F39" s="559" t="n">
        <v>105.1</v>
      </c>
    </row>
    <row r="40" ht="26.4" customHeight="1" s="216">
      <c r="A40" s="70" t="inlineStr">
        <is>
          <t>Производство резиновых и пластмассовых изделий</t>
        </is>
      </c>
      <c r="B40" s="559" t="n"/>
      <c r="C40" s="108" t="n"/>
      <c r="D40" s="559" t="n"/>
      <c r="E40" s="559" t="n"/>
      <c r="F40" s="559" t="n"/>
    </row>
    <row r="41" ht="26.4" customHeight="1" s="216">
      <c r="A41" s="55" t="inlineStr">
        <is>
          <t>трубы, трубки и шланги и их фитинги пластмассовые, тонн</t>
        </is>
      </c>
      <c r="B41" s="559" t="n">
        <v>2250.3</v>
      </c>
      <c r="C41" s="108" t="n">
        <v>94</v>
      </c>
      <c r="D41" s="559" t="n">
        <v>80.59999999999999</v>
      </c>
      <c r="E41" s="559" t="n">
        <v>16374.7</v>
      </c>
      <c r="F41" s="559" t="n">
        <v>85.09999999999999</v>
      </c>
    </row>
    <row r="42" ht="39.6" customHeight="1" s="216">
      <c r="A42" s="70" t="inlineStr">
        <is>
          <t>Производство прочей неметаллической минеральной продукции</t>
        </is>
      </c>
      <c r="B42" s="559" t="n"/>
      <c r="C42" s="108" t="n"/>
      <c r="D42" s="559" t="n"/>
      <c r="E42" s="559" t="n"/>
      <c r="F42" s="559" t="n"/>
    </row>
    <row r="43">
      <c r="A43" s="78" t="inlineStr">
        <is>
          <t>бутылки стеклянные, млн штук</t>
        </is>
      </c>
      <c r="B43" s="562" t="inlineStr">
        <is>
          <t>...</t>
        </is>
      </c>
      <c r="C43" s="108" t="n">
        <v>100.1</v>
      </c>
      <c r="D43" s="559" t="n">
        <v>109.5</v>
      </c>
      <c r="E43" s="562" t="inlineStr">
        <is>
          <t>...</t>
        </is>
      </c>
      <c r="F43" s="559" t="n">
        <v>105.4</v>
      </c>
    </row>
    <row r="44" ht="52.8" customHeight="1" s="216">
      <c r="A44" s="55" t="inlineStr">
        <is>
          <t>кирпич строительный (включая камни) из цемента, бетона или искусственного камня, млн условных кирпичей</t>
        </is>
      </c>
      <c r="B44" s="562" t="inlineStr">
        <is>
          <t>...</t>
        </is>
      </c>
      <c r="C44" s="108" t="n">
        <v>104.6</v>
      </c>
      <c r="D44" s="559" t="n">
        <v>112.3</v>
      </c>
      <c r="E44" s="558" t="inlineStr">
        <is>
          <t>...</t>
        </is>
      </c>
      <c r="F44" s="558" t="inlineStr">
        <is>
          <t>...</t>
        </is>
      </c>
    </row>
    <row r="45" ht="68.40000000000001" customHeight="1" s="216">
      <c r="A45" s="55" t="inlineStr">
        <is>
          <t>блоки и прочие изделия сборные строительные для зданий и сооружений из цемента, бетона или искусственного камня, тыс. м3</t>
        </is>
      </c>
      <c r="B45" s="559" t="n">
        <v>46</v>
      </c>
      <c r="C45" s="108" t="n">
        <v>91.2</v>
      </c>
      <c r="D45" s="559" t="n">
        <v>86.09999999999999</v>
      </c>
      <c r="E45" s="559" t="n">
        <v>333.3</v>
      </c>
      <c r="F45" s="559" t="n">
        <v>86.3</v>
      </c>
    </row>
    <row r="46">
      <c r="A46" s="70" t="inlineStr">
        <is>
          <t>Производство металлургическое</t>
        </is>
      </c>
      <c r="B46" s="559" t="n"/>
      <c r="C46" s="108" t="n"/>
      <c r="D46" s="559" t="n"/>
      <c r="E46" s="559" t="n"/>
      <c r="F46" s="559" t="n"/>
    </row>
    <row r="47">
      <c r="A47" s="55" t="inlineStr">
        <is>
          <t>прокат готовый, тонн</t>
        </is>
      </c>
      <c r="B47" s="562" t="inlineStr">
        <is>
          <t>...</t>
        </is>
      </c>
      <c r="C47" s="108" t="n">
        <v>115.2</v>
      </c>
      <c r="D47" s="559" t="n">
        <v>101.9</v>
      </c>
      <c r="E47" s="562" t="inlineStr">
        <is>
          <t>...</t>
        </is>
      </c>
      <c r="F47" s="559" t="n">
        <v>92.5</v>
      </c>
    </row>
    <row r="48" ht="30" customHeight="1" s="216">
      <c r="A48" s="696" t="inlineStr">
        <is>
          <t>Производство компьютеров, электронных и оптических изделий</t>
        </is>
      </c>
      <c r="B48" s="559" t="n"/>
      <c r="C48" s="108" t="n"/>
      <c r="D48" s="559" t="n"/>
      <c r="E48" s="559" t="n"/>
      <c r="F48" s="559" t="n"/>
    </row>
    <row r="49" ht="33" customHeight="1" s="216">
      <c r="A49" s="55" t="inlineStr">
        <is>
          <t>приборы для контроля прочих физических величин, тыс. рублей</t>
        </is>
      </c>
      <c r="B49" s="562" t="inlineStr">
        <is>
          <t>...</t>
        </is>
      </c>
      <c r="C49" s="108" t="n">
        <v>140</v>
      </c>
      <c r="D49" s="559" t="n">
        <v>76.3</v>
      </c>
      <c r="E49" s="108" t="n">
        <v>292824</v>
      </c>
      <c r="F49" s="588" t="inlineStr">
        <is>
          <t>…</t>
        </is>
      </c>
    </row>
    <row r="50" ht="26.4" customHeight="1" s="216">
      <c r="A50" s="70" t="inlineStr">
        <is>
          <t>Производство электрического оборудования</t>
        </is>
      </c>
      <c r="B50" s="559" t="n"/>
      <c r="C50" s="108" t="n"/>
      <c r="D50" s="559" t="n"/>
      <c r="E50" s="559" t="n"/>
      <c r="F50" s="559" t="n"/>
    </row>
    <row r="51" ht="39.6" customHeight="1" s="216">
      <c r="A51" s="78" t="inlineStr">
        <is>
          <t>аккумуляторы свинцовые для запуска поршневых двигателей, тыс. штук</t>
        </is>
      </c>
      <c r="B51" s="562" t="inlineStr">
        <is>
          <t>...</t>
        </is>
      </c>
      <c r="C51" s="576" t="inlineStr">
        <is>
          <t>…</t>
        </is>
      </c>
      <c r="D51" s="588" t="inlineStr">
        <is>
          <t>…</t>
        </is>
      </c>
      <c r="E51" s="562" t="n">
        <v>1076.1</v>
      </c>
      <c r="F51" s="559" t="n">
        <v>67.09999999999999</v>
      </c>
    </row>
    <row r="52" ht="39.6" customHeight="1" s="216">
      <c r="A52" s="70" t="inlineStr">
        <is>
          <t>Производство машин и оборудования, не включенных в другие группировки</t>
        </is>
      </c>
      <c r="B52" s="559" t="n"/>
      <c r="C52" s="108" t="n"/>
      <c r="D52" s="559" t="n"/>
      <c r="E52" s="559" t="n"/>
      <c r="F52" s="559" t="n"/>
    </row>
    <row r="53" ht="39.6" customHeight="1" s="216">
      <c r="A53" s="78" t="inlineStr">
        <is>
          <t>насосы центробежные подачи жидкостей прочие; насосы прочие, штук</t>
        </is>
      </c>
      <c r="B53" s="562" t="inlineStr">
        <is>
          <t>...</t>
        </is>
      </c>
      <c r="C53" s="108" t="n">
        <v>138.9</v>
      </c>
      <c r="D53" s="588" t="n">
        <v>20.7</v>
      </c>
      <c r="E53" s="562" t="inlineStr">
        <is>
          <t>...</t>
        </is>
      </c>
      <c r="F53" s="588" t="n">
        <v>61.2</v>
      </c>
    </row>
    <row r="54" ht="26.4" customHeight="1" s="216">
      <c r="A54" s="70" t="inlineStr">
        <is>
          <t>Производство автотранспортных средств, прицепов и полуприцепов</t>
        </is>
      </c>
      <c r="B54" s="559" t="n"/>
      <c r="C54" s="108" t="n"/>
      <c r="D54" s="559" t="n"/>
      <c r="E54" s="559" t="n"/>
      <c r="F54" s="559" t="n"/>
    </row>
    <row r="55" ht="39.6" customHeight="1" s="216">
      <c r="A55" s="55" t="inlineStr">
        <is>
          <t>прицепы и полуприцепы прочие, не включенные в другие группировки, штук</t>
        </is>
      </c>
      <c r="B55" s="562" t="n">
        <v>13</v>
      </c>
      <c r="C55" s="108" t="n">
        <v>56.5</v>
      </c>
      <c r="D55" s="562" t="inlineStr">
        <is>
          <t>...</t>
        </is>
      </c>
      <c r="E55" s="562" t="n">
        <v>105</v>
      </c>
      <c r="F55" s="588" t="n">
        <v>77.8</v>
      </c>
    </row>
    <row r="56">
      <c r="A56" s="70" t="inlineStr">
        <is>
          <t>Производство мебели</t>
        </is>
      </c>
      <c r="B56" s="559" t="n"/>
      <c r="C56" s="108" t="n"/>
      <c r="D56" s="559" t="n"/>
      <c r="E56" s="559" t="n"/>
      <c r="F56" s="559" t="n"/>
    </row>
    <row r="57">
      <c r="A57" s="78" t="inlineStr">
        <is>
          <t xml:space="preserve">мебель, тыс. рублей </t>
        </is>
      </c>
      <c r="B57" s="566" t="n">
        <v>243347</v>
      </c>
      <c r="C57" s="108" t="n">
        <v>98.09999999999999</v>
      </c>
      <c r="D57" s="559" t="n">
        <v>93.7</v>
      </c>
      <c r="E57" s="566" t="n">
        <v>1750787</v>
      </c>
      <c r="F57" s="559" t="n">
        <v>90.09999999999999</v>
      </c>
    </row>
    <row r="58" ht="26.4" customHeight="1" s="216">
      <c r="A58" s="70" t="inlineStr">
        <is>
          <t>Производство прочих готовых изделий</t>
        </is>
      </c>
      <c r="B58" s="559" t="n"/>
      <c r="C58" s="108" t="n"/>
      <c r="D58" s="559" t="n"/>
      <c r="E58" s="559" t="n"/>
      <c r="F58" s="559" t="n"/>
    </row>
    <row r="59" ht="39.6" customHeight="1" s="216">
      <c r="A59" s="78" t="inlineStr">
        <is>
          <t>шприцы, иглы, катетеры, канюли и аналогичные инструменты, тыс. штук</t>
        </is>
      </c>
      <c r="B59" s="562" t="inlineStr">
        <is>
          <t>...</t>
        </is>
      </c>
      <c r="C59" s="108" t="n">
        <v>91.09999999999999</v>
      </c>
      <c r="D59" s="559" t="n">
        <v>191.4</v>
      </c>
      <c r="E59" s="562" t="inlineStr">
        <is>
          <t>...</t>
        </is>
      </c>
      <c r="F59" s="559" t="n">
        <v>105.1</v>
      </c>
    </row>
    <row r="60" ht="39.6" customHeight="1" s="216">
      <c r="A60" s="77" t="inlineStr">
        <is>
          <t>Обеспечение электрической энергией, газом и паром; кондиционирование воздуха</t>
        </is>
      </c>
      <c r="B60" s="559" t="n"/>
      <c r="C60" s="108" t="n"/>
      <c r="D60" s="559" t="n"/>
      <c r="E60" s="559" t="n"/>
      <c r="F60" s="559" t="n"/>
    </row>
    <row r="61">
      <c r="A61" s="78" t="inlineStr">
        <is>
          <t>электроэнергия, млн кВт ч</t>
        </is>
      </c>
      <c r="B61" s="559" t="n">
        <v>896.1</v>
      </c>
      <c r="C61" s="108" t="n">
        <v>87.09999999999999</v>
      </c>
      <c r="D61" s="559" t="n">
        <v>96.5</v>
      </c>
      <c r="E61" s="559" t="n">
        <v>8540.5</v>
      </c>
      <c r="F61" s="559" t="n">
        <v>98.7</v>
      </c>
    </row>
    <row r="62">
      <c r="A62" s="79" t="inlineStr">
        <is>
          <t>пар и горячая вода, тыс. Гкал</t>
        </is>
      </c>
      <c r="B62" s="564" t="n">
        <v>671.5</v>
      </c>
      <c r="C62" s="565" t="n">
        <v>106</v>
      </c>
      <c r="D62" s="564" t="n">
        <v>100.7</v>
      </c>
      <c r="E62" s="564" t="n">
        <v>9753.200000000001</v>
      </c>
      <c r="F62" s="564" t="n">
        <v>94.3</v>
      </c>
    </row>
    <row r="63">
      <c r="B63" s="594" t="n"/>
      <c r="C63" s="594" t="n"/>
      <c r="D63" s="594" t="n"/>
      <c r="E63" s="594" t="n"/>
    </row>
  </sheetData>
  <mergeCells count="6">
    <mergeCell ref="A1:F1"/>
    <mergeCell ref="A3:A4"/>
    <mergeCell ref="B3:B4"/>
    <mergeCell ref="E3:E4"/>
    <mergeCell ref="F3:F4"/>
    <mergeCell ref="C3:D3"/>
  </mergeCells>
  <pageMargins left="0.7" right="0.7" top="0.75" bottom="0.75" header="0.3" footer="0.3"/>
  <pageSetup orientation="portrait" paperSize="9" scale="84"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E10"/>
  <sheetViews>
    <sheetView zoomScale="80" zoomScaleNormal="80" workbookViewId="0">
      <selection activeCell="D6" sqref="D6"/>
    </sheetView>
  </sheetViews>
  <sheetFormatPr baseColWidth="8" defaultColWidth="8.88671875" defaultRowHeight="13.8"/>
  <cols>
    <col width="35.109375" customWidth="1" style="501" min="1" max="1"/>
    <col width="17.77734375" customWidth="1" style="501" min="2" max="5"/>
    <col width="8.88671875" customWidth="1" style="501" min="6" max="16384"/>
  </cols>
  <sheetData>
    <row r="1">
      <c r="A1" s="733" t="inlineStr">
        <is>
          <t>СЕЛЬСКОЕ ХОЗЯЙСТВО</t>
        </is>
      </c>
    </row>
    <row r="3" ht="13.8" customHeight="1" s="216">
      <c r="A3" s="675" t="inlineStr">
        <is>
          <t xml:space="preserve">Валовые сборы основных сельскохозяйственных культур в хозяйствах всех категорий </t>
        </is>
      </c>
    </row>
    <row r="4">
      <c r="A4" s="493" t="n"/>
    </row>
    <row r="5">
      <c r="A5" s="671" t="n"/>
      <c r="B5" s="672" t="inlineStr">
        <is>
          <t>На 1 сентября 2025 г.</t>
        </is>
      </c>
      <c r="C5" s="760" t="n"/>
      <c r="D5" s="672" t="inlineStr">
        <is>
          <t>Справочно 
на 1 сентября 2024 г.</t>
        </is>
      </c>
      <c r="E5" s="760" t="n"/>
    </row>
    <row r="6">
      <c r="A6" s="522" t="n"/>
      <c r="B6" s="761" t="n"/>
      <c r="C6" s="762" t="n"/>
      <c r="D6" s="761" t="n"/>
      <c r="E6" s="762" t="n"/>
    </row>
    <row r="7" ht="52.8" customHeight="1" s="216">
      <c r="A7" s="758" t="n"/>
      <c r="B7" s="672" t="inlineStr">
        <is>
          <t>тыс. центнеров</t>
        </is>
      </c>
      <c r="C7" s="673" t="inlineStr">
        <is>
          <t>в % к соответствующему периоду предыдущего года</t>
        </is>
      </c>
      <c r="D7" s="672" t="inlineStr">
        <is>
          <t>тыс. центнеров</t>
        </is>
      </c>
      <c r="E7" s="673" t="inlineStr">
        <is>
          <t>в % к соответствующему периоду предыдущего года</t>
        </is>
      </c>
    </row>
    <row r="8" ht="39.6" customHeight="1" s="216">
      <c r="A8" s="76" t="inlineStr">
        <is>
          <t>Зерновые и зернобобовые культуры (в первоначально-оприходованном весе)</t>
        </is>
      </c>
      <c r="B8" s="399" t="n">
        <v>4543.1</v>
      </c>
      <c r="C8" s="399" t="n">
        <v>137.1</v>
      </c>
      <c r="D8" s="399" t="n">
        <v>3312.6</v>
      </c>
      <c r="E8" s="399" t="n">
        <v>71.2</v>
      </c>
    </row>
    <row r="9">
      <c r="A9" s="76" t="inlineStr">
        <is>
          <t>Картофель</t>
        </is>
      </c>
      <c r="B9" s="399" t="n">
        <v>386.2</v>
      </c>
      <c r="C9" s="399" t="n">
        <v>103.9</v>
      </c>
      <c r="D9" s="399" t="n">
        <v>371.9</v>
      </c>
      <c r="E9" s="399" t="n">
        <v>91.40000000000001</v>
      </c>
    </row>
    <row r="10">
      <c r="A10" s="492" t="inlineStr">
        <is>
          <t>Овощи открытого и закрытого грунта</t>
        </is>
      </c>
      <c r="B10" s="402" t="n">
        <v>476</v>
      </c>
      <c r="C10" s="402" t="n">
        <v>101.7</v>
      </c>
      <c r="D10" s="402" t="n">
        <v>467.8</v>
      </c>
      <c r="E10" s="402" t="n">
        <v>126.3</v>
      </c>
    </row>
  </sheetData>
  <mergeCells count="5">
    <mergeCell ref="B5:C6"/>
    <mergeCell ref="D5:E6"/>
    <mergeCell ref="A1:E1"/>
    <mergeCell ref="A5:A7"/>
    <mergeCell ref="A3:E3"/>
  </mergeCells>
  <pageMargins left="0.7" right="0.7" top="0.75" bottom="0.75" header="0.3" footer="0.3"/>
  <pageSetup orientation="portrait" paperSize="9" scale="84" fitToHeight="0" verticalDpi="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F17"/>
  <sheetViews>
    <sheetView zoomScale="80" zoomScaleNormal="80" workbookViewId="0">
      <selection activeCell="D6" sqref="D6"/>
    </sheetView>
  </sheetViews>
  <sheetFormatPr baseColWidth="8" defaultColWidth="8.88671875" defaultRowHeight="13.8"/>
  <cols>
    <col width="44" customWidth="1" style="501" min="1" max="1"/>
    <col width="27.6640625" customWidth="1" style="501" min="2" max="3"/>
    <col width="8.88671875" customWidth="1" style="501" min="4" max="16384"/>
  </cols>
  <sheetData>
    <row r="1">
      <c r="A1" s="675" t="inlineStr">
        <is>
          <t>Уборка зерновых и зернобобовых культур сельскохозяйственными организациями</t>
        </is>
      </c>
    </row>
    <row r="2">
      <c r="A2" s="493" t="n"/>
      <c r="B2" s="493" t="n"/>
      <c r="C2" s="493" t="n"/>
    </row>
    <row r="3" ht="26.4" customHeight="1" s="216">
      <c r="A3" s="145" t="n"/>
      <c r="B3" s="672" t="inlineStr">
        <is>
          <t>На 1 сентября 2025 г.</t>
        </is>
      </c>
      <c r="C3" s="672" t="inlineStr">
        <is>
          <t>Справочно 
на 1 сентября 2024 г.</t>
        </is>
      </c>
    </row>
    <row r="4">
      <c r="A4" s="81" t="inlineStr">
        <is>
          <t>Скошено зерновых и зернобобовых культур</t>
        </is>
      </c>
      <c r="B4" s="500" t="n"/>
      <c r="C4" s="500" t="n"/>
      <c r="D4" s="501" t="n"/>
      <c r="E4" s="501" t="n"/>
      <c r="F4" s="501" t="n"/>
    </row>
    <row r="5">
      <c r="A5" s="225" t="inlineStr">
        <is>
          <t>тыс. гектаров</t>
        </is>
      </c>
      <c r="B5" s="496" t="n">
        <v>137.3</v>
      </c>
      <c r="C5" s="496" t="n">
        <v>113</v>
      </c>
      <c r="D5" s="502" t="n"/>
      <c r="E5" s="503" t="n"/>
      <c r="F5" s="504" t="n"/>
    </row>
    <row r="6">
      <c r="A6" s="225" t="inlineStr">
        <is>
          <t>в % к площади посева</t>
        </is>
      </c>
      <c r="B6" s="496" t="n">
        <v>26.6</v>
      </c>
      <c r="C6" s="496" t="n">
        <v>19.8</v>
      </c>
      <c r="D6" s="502" t="n"/>
      <c r="E6" s="501" t="n"/>
      <c r="F6" s="501" t="n"/>
    </row>
    <row r="7" ht="26.4" customHeight="1" s="216">
      <c r="A7" s="81" t="inlineStr">
        <is>
          <t>Обмолочено зерновых и зернобобовых культур</t>
        </is>
      </c>
      <c r="B7" s="505" t="n"/>
      <c r="C7" s="505" t="n"/>
      <c r="D7" s="502" t="n"/>
      <c r="E7" s="501" t="n"/>
      <c r="F7" s="501" t="n"/>
    </row>
    <row r="8">
      <c r="A8" s="225" t="inlineStr">
        <is>
          <t>тыс. гектаров</t>
        </is>
      </c>
      <c r="B8" s="496" t="n">
        <v>134.9</v>
      </c>
      <c r="C8" s="496" t="n">
        <v>113</v>
      </c>
      <c r="D8" s="502" t="n"/>
      <c r="E8" s="501" t="n"/>
      <c r="F8" s="501" t="n"/>
    </row>
    <row r="9">
      <c r="A9" s="225" t="inlineStr">
        <is>
          <t>в % к площади посева</t>
        </is>
      </c>
      <c r="B9" s="496" t="n">
        <v>26.2</v>
      </c>
      <c r="C9" s="496" t="n">
        <v>19.8</v>
      </c>
      <c r="D9" s="502" t="n"/>
      <c r="E9" s="501" t="n"/>
      <c r="F9" s="501" t="n"/>
    </row>
    <row r="10">
      <c r="A10" s="494" t="inlineStr">
        <is>
          <t>в % к скошенной площади</t>
        </is>
      </c>
      <c r="B10" s="496" t="n">
        <v>98.3</v>
      </c>
      <c r="C10" s="496" t="n">
        <v>100</v>
      </c>
      <c r="D10" s="502" t="n"/>
      <c r="E10" s="501" t="n"/>
      <c r="F10" s="501" t="n"/>
    </row>
    <row r="11" ht="26.4" customHeight="1" s="216">
      <c r="A11" s="495" t="inlineStr">
        <is>
          <t>Намолочено зерна (в первоначально-оприходованном весе)</t>
        </is>
      </c>
      <c r="B11" s="496" t="n"/>
      <c r="C11" s="496" t="n"/>
      <c r="D11" s="502" t="n"/>
      <c r="E11" s="501" t="n"/>
      <c r="F11" s="501" t="n"/>
    </row>
    <row r="12">
      <c r="A12" s="494" t="inlineStr">
        <is>
          <t>всего, тыс. центнеров</t>
        </is>
      </c>
      <c r="B12" s="496" t="n">
        <v>3834.4</v>
      </c>
      <c r="C12" s="496" t="n">
        <v>2602.8</v>
      </c>
      <c r="D12" s="502" t="n"/>
      <c r="E12" s="501" t="n"/>
      <c r="F12" s="501" t="n"/>
    </row>
    <row r="13">
      <c r="A13" s="494" t="inlineStr">
        <is>
          <t>с 1 га, центнеров</t>
        </is>
      </c>
      <c r="B13" s="496" t="n">
        <v>27.9</v>
      </c>
      <c r="C13" s="496" t="n">
        <v>23</v>
      </c>
      <c r="D13" s="502" t="n"/>
      <c r="E13" s="501" t="n"/>
      <c r="F13" s="501" t="n"/>
    </row>
    <row r="14">
      <c r="A14" s="497" t="inlineStr">
        <is>
          <t>в том числе пшеницы</t>
        </is>
      </c>
      <c r="B14" s="496" t="n"/>
      <c r="C14" s="496" t="n"/>
      <c r="D14" s="502" t="n"/>
      <c r="E14" s="501" t="n"/>
      <c r="F14" s="501" t="n"/>
    </row>
    <row r="15">
      <c r="A15" s="498" t="inlineStr">
        <is>
          <t>всего, тыс. центнеров</t>
        </is>
      </c>
      <c r="B15" s="496" t="n">
        <v>914.9</v>
      </c>
      <c r="C15" s="496" t="n">
        <v>549.5</v>
      </c>
      <c r="D15" s="502" t="n"/>
      <c r="E15" s="501" t="n"/>
      <c r="F15" s="501" t="n"/>
    </row>
    <row r="16">
      <c r="A16" s="499" t="inlineStr">
        <is>
          <t>с 1 га, центнеров</t>
        </is>
      </c>
      <c r="B16" s="506" t="n">
        <v>25.8</v>
      </c>
      <c r="C16" s="506" t="n">
        <v>22</v>
      </c>
      <c r="D16" s="502" t="n"/>
      <c r="E16" s="501" t="n"/>
      <c r="F16" s="501" t="n"/>
    </row>
    <row r="17">
      <c r="A17" s="493" t="n"/>
      <c r="B17" s="501" t="n"/>
      <c r="C17" s="501" t="n"/>
      <c r="D17" s="501" t="n"/>
      <c r="E17" s="501" t="n"/>
      <c r="F17" s="501" t="n"/>
    </row>
  </sheetData>
  <mergeCells count="1">
    <mergeCell ref="A1:C1"/>
  </mergeCells>
  <pageMargins left="0.7" right="0.7" top="0.75" bottom="0.75" header="0.3" footer="0.3"/>
  <pageSetup orientation="portrait" paperSize="9" scale="66" fitToHeight="0" verticalDpi="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colBreaks count="1" manualBreakCount="1">
    <brk id="7" min="0" max="1048575" man="1"/>
  </colBreaks>
</worksheet>
</file>

<file path=xl/worksheets/sheet13.xml><?xml version="1.0" encoding="utf-8"?>
<worksheet xmlns="http://schemas.openxmlformats.org/spreadsheetml/2006/main">
  <sheetPr>
    <outlinePr summaryBelow="1" summaryRight="1"/>
    <pageSetUpPr fitToPage="1"/>
  </sheetPr>
  <dimension ref="A1:F28"/>
  <sheetViews>
    <sheetView zoomScale="80" zoomScaleNormal="80" workbookViewId="0">
      <selection activeCell="D6" sqref="D6"/>
    </sheetView>
  </sheetViews>
  <sheetFormatPr baseColWidth="8" defaultColWidth="8.88671875" defaultRowHeight="13.2"/>
  <cols>
    <col width="16.33203125" customWidth="1" style="216" min="1" max="1"/>
    <col width="14.33203125" customWidth="1" style="346" min="2" max="2"/>
    <col width="14.88671875" customWidth="1" style="346" min="3" max="3"/>
    <col width="14.6640625" customWidth="1" style="346" min="4" max="4"/>
    <col width="13.33203125" customWidth="1" style="346" min="5" max="5"/>
    <col width="13.5546875" customWidth="1" style="346" min="6" max="6"/>
    <col width="8.88671875" customWidth="1" style="216" min="7" max="16384"/>
  </cols>
  <sheetData>
    <row r="1" ht="19.8" customHeight="1" s="216">
      <c r="A1" s="705" t="inlineStr">
        <is>
          <t>Динамика поголовья основных видов скота в сельскохозяйственных организациях</t>
        </is>
      </c>
    </row>
    <row r="2" ht="13.8" customHeight="1" s="216">
      <c r="A2" s="705" t="n"/>
      <c r="B2" s="705" t="n"/>
      <c r="C2" s="705" t="n"/>
      <c r="D2" s="705" t="n"/>
      <c r="E2" s="705" t="n"/>
      <c r="F2" s="705" t="n"/>
    </row>
    <row r="3">
      <c r="A3" s="661" t="inlineStr">
        <is>
          <t>на конец месяца, в процентах к соответствующей дате предыдущего года</t>
        </is>
      </c>
      <c r="B3" s="756" t="n"/>
      <c r="C3" s="756" t="n"/>
      <c r="D3" s="756" t="n"/>
      <c r="E3" s="756" t="n"/>
      <c r="F3" s="756" t="n"/>
    </row>
    <row r="4" ht="26.4" customHeight="1" s="216">
      <c r="A4" s="750" t="n"/>
      <c r="B4" s="644" t="inlineStr">
        <is>
          <t xml:space="preserve">Крупный рогатый скот </t>
        </is>
      </c>
      <c r="C4" s="644" t="inlineStr">
        <is>
          <t>Из него коровы</t>
        </is>
      </c>
      <c r="D4" s="644" t="inlineStr">
        <is>
          <t>Свиньи</t>
        </is>
      </c>
      <c r="E4" s="731" t="inlineStr">
        <is>
          <t>Овцы и козы</t>
        </is>
      </c>
      <c r="F4" s="731" t="inlineStr">
        <is>
          <t>Птица</t>
        </is>
      </c>
    </row>
    <row r="5">
      <c r="A5" s="169" t="inlineStr">
        <is>
          <t>2025 г.</t>
        </is>
      </c>
      <c r="B5" s="121" t="n"/>
      <c r="C5" s="208" t="n"/>
      <c r="D5" s="121" t="n"/>
      <c r="E5" s="208" t="n"/>
      <c r="F5" s="121" t="n"/>
    </row>
    <row r="6">
      <c r="A6" s="379" t="inlineStr">
        <is>
          <t>Январь</t>
        </is>
      </c>
      <c r="B6" s="525" t="n">
        <v>91.59999999999999</v>
      </c>
      <c r="C6" s="392" t="n">
        <v>92.90000000000001</v>
      </c>
      <c r="D6" s="525" t="n">
        <v>96.59999999999999</v>
      </c>
      <c r="E6" s="392" t="n">
        <v>116.6</v>
      </c>
      <c r="F6" s="525" t="n">
        <v>103.6</v>
      </c>
    </row>
    <row r="7">
      <c r="A7" s="377" t="inlineStr">
        <is>
          <t>Февраль</t>
        </is>
      </c>
      <c r="B7" s="525" t="n">
        <v>91.40000000000001</v>
      </c>
      <c r="C7" s="392" t="n">
        <v>92.8</v>
      </c>
      <c r="D7" s="525" t="n">
        <v>98.2</v>
      </c>
      <c r="E7" s="392" t="n">
        <v>130.9</v>
      </c>
      <c r="F7" s="525" t="n">
        <v>103</v>
      </c>
    </row>
    <row r="8" ht="15.6" customHeight="1" s="216">
      <c r="A8" s="379" t="inlineStr">
        <is>
          <t>Март</t>
        </is>
      </c>
      <c r="B8" s="525" t="n">
        <v>92</v>
      </c>
      <c r="C8" s="392" t="n">
        <v>93.2</v>
      </c>
      <c r="D8" s="525" t="n">
        <v>98.5</v>
      </c>
      <c r="E8" s="392" t="n">
        <v>140.9</v>
      </c>
      <c r="F8" s="525" t="n">
        <v>101.1</v>
      </c>
    </row>
    <row r="9" ht="15.6" customHeight="1" s="216">
      <c r="A9" s="377" t="inlineStr">
        <is>
          <t>Апрель</t>
        </is>
      </c>
      <c r="B9" s="525" t="n">
        <v>94</v>
      </c>
      <c r="C9" s="392" t="n">
        <v>94.5</v>
      </c>
      <c r="D9" s="525" t="n">
        <v>97.09999999999999</v>
      </c>
      <c r="E9" s="392" t="n">
        <v>146.6</v>
      </c>
      <c r="F9" s="525" t="n">
        <v>101.4</v>
      </c>
    </row>
    <row r="10" ht="15.6" customHeight="1" s="216">
      <c r="A10" s="377" t="inlineStr">
        <is>
          <t>Май</t>
        </is>
      </c>
      <c r="B10" s="525" t="n">
        <v>94.8</v>
      </c>
      <c r="C10" s="392" t="n">
        <v>95.3</v>
      </c>
      <c r="D10" s="525" t="n">
        <v>98.5</v>
      </c>
      <c r="E10" s="392" t="n">
        <v>153.4</v>
      </c>
      <c r="F10" s="525" t="n">
        <v>100.5</v>
      </c>
    </row>
    <row r="11" ht="13.8" customHeight="1" s="216">
      <c r="A11" s="377" t="inlineStr">
        <is>
          <t>Июнь</t>
        </is>
      </c>
      <c r="B11" s="525" t="n">
        <v>95.5</v>
      </c>
      <c r="C11" s="392" t="n">
        <v>96.5</v>
      </c>
      <c r="D11" s="525" t="n">
        <v>96.3</v>
      </c>
      <c r="E11" s="392" t="n">
        <v>169.3</v>
      </c>
      <c r="F11" s="525" t="n">
        <v>100.3</v>
      </c>
    </row>
    <row r="12" ht="13.8" customHeight="1" s="216">
      <c r="A12" s="377" t="inlineStr">
        <is>
          <t>Июль</t>
        </is>
      </c>
      <c r="B12" s="525" t="n">
        <v>96.40000000000001</v>
      </c>
      <c r="C12" s="392" t="n">
        <v>97.2</v>
      </c>
      <c r="D12" s="525" t="n">
        <v>97.8</v>
      </c>
      <c r="E12" s="392" t="n">
        <v>186.2</v>
      </c>
      <c r="F12" s="525" t="n">
        <v>99.59999999999999</v>
      </c>
    </row>
    <row r="13" ht="13.8" customHeight="1" s="216">
      <c r="A13" s="377" t="inlineStr">
        <is>
          <t>Август</t>
        </is>
      </c>
      <c r="B13" s="525" t="n">
        <v>97.59999999999999</v>
      </c>
      <c r="C13" s="392" t="n">
        <v>98.8</v>
      </c>
      <c r="D13" s="525" t="n">
        <v>98.40000000000001</v>
      </c>
      <c r="E13" s="392" t="n">
        <v>195.6</v>
      </c>
      <c r="F13" s="525" t="n">
        <v>101.3</v>
      </c>
    </row>
    <row r="14" ht="21.6" customHeight="1" s="216">
      <c r="A14" s="163" t="inlineStr">
        <is>
          <t>2024 г.</t>
        </is>
      </c>
      <c r="B14" s="125" t="n"/>
      <c r="C14" s="207" t="n"/>
      <c r="D14" s="125" t="n"/>
      <c r="E14" s="207" t="n"/>
      <c r="F14" s="125" t="n"/>
    </row>
    <row r="15">
      <c r="A15" s="379" t="inlineStr">
        <is>
          <t>Январь</t>
        </is>
      </c>
      <c r="B15" s="525" t="n">
        <v>96.3</v>
      </c>
      <c r="C15" s="392" t="n">
        <v>96.59999999999999</v>
      </c>
      <c r="D15" s="525" t="n">
        <v>97.3</v>
      </c>
      <c r="E15" s="392" t="inlineStr">
        <is>
          <t>2,9р</t>
        </is>
      </c>
      <c r="F15" s="525" t="n">
        <v>106.5</v>
      </c>
    </row>
    <row r="16">
      <c r="A16" s="377" t="inlineStr">
        <is>
          <t>Февраль</t>
        </is>
      </c>
      <c r="B16" s="525" t="n">
        <v>94.59999999999999</v>
      </c>
      <c r="C16" s="392" t="n">
        <v>95.40000000000001</v>
      </c>
      <c r="D16" s="525" t="n">
        <v>95.3</v>
      </c>
      <c r="E16" s="392" t="inlineStr">
        <is>
          <t>2,9р</t>
        </is>
      </c>
      <c r="F16" s="525" t="n">
        <v>106.7</v>
      </c>
    </row>
    <row r="17">
      <c r="A17" s="379" t="inlineStr">
        <is>
          <t>Март</t>
        </is>
      </c>
      <c r="B17" s="525" t="n">
        <v>93.3</v>
      </c>
      <c r="C17" s="392" t="n">
        <v>95.2</v>
      </c>
      <c r="D17" s="525" t="n">
        <v>97.2</v>
      </c>
      <c r="E17" s="392" t="inlineStr">
        <is>
          <t>2,8р</t>
        </is>
      </c>
      <c r="F17" s="525" t="n">
        <v>105.3</v>
      </c>
    </row>
    <row r="18">
      <c r="A18" s="377" t="inlineStr">
        <is>
          <t>Апрель</t>
        </is>
      </c>
      <c r="B18" s="525" t="n">
        <v>92</v>
      </c>
      <c r="C18" s="392" t="n">
        <v>94.8</v>
      </c>
      <c r="D18" s="525" t="n">
        <v>96.90000000000001</v>
      </c>
      <c r="E18" s="392" t="inlineStr">
        <is>
          <t>2,6р</t>
        </is>
      </c>
      <c r="F18" s="525" t="n">
        <v>108.4</v>
      </c>
    </row>
    <row r="19">
      <c r="A19" s="377" t="inlineStr">
        <is>
          <t>Май</t>
        </is>
      </c>
      <c r="B19" s="525" t="n">
        <v>91.90000000000001</v>
      </c>
      <c r="C19" s="392" t="n">
        <v>95</v>
      </c>
      <c r="D19" s="525" t="n">
        <v>95.90000000000001</v>
      </c>
      <c r="E19" s="392" t="inlineStr">
        <is>
          <t>2,2р</t>
        </is>
      </c>
      <c r="F19" s="525" t="n">
        <v>111.7</v>
      </c>
    </row>
    <row r="20">
      <c r="A20" s="377" t="inlineStr">
        <is>
          <t>Июнь</t>
        </is>
      </c>
      <c r="B20" s="525" t="n">
        <v>92.09999999999999</v>
      </c>
      <c r="C20" s="392" t="n">
        <v>94.09999999999999</v>
      </c>
      <c r="D20" s="525" t="n">
        <v>100.1</v>
      </c>
      <c r="E20" s="392" t="n">
        <v>199.9</v>
      </c>
      <c r="F20" s="525" t="n">
        <v>117.1</v>
      </c>
    </row>
    <row r="21">
      <c r="A21" s="377" t="inlineStr">
        <is>
          <t>Июль</t>
        </is>
      </c>
      <c r="B21" s="525" t="n">
        <v>91.3</v>
      </c>
      <c r="C21" s="392" t="n">
        <v>92.8</v>
      </c>
      <c r="D21" s="525" t="n">
        <v>102.1</v>
      </c>
      <c r="E21" s="392" t="n">
        <v>161.9</v>
      </c>
      <c r="F21" s="525" t="n">
        <v>114.7</v>
      </c>
    </row>
    <row r="22">
      <c r="A22" s="379" t="inlineStr">
        <is>
          <t>Август</t>
        </is>
      </c>
      <c r="B22" s="525" t="n">
        <v>90.8</v>
      </c>
      <c r="C22" s="392" t="n">
        <v>91.8</v>
      </c>
      <c r="D22" s="525" t="n">
        <v>101.3</v>
      </c>
      <c r="E22" s="392" t="n">
        <v>142.7</v>
      </c>
      <c r="F22" s="525" t="n">
        <v>108.3</v>
      </c>
    </row>
    <row r="23">
      <c r="A23" s="379" t="inlineStr">
        <is>
          <t>Сентябрь</t>
        </is>
      </c>
      <c r="B23" s="452" t="n">
        <v>91.09999999999999</v>
      </c>
      <c r="C23" s="407" t="n">
        <v>92.2</v>
      </c>
      <c r="D23" s="452" t="n">
        <v>100.2</v>
      </c>
      <c r="E23" s="392" t="n">
        <v>169.7</v>
      </c>
      <c r="F23" s="525" t="n">
        <v>109.2</v>
      </c>
    </row>
    <row r="24">
      <c r="A24" s="379" t="inlineStr">
        <is>
          <t>Октябрь</t>
        </is>
      </c>
      <c r="B24" s="452" t="n">
        <v>90.3</v>
      </c>
      <c r="C24" s="407" t="n">
        <v>91.5</v>
      </c>
      <c r="D24" s="452" t="n">
        <v>97.90000000000001</v>
      </c>
      <c r="E24" s="392" t="n">
        <v>151.7</v>
      </c>
      <c r="F24" s="525" t="n">
        <v>102.6</v>
      </c>
    </row>
    <row r="25">
      <c r="A25" s="379" t="inlineStr">
        <is>
          <t>Ноябрь</t>
        </is>
      </c>
      <c r="B25" s="452" t="n">
        <v>90.2</v>
      </c>
      <c r="C25" s="407" t="n">
        <v>91.09999999999999</v>
      </c>
      <c r="D25" s="452" t="n">
        <v>98.09999999999999</v>
      </c>
      <c r="E25" s="392" t="n">
        <v>139.1</v>
      </c>
      <c r="F25" s="525" t="n">
        <v>100.9</v>
      </c>
    </row>
    <row r="26">
      <c r="A26" s="210" t="inlineStr">
        <is>
          <t>Декабрь</t>
        </is>
      </c>
      <c r="B26" s="408" t="n">
        <v>92.2</v>
      </c>
      <c r="C26" s="409" t="n">
        <v>92.09999999999999</v>
      </c>
      <c r="D26" s="408" t="n">
        <v>96.59999999999999</v>
      </c>
      <c r="E26" s="294" t="n">
        <v>114.2</v>
      </c>
      <c r="F26" s="308" t="n">
        <v>100.4</v>
      </c>
    </row>
    <row r="28">
      <c r="A28" s="182" t="n"/>
      <c r="C28" s="441" t="n"/>
    </row>
  </sheetData>
  <mergeCells count="2">
    <mergeCell ref="A3:F3"/>
    <mergeCell ref="A1:F1"/>
  </mergeCells>
  <pageMargins left="0.7" right="0.7" top="0.75" bottom="0.75" header="0.3" footer="0.3"/>
  <pageSetup orientation="portrait" paperSize="9" fitToHeight="0" verticalDpi="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E15"/>
  <sheetViews>
    <sheetView zoomScale="80" zoomScaleNormal="80" workbookViewId="0">
      <selection activeCell="D6" sqref="D6"/>
    </sheetView>
  </sheetViews>
  <sheetFormatPr baseColWidth="8" defaultRowHeight="13.2"/>
  <cols>
    <col width="22.109375" customWidth="1" style="216" min="1" max="1"/>
    <col width="18.5546875" customWidth="1" style="216" min="2" max="2"/>
    <col width="19.109375" customWidth="1" style="216" min="3" max="3"/>
    <col width="21.5546875" customWidth="1" style="216" min="4" max="4"/>
    <col width="22.44140625" customWidth="1" style="216" min="5" max="5"/>
  </cols>
  <sheetData>
    <row r="1" ht="34.8" customHeight="1" s="216">
      <c r="A1" s="705" t="inlineStr">
        <is>
          <t xml:space="preserve">Производство основных видов продукции животноводства 
в сельскохозяйственных организациях1) </t>
        </is>
      </c>
    </row>
    <row r="2">
      <c r="A2" s="31" t="n"/>
    </row>
    <row r="3" ht="13.2" customHeight="1" s="216">
      <c r="A3" s="145" t="n"/>
      <c r="B3" s="672" t="inlineStr">
        <is>
          <t>Август 2025 г.</t>
        </is>
      </c>
      <c r="C3" s="755" t="n"/>
      <c r="D3" s="672" t="inlineStr">
        <is>
          <t>Январь-август 2025 г.
в % к  
соответствующему периоду предыдущего года</t>
        </is>
      </c>
      <c r="E3" s="667" t="inlineStr">
        <is>
          <t xml:space="preserve">Справочно  </t>
        </is>
      </c>
    </row>
    <row r="4" ht="54.6" customHeight="1" s="216">
      <c r="A4" s="758" t="n"/>
      <c r="B4" s="730" t="inlineStr">
        <is>
          <t>тыс. тонн</t>
        </is>
      </c>
      <c r="C4" s="730" t="inlineStr">
        <is>
          <t>в % к 
соответствующему месяцу предыдущего года</t>
        </is>
      </c>
      <c r="D4" s="758" t="n"/>
      <c r="E4" s="730" t="inlineStr">
        <is>
          <t>январь-август 2024 г. 
в % к 
январю-августу 2023 г.</t>
        </is>
      </c>
    </row>
    <row r="5" ht="26.4" customHeight="1" s="216">
      <c r="A5" s="696" t="inlineStr">
        <is>
          <t>Скот и птица на убой 
(в живом весе) – всего</t>
        </is>
      </c>
      <c r="B5" s="551" t="n">
        <v>13.7</v>
      </c>
      <c r="C5" s="551" t="n">
        <v>91</v>
      </c>
      <c r="D5" s="222" t="n">
        <v>93.3</v>
      </c>
      <c r="E5" s="521" t="n">
        <v>101.2</v>
      </c>
    </row>
    <row r="6">
      <c r="A6" s="166" t="inlineStr">
        <is>
          <t>в том числе:</t>
        </is>
      </c>
      <c r="B6" s="551" t="n"/>
      <c r="C6" s="551" t="n"/>
      <c r="D6" s="222" t="n"/>
      <c r="E6" s="476" t="n"/>
    </row>
    <row r="7">
      <c r="A7" s="78" t="inlineStr">
        <is>
          <t>крупный рогатый скот</t>
        </is>
      </c>
      <c r="B7" s="247" t="n">
        <v>1.1</v>
      </c>
      <c r="C7" s="247" t="n">
        <v>85.90000000000001</v>
      </c>
      <c r="D7" s="222" t="n">
        <v>81.7</v>
      </c>
      <c r="E7" s="476" t="n">
        <v>107.4</v>
      </c>
    </row>
    <row r="8">
      <c r="A8" s="78" t="inlineStr">
        <is>
          <t>свиньи</t>
        </is>
      </c>
      <c r="B8" s="247" t="inlineStr">
        <is>
          <t>…</t>
        </is>
      </c>
      <c r="C8" s="247" t="inlineStr">
        <is>
          <t>…</t>
        </is>
      </c>
      <c r="D8" s="222" t="n">
        <v>96.7</v>
      </c>
      <c r="E8" s="247" t="n">
        <v>96.09999999999999</v>
      </c>
    </row>
    <row r="9">
      <c r="A9" s="55" t="inlineStr">
        <is>
          <t>птица</t>
        </is>
      </c>
      <c r="B9" s="247" t="inlineStr">
        <is>
          <t>…</t>
        </is>
      </c>
      <c r="C9" s="247" t="n">
        <v>89.7</v>
      </c>
      <c r="D9" s="222" t="n">
        <v>94</v>
      </c>
      <c r="E9" s="476" t="n">
        <v>102.2</v>
      </c>
    </row>
    <row r="10">
      <c r="A10" s="78" t="inlineStr">
        <is>
          <t>другие виды скота</t>
        </is>
      </c>
      <c r="B10" s="247" t="inlineStr">
        <is>
          <t>…</t>
        </is>
      </c>
      <c r="C10" s="247" t="n">
        <v>70.40000000000001</v>
      </c>
      <c r="D10" s="277" t="inlineStr">
        <is>
          <t>2,5р</t>
        </is>
      </c>
      <c r="E10" s="476" t="n">
        <v>36.7</v>
      </c>
    </row>
    <row r="11">
      <c r="A11" s="70" t="inlineStr">
        <is>
          <t>Молоко</t>
        </is>
      </c>
      <c r="B11" s="551" t="n">
        <v>31</v>
      </c>
      <c r="C11" s="551" t="n">
        <v>99.3</v>
      </c>
      <c r="D11" s="277" t="n">
        <v>98.09999999999999</v>
      </c>
      <c r="E11" s="247" t="n">
        <v>100.3</v>
      </c>
    </row>
    <row r="12">
      <c r="A12" s="226" t="inlineStr">
        <is>
          <t>Яйца, млн штук</t>
        </is>
      </c>
      <c r="B12" s="224" t="n">
        <v>108.2</v>
      </c>
      <c r="C12" s="552" t="n">
        <v>114.2</v>
      </c>
      <c r="D12" s="322" t="n">
        <v>113.7</v>
      </c>
      <c r="E12" s="477" t="n">
        <v>97.59999999999999</v>
      </c>
    </row>
    <row r="13" ht="19.2" customHeight="1" s="216">
      <c r="A13" s="681" t="inlineStr">
        <is>
          <t>1) С досчетом на микропредприятия</t>
        </is>
      </c>
    </row>
    <row r="15" ht="44.4" customHeight="1" s="216">
      <c r="A15" s="677" t="inlineStr">
        <is>
          <t xml:space="preserve">     Надои молока на одну корову в сельскохозяйственных организациях (без субъектов малого предпринимательства) в январе-августе 2025 г. составили 6148 килограммов (в январе-августе 2024 г. – 6007 килограммов), яйценоскость кур-несушек – 221 яйцо (228 яиц).</t>
        </is>
      </c>
    </row>
  </sheetData>
  <mergeCells count="6">
    <mergeCell ref="A15:E15"/>
    <mergeCell ref="B3:C3"/>
    <mergeCell ref="A3:A4"/>
    <mergeCell ref="D3:D4"/>
    <mergeCell ref="A1:E1"/>
    <mergeCell ref="A13:D13"/>
  </mergeCells>
  <pageMargins left="0.7" right="0.7" top="0.75" bottom="0.75" header="0.3" footer="0.3"/>
  <pageSetup orientation="portrait" paperSize="9" scale="86"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E15"/>
  <sheetViews>
    <sheetView zoomScale="80" zoomScaleNormal="80" workbookViewId="0">
      <selection activeCell="D6" sqref="D6"/>
    </sheetView>
  </sheetViews>
  <sheetFormatPr baseColWidth="8" defaultRowHeight="13.2"/>
  <cols>
    <col width="32.5546875" customWidth="1" style="216" min="1" max="1"/>
    <col width="26.44140625" customWidth="1" style="216" min="2" max="2"/>
    <col width="26.5546875" customWidth="1" style="216" min="3" max="3"/>
  </cols>
  <sheetData>
    <row r="1" ht="13.8" customHeight="1" s="216">
      <c r="A1" s="705" t="inlineStr">
        <is>
          <t>СТРОИТЕЛЬСТВО</t>
        </is>
      </c>
    </row>
    <row r="2">
      <c r="A2" s="32" t="n"/>
    </row>
    <row r="3" ht="30.6" customHeight="1" s="216">
      <c r="A3" s="710" t="inlineStr">
        <is>
          <t>Объем работ, выполненных по виду экономической деятельности «строительство»</t>
        </is>
      </c>
    </row>
    <row r="4">
      <c r="A4" s="31" t="n"/>
    </row>
    <row r="5" ht="39.6" customHeight="1" s="216">
      <c r="A5" s="144" t="n"/>
      <c r="B5" s="673" t="inlineStr">
        <is>
          <t>Млн рублей</t>
        </is>
      </c>
      <c r="C5" s="728" t="inlineStr">
        <is>
          <t>В % к 
соответствующему периоду предыдущего года</t>
        </is>
      </c>
    </row>
    <row r="6" ht="13.2" customHeight="1" s="216">
      <c r="A6" s="205" t="inlineStr">
        <is>
          <t>2025 г.</t>
        </is>
      </c>
      <c r="B6" s="122" t="n"/>
      <c r="C6" s="122" t="n"/>
      <c r="E6" s="346" t="n"/>
    </row>
    <row r="7">
      <c r="A7" s="377" t="inlineStr">
        <is>
          <t>Январь-март</t>
        </is>
      </c>
      <c r="B7" s="213" t="n">
        <v>45781.4</v>
      </c>
      <c r="C7" s="240" t="n">
        <v>153.1</v>
      </c>
      <c r="E7" s="346" t="n"/>
    </row>
    <row r="8">
      <c r="A8" s="377" t="inlineStr">
        <is>
          <t>Январь-июнь</t>
        </is>
      </c>
      <c r="B8" s="213" t="n">
        <v>118599.1</v>
      </c>
      <c r="C8" s="240" t="n">
        <v>131.1</v>
      </c>
      <c r="E8" s="346" t="n"/>
    </row>
    <row r="9">
      <c r="A9" s="696" t="inlineStr">
        <is>
          <t>Январь-август</t>
        </is>
      </c>
      <c r="B9" s="512" t="n">
        <v>175279.3</v>
      </c>
      <c r="C9" s="513" t="n">
        <v>129.9</v>
      </c>
      <c r="E9" s="346" t="n"/>
    </row>
    <row r="10">
      <c r="A10" s="295" t="inlineStr">
        <is>
          <t>2024 г.</t>
        </is>
      </c>
      <c r="B10" s="296" t="n"/>
      <c r="C10" s="297" t="n"/>
      <c r="E10" s="346" t="n"/>
    </row>
    <row r="11">
      <c r="A11" s="377" t="inlineStr">
        <is>
          <t>Январь-март</t>
        </is>
      </c>
      <c r="B11" s="213" t="n">
        <v>27841.8</v>
      </c>
      <c r="C11" s="234" t="n">
        <v>73.7</v>
      </c>
      <c r="E11" s="346" t="n"/>
    </row>
    <row r="12" ht="13.2" customHeight="1" s="216">
      <c r="A12" s="138" t="inlineStr">
        <is>
          <t>Январь-июнь</t>
        </is>
      </c>
      <c r="B12" s="213" t="n">
        <v>84336.89999999999</v>
      </c>
      <c r="C12" s="240" t="n">
        <v>85.5</v>
      </c>
      <c r="E12" s="346" t="n"/>
    </row>
    <row r="13" ht="13.2" customHeight="1" s="216">
      <c r="A13" s="138" t="inlineStr">
        <is>
          <t>Январь-сентябрь</t>
        </is>
      </c>
      <c r="B13" s="177" t="n">
        <v>146529.3</v>
      </c>
      <c r="C13" s="240" t="n">
        <v>84.40000000000001</v>
      </c>
      <c r="E13" s="346" t="n"/>
    </row>
    <row r="14" ht="13.2" customHeight="1" s="216">
      <c r="A14" s="679" t="inlineStr">
        <is>
          <t>Январь-декабрь</t>
        </is>
      </c>
      <c r="B14" s="298" t="n">
        <v>220274.7</v>
      </c>
      <c r="C14" s="299" t="n">
        <v>92.3</v>
      </c>
      <c r="E14" s="346" t="n"/>
    </row>
    <row r="15">
      <c r="E15" s="346" t="n"/>
    </row>
  </sheetData>
  <mergeCells count="2">
    <mergeCell ref="A1:C1"/>
    <mergeCell ref="A3:C3"/>
  </mergeCells>
  <pageMargins left="0.7" right="0.7" top="0.75" bottom="0.75" header="0.3" footer="0.3"/>
  <pageSetup orientation="portrait" paperSize="9" fitToHeight="0" verticalDpi="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E37"/>
  <sheetViews>
    <sheetView zoomScale="80" zoomScaleNormal="80" workbookViewId="0">
      <selection activeCell="D6" sqref="D6"/>
    </sheetView>
  </sheetViews>
  <sheetFormatPr baseColWidth="8" defaultRowHeight="13.2"/>
  <cols>
    <col width="27.88671875" customWidth="1" style="216" min="1" max="1"/>
    <col width="18.21875" customWidth="1" style="216" min="2" max="4"/>
  </cols>
  <sheetData>
    <row r="1" ht="40.8" customHeight="1" s="216">
      <c r="A1" s="683" t="inlineStr">
        <is>
          <t>Динамика ввода в действие жилых домов (с учетом жилых домов, построенных на земельных участках, предназначенных для ведения гражданами садоводства)</t>
        </is>
      </c>
    </row>
    <row r="2">
      <c r="A2" s="33" t="n"/>
    </row>
    <row r="3">
      <c r="A3" s="145" t="n"/>
      <c r="B3" s="292" t="inlineStr">
        <is>
          <t>Квадратных     метров общей площади жилых помещений</t>
        </is>
      </c>
      <c r="C3" s="673" t="inlineStr">
        <is>
          <t>В % к</t>
        </is>
      </c>
      <c r="D3" s="755" t="n"/>
    </row>
    <row r="4" ht="39.6" customHeight="1" s="216">
      <c r="A4" s="758" t="n"/>
      <c r="B4" s="758" t="n"/>
      <c r="C4" s="688" t="inlineStr">
        <is>
          <t>предыдущему периоду</t>
        </is>
      </c>
      <c r="D4" s="732" t="inlineStr">
        <is>
          <t>соответствующему периоду предыдущего года</t>
        </is>
      </c>
    </row>
    <row r="5">
      <c r="A5" s="121" t="inlineStr">
        <is>
          <t>2025 г.</t>
        </is>
      </c>
      <c r="B5" s="121" t="n"/>
      <c r="C5" s="121" t="n"/>
      <c r="D5" s="121" t="n"/>
    </row>
    <row r="6">
      <c r="A6" s="140" t="inlineStr">
        <is>
          <t>Январь</t>
        </is>
      </c>
      <c r="B6" s="348" t="n">
        <v>256605</v>
      </c>
      <c r="C6" s="102" t="n">
        <v>76</v>
      </c>
      <c r="D6" s="328" t="n">
        <v>62.6</v>
      </c>
      <c r="E6" s="346" t="n"/>
    </row>
    <row r="7">
      <c r="A7" s="70" t="inlineStr">
        <is>
          <t>Февраль</t>
        </is>
      </c>
      <c r="B7" s="348" t="n">
        <v>162216</v>
      </c>
      <c r="C7" s="102" t="n">
        <v>63.2</v>
      </c>
      <c r="D7" s="328" t="n">
        <v>91.09999999999999</v>
      </c>
      <c r="E7" s="346" t="n"/>
    </row>
    <row r="8">
      <c r="A8" s="70" t="inlineStr">
        <is>
          <t>Март</t>
        </is>
      </c>
      <c r="B8" s="348" t="n">
        <v>287976</v>
      </c>
      <c r="C8" s="102" t="n">
        <v>177.5</v>
      </c>
      <c r="D8" s="328" t="n">
        <v>101.3</v>
      </c>
      <c r="E8" s="346" t="n"/>
    </row>
    <row r="9">
      <c r="A9" s="77" t="inlineStr">
        <is>
          <t>I квартал</t>
        </is>
      </c>
      <c r="B9" s="348" t="n">
        <v>706797</v>
      </c>
      <c r="C9" s="102" t="n">
        <v>105.2</v>
      </c>
      <c r="D9" s="102" t="n">
        <v>81</v>
      </c>
      <c r="E9" s="346" t="n"/>
    </row>
    <row r="10">
      <c r="A10" s="696" t="inlineStr">
        <is>
          <t>Апрель</t>
        </is>
      </c>
      <c r="B10" s="348" t="n">
        <v>111006</v>
      </c>
      <c r="C10" s="102" t="n">
        <v>38.5</v>
      </c>
      <c r="D10" s="102" t="n">
        <v>131.2</v>
      </c>
      <c r="E10" s="346" t="n"/>
    </row>
    <row r="11">
      <c r="A11" s="63" t="inlineStr">
        <is>
          <t>Май</t>
        </is>
      </c>
      <c r="B11" s="348" t="n">
        <v>131536</v>
      </c>
      <c r="C11" s="102" t="n">
        <v>118.5</v>
      </c>
      <c r="D11" s="102" t="n">
        <v>76.3</v>
      </c>
      <c r="E11" s="346" t="n"/>
    </row>
    <row r="12">
      <c r="A12" s="70" t="inlineStr">
        <is>
          <t>Июнь</t>
        </is>
      </c>
      <c r="B12" s="348" t="n">
        <v>239880</v>
      </c>
      <c r="C12" s="102" t="n">
        <v>182.4</v>
      </c>
      <c r="D12" s="102" t="n">
        <v>103</v>
      </c>
      <c r="E12" s="346" t="n"/>
    </row>
    <row r="13">
      <c r="A13" s="77" t="inlineStr">
        <is>
          <t>II квартал</t>
        </is>
      </c>
      <c r="B13" s="348" t="n">
        <v>482422</v>
      </c>
      <c r="C13" s="102" t="n">
        <v>68.3</v>
      </c>
      <c r="D13" s="102" t="n">
        <v>98.40000000000001</v>
      </c>
      <c r="E13" s="346" t="n"/>
    </row>
    <row r="14">
      <c r="A14" s="77" t="inlineStr">
        <is>
          <t>Январь-июнь</t>
        </is>
      </c>
      <c r="B14" s="348" t="n">
        <v>1189219</v>
      </c>
      <c r="C14" s="102" t="n"/>
      <c r="D14" s="102" t="n">
        <v>87.3</v>
      </c>
      <c r="E14" s="346" t="n"/>
    </row>
    <row r="15">
      <c r="A15" s="63" t="inlineStr">
        <is>
          <t>Июль</t>
        </is>
      </c>
      <c r="B15" s="348" t="n">
        <v>154653</v>
      </c>
      <c r="C15" s="102" t="n">
        <v>64.5</v>
      </c>
      <c r="D15" s="102" t="n">
        <v>100.6</v>
      </c>
      <c r="E15" s="346" t="n"/>
    </row>
    <row r="16">
      <c r="A16" s="63" t="inlineStr">
        <is>
          <t>Август</t>
        </is>
      </c>
      <c r="B16" s="348" t="n">
        <v>194852</v>
      </c>
      <c r="C16" s="102" t="n">
        <v>126</v>
      </c>
      <c r="D16" s="102" t="n">
        <v>101.9</v>
      </c>
      <c r="E16" s="346" t="n"/>
    </row>
    <row r="17">
      <c r="A17" s="236" t="inlineStr">
        <is>
          <t>Январь-август</t>
        </is>
      </c>
      <c r="B17" s="348" t="n">
        <v>1538724</v>
      </c>
      <c r="C17" s="102" t="n"/>
      <c r="D17" s="102" t="n">
        <v>90.09999999999999</v>
      </c>
      <c r="E17" s="346" t="n"/>
    </row>
    <row r="18">
      <c r="A18" s="125" t="inlineStr">
        <is>
          <t>2024 г.</t>
        </is>
      </c>
      <c r="B18" s="125" t="n"/>
      <c r="C18" s="125" t="n"/>
      <c r="D18" s="125" t="n"/>
      <c r="E18" s="346" t="n"/>
    </row>
    <row r="19">
      <c r="A19" s="140" t="inlineStr">
        <is>
          <t>Январь</t>
        </is>
      </c>
      <c r="B19" s="348" t="n">
        <v>410078</v>
      </c>
      <c r="C19" s="328" t="n">
        <v>94.7</v>
      </c>
      <c r="D19" s="328" t="n">
        <v>140.3</v>
      </c>
      <c r="E19" s="346" t="n"/>
    </row>
    <row r="20">
      <c r="A20" s="70" t="inlineStr">
        <is>
          <t>Февраль</t>
        </is>
      </c>
      <c r="B20" s="348" t="n">
        <v>178109</v>
      </c>
      <c r="C20" s="328" t="n">
        <v>43.4</v>
      </c>
      <c r="D20" s="328" t="n">
        <v>91.90000000000001</v>
      </c>
      <c r="E20" s="346" t="n"/>
    </row>
    <row r="21">
      <c r="A21" s="70" t="inlineStr">
        <is>
          <t>Март</t>
        </is>
      </c>
      <c r="B21" s="348" t="n">
        <v>284420</v>
      </c>
      <c r="C21" s="328" t="n">
        <v>159.7</v>
      </c>
      <c r="D21" s="328" t="inlineStr">
        <is>
          <t>2,1р</t>
        </is>
      </c>
      <c r="E21" s="346" t="n"/>
    </row>
    <row r="22">
      <c r="A22" s="77" t="inlineStr">
        <is>
          <t>I квартал</t>
        </is>
      </c>
      <c r="B22" s="348" t="n">
        <v>872607</v>
      </c>
      <c r="C22" s="328" t="n">
        <v>105.9</v>
      </c>
      <c r="D22" s="328" t="n">
        <v>140.6</v>
      </c>
      <c r="E22" s="346" t="n"/>
    </row>
    <row r="23">
      <c r="A23" s="70" t="inlineStr">
        <is>
          <t>Апрель</t>
        </is>
      </c>
      <c r="B23" s="348" t="n">
        <v>84599</v>
      </c>
      <c r="C23" s="328" t="n">
        <v>29.7</v>
      </c>
      <c r="D23" s="328" t="n">
        <v>88.59999999999999</v>
      </c>
      <c r="E23" s="346" t="n"/>
    </row>
    <row r="24">
      <c r="A24" s="70" t="inlineStr">
        <is>
          <t>Май</t>
        </is>
      </c>
      <c r="B24" s="348" t="n">
        <v>172505</v>
      </c>
      <c r="C24" s="328" t="inlineStr">
        <is>
          <t>2р</t>
        </is>
      </c>
      <c r="D24" s="328" t="n">
        <v>182.4</v>
      </c>
      <c r="E24" s="58" t="n"/>
    </row>
    <row r="25">
      <c r="A25" s="70" t="inlineStr">
        <is>
          <t>Июнь</t>
        </is>
      </c>
      <c r="B25" s="348" t="n">
        <v>232916</v>
      </c>
      <c r="C25" s="102" t="n">
        <v>135</v>
      </c>
      <c r="D25" s="328" t="n">
        <v>134.9</v>
      </c>
    </row>
    <row r="26">
      <c r="A26" s="77" t="inlineStr">
        <is>
          <t>II квартал</t>
        </is>
      </c>
      <c r="B26" s="348" t="n">
        <v>490020</v>
      </c>
      <c r="C26" s="328" t="n">
        <v>56.2</v>
      </c>
      <c r="D26" s="328" t="n">
        <v>135.1</v>
      </c>
    </row>
    <row r="27">
      <c r="A27" s="77" t="inlineStr">
        <is>
          <t>Январь-июнь</t>
        </is>
      </c>
      <c r="B27" s="348" t="n">
        <v>1362627</v>
      </c>
      <c r="C27" s="328" t="n"/>
      <c r="D27" s="328" t="n">
        <v>138.6</v>
      </c>
    </row>
    <row r="28">
      <c r="A28" s="70" t="inlineStr">
        <is>
          <t>Июль</t>
        </is>
      </c>
      <c r="B28" s="348" t="n">
        <v>153701</v>
      </c>
      <c r="C28" s="102" t="n">
        <v>66</v>
      </c>
      <c r="D28" s="328" t="n">
        <v>62.1</v>
      </c>
    </row>
    <row r="29">
      <c r="A29" s="70" t="inlineStr">
        <is>
          <t>Август</t>
        </is>
      </c>
      <c r="B29" s="348" t="n">
        <v>191132</v>
      </c>
      <c r="C29" s="102" t="n">
        <v>124.4</v>
      </c>
      <c r="D29" s="328" t="n">
        <v>93.59999999999999</v>
      </c>
    </row>
    <row r="30">
      <c r="A30" s="70" t="inlineStr">
        <is>
          <t>Сентябрь</t>
        </is>
      </c>
      <c r="B30" s="348" t="n">
        <v>224298</v>
      </c>
      <c r="C30" s="102" t="n">
        <v>117.4</v>
      </c>
      <c r="D30" s="328" t="n">
        <v>99.2</v>
      </c>
    </row>
    <row r="31">
      <c r="A31" s="77" t="inlineStr">
        <is>
          <t>III квартал</t>
        </is>
      </c>
      <c r="B31" s="348" t="n">
        <v>569131</v>
      </c>
      <c r="C31" s="102" t="n">
        <v>116.1</v>
      </c>
      <c r="D31" s="102" t="n">
        <v>84</v>
      </c>
    </row>
    <row r="32">
      <c r="A32" s="77" t="inlineStr">
        <is>
          <t>Январь-сентябрь</t>
        </is>
      </c>
      <c r="B32" s="348" t="n">
        <v>1931758</v>
      </c>
      <c r="C32" s="328" t="n"/>
      <c r="D32" s="102" t="n">
        <v>116.3</v>
      </c>
    </row>
    <row r="33">
      <c r="A33" s="696" t="inlineStr">
        <is>
          <t>Октябрь</t>
        </is>
      </c>
      <c r="B33" s="348" t="n">
        <v>119356</v>
      </c>
      <c r="C33" s="328" t="n">
        <v>53.2</v>
      </c>
      <c r="D33" s="102" t="n">
        <v>56.3</v>
      </c>
    </row>
    <row r="34">
      <c r="A34" s="696" t="inlineStr">
        <is>
          <t>Ноябрь</t>
        </is>
      </c>
      <c r="B34" s="348" t="n">
        <v>214538</v>
      </c>
      <c r="C34" s="328" t="n">
        <v>179.7</v>
      </c>
      <c r="D34" s="102" t="n">
        <v>119.8</v>
      </c>
    </row>
    <row r="35">
      <c r="A35" s="70" t="inlineStr">
        <is>
          <t>Декабрь</t>
        </is>
      </c>
      <c r="B35" s="348" t="n">
        <v>337676</v>
      </c>
      <c r="C35" s="328" t="n">
        <v>157.4</v>
      </c>
      <c r="D35" s="102" t="n">
        <v>77.90000000000001</v>
      </c>
    </row>
    <row r="36">
      <c r="A36" s="77" t="inlineStr">
        <is>
          <t>IV квартал</t>
        </is>
      </c>
      <c r="B36" s="348" t="n">
        <v>671570</v>
      </c>
      <c r="C36" s="102" t="n">
        <v>118</v>
      </c>
      <c r="D36" s="102" t="n">
        <v>81.5</v>
      </c>
    </row>
    <row r="37">
      <c r="A37" s="161" t="inlineStr">
        <is>
          <t>Январь-декабрь</t>
        </is>
      </c>
      <c r="B37" s="345" t="n">
        <v>2603328</v>
      </c>
      <c r="C37" s="300" t="n"/>
      <c r="D37" s="331" t="n">
        <v>104.7</v>
      </c>
    </row>
  </sheetData>
  <mergeCells count="4">
    <mergeCell ref="A1:D1"/>
    <mergeCell ref="C3:D3"/>
    <mergeCell ref="A3:A4"/>
    <mergeCell ref="B3:B4"/>
  </mergeCells>
  <pageMargins left="0.7" right="0.7" top="0.75" bottom="0.75" header="0.3" footer="0.3"/>
  <pageSetup orientation="portrait" paperSize="9" fitToHeight="0" verticalDpi="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C27"/>
  <sheetViews>
    <sheetView view="pageLayout" zoomScale="90" zoomScaleNormal="80" zoomScalePageLayoutView="90" workbookViewId="0">
      <selection activeCell="D6" sqref="D6"/>
    </sheetView>
  </sheetViews>
  <sheetFormatPr baseColWidth="8" defaultRowHeight="13.2"/>
  <cols>
    <col width="31.5546875" customWidth="1" style="216" min="1" max="1"/>
    <col width="27.88671875" customWidth="1" style="216" min="2" max="3"/>
    <col width="10.109375" customWidth="1" style="216" min="4" max="4"/>
  </cols>
  <sheetData>
    <row r="1" ht="13.8" customHeight="1" s="216">
      <c r="A1" s="733" t="inlineStr">
        <is>
          <t>АВТОМОБИЛЬНЫЙ ТРАНСПОРТ</t>
        </is>
      </c>
    </row>
    <row r="3" ht="41.25" customHeight="1" s="216">
      <c r="A3" s="705" t="inlineStr">
        <is>
          <t>Динамика грузооборота автомобильного транспорта организаций 
(без субъектов малого предпринимательства) всех видов экономической деятельности</t>
        </is>
      </c>
    </row>
    <row r="4">
      <c r="A4" s="670" t="n"/>
    </row>
    <row r="5" ht="26.4" customHeight="1" s="216">
      <c r="A5" s="145" t="n"/>
      <c r="B5" s="644" t="inlineStr">
        <is>
          <t>Грузооборот, млн т-км</t>
        </is>
      </c>
      <c r="C5" s="202" t="inlineStr">
        <is>
          <t>В % к соответствующему месяцу предыдущего года</t>
        </is>
      </c>
    </row>
    <row r="6">
      <c r="A6" s="169" t="inlineStr">
        <is>
          <t>2025 г.</t>
        </is>
      </c>
      <c r="B6" s="257" t="n"/>
      <c r="C6" s="257" t="n"/>
    </row>
    <row r="7">
      <c r="A7" s="379" t="inlineStr">
        <is>
          <t>Январь</t>
        </is>
      </c>
      <c r="B7" s="203" t="n">
        <v>140.8</v>
      </c>
      <c r="C7" s="203" t="n">
        <v>126.9</v>
      </c>
    </row>
    <row r="8">
      <c r="A8" s="379" t="inlineStr">
        <is>
          <t>Февраль</t>
        </is>
      </c>
      <c r="B8" s="203" t="n">
        <v>170.1</v>
      </c>
      <c r="C8" s="203" t="n">
        <v>136.7</v>
      </c>
    </row>
    <row r="9">
      <c r="A9" s="379" t="inlineStr">
        <is>
          <t>Март</t>
        </is>
      </c>
      <c r="B9" s="203" t="n">
        <v>191</v>
      </c>
      <c r="C9" s="203" t="n">
        <v>122.3</v>
      </c>
    </row>
    <row r="10">
      <c r="A10" s="379" t="inlineStr">
        <is>
          <t>Апрель</t>
        </is>
      </c>
      <c r="B10" s="203" t="n">
        <v>182.7</v>
      </c>
      <c r="C10" s="203" t="n">
        <v>124.3</v>
      </c>
    </row>
    <row r="11">
      <c r="A11" s="379" t="inlineStr">
        <is>
          <t>Май</t>
        </is>
      </c>
      <c r="B11" s="203" t="n">
        <v>173.6</v>
      </c>
      <c r="C11" s="203" t="n">
        <v>116.9</v>
      </c>
    </row>
    <row r="12">
      <c r="A12" s="379" t="inlineStr">
        <is>
          <t>Июнь</t>
        </is>
      </c>
      <c r="B12" s="203" t="n">
        <v>170.3</v>
      </c>
      <c r="C12" s="203" t="n">
        <v>110.7</v>
      </c>
    </row>
    <row r="13">
      <c r="A13" s="379" t="inlineStr">
        <is>
          <t>Июль</t>
        </is>
      </c>
      <c r="B13" s="203" t="n">
        <v>173.9</v>
      </c>
      <c r="C13" s="203" t="n">
        <v>107.6</v>
      </c>
    </row>
    <row r="14">
      <c r="A14" s="567" t="inlineStr">
        <is>
          <t>Август</t>
        </is>
      </c>
      <c r="B14" s="203" t="n">
        <v>180.8</v>
      </c>
      <c r="C14" s="203" t="n">
        <v>99.3</v>
      </c>
    </row>
    <row r="15">
      <c r="A15" s="163" t="inlineStr">
        <is>
          <t>2024 г.</t>
        </is>
      </c>
      <c r="B15" s="128" t="n"/>
      <c r="C15" s="128" t="n"/>
    </row>
    <row r="16">
      <c r="A16" s="379" t="inlineStr">
        <is>
          <t>Январь</t>
        </is>
      </c>
      <c r="B16" s="203" t="n">
        <v>111</v>
      </c>
      <c r="C16" s="203" t="n">
        <v>86.7</v>
      </c>
    </row>
    <row r="17" ht="13.5" customHeight="1" s="216">
      <c r="A17" s="379" t="inlineStr">
        <is>
          <t>Февраль</t>
        </is>
      </c>
      <c r="B17" s="203" t="n">
        <v>124.5</v>
      </c>
      <c r="C17" s="203" t="n">
        <v>108.8</v>
      </c>
    </row>
    <row r="18" ht="13.5" customHeight="1" s="216">
      <c r="A18" s="379" t="inlineStr">
        <is>
          <t>Март</t>
        </is>
      </c>
      <c r="B18" s="203" t="n">
        <v>156.2</v>
      </c>
      <c r="C18" s="203" t="n">
        <v>127.3</v>
      </c>
    </row>
    <row r="19" ht="13.5" customHeight="1" s="216">
      <c r="A19" s="379" t="inlineStr">
        <is>
          <t>Апрель</t>
        </is>
      </c>
      <c r="B19" s="203" t="n">
        <v>146.9</v>
      </c>
      <c r="C19" s="203" t="n">
        <v>114.1</v>
      </c>
    </row>
    <row r="20" ht="13.5" customHeight="1" s="216">
      <c r="A20" s="379" t="inlineStr">
        <is>
          <t>Май</t>
        </is>
      </c>
      <c r="B20" s="203" t="n">
        <v>148.5</v>
      </c>
      <c r="C20" s="203" t="n">
        <v>108.5</v>
      </c>
    </row>
    <row r="21" ht="13.5" customHeight="1" s="216">
      <c r="A21" s="379" t="inlineStr">
        <is>
          <t>Июнь</t>
        </is>
      </c>
      <c r="B21" s="203" t="n">
        <v>153.8</v>
      </c>
      <c r="C21" s="203" t="n">
        <v>111.7</v>
      </c>
    </row>
    <row r="22" ht="13.5" customHeight="1" s="216">
      <c r="A22" s="379" t="inlineStr">
        <is>
          <t>Июль</t>
        </is>
      </c>
      <c r="B22" s="203" t="n">
        <v>161.7</v>
      </c>
      <c r="C22" s="203" t="n">
        <v>120.8</v>
      </c>
    </row>
    <row r="23" ht="13.5" customHeight="1" s="216">
      <c r="A23" s="567" t="inlineStr">
        <is>
          <t>Август</t>
        </is>
      </c>
      <c r="B23" s="203" t="n">
        <v>182.1</v>
      </c>
      <c r="C23" s="203" t="n">
        <v>124.5</v>
      </c>
    </row>
    <row r="24" ht="13.5" customHeight="1" s="216">
      <c r="A24" s="567" t="inlineStr">
        <is>
          <t>Сентябрь</t>
        </is>
      </c>
      <c r="B24" s="203" t="n">
        <v>184.9</v>
      </c>
      <c r="C24" s="203" t="n">
        <v>128.4</v>
      </c>
    </row>
    <row r="25" ht="13.5" customHeight="1" s="216">
      <c r="A25" s="567" t="inlineStr">
        <is>
          <t>Октябрь</t>
        </is>
      </c>
      <c r="B25" s="203" t="n">
        <v>165.2</v>
      </c>
      <c r="C25" s="203" t="n">
        <v>111.1</v>
      </c>
    </row>
    <row r="26" ht="13.5" customHeight="1" s="216">
      <c r="A26" s="567" t="inlineStr">
        <is>
          <t>Ноябрь</t>
        </is>
      </c>
      <c r="B26" s="203" t="n">
        <v>157.9</v>
      </c>
      <c r="C26" s="203" t="n">
        <v>129.2</v>
      </c>
    </row>
    <row r="27" ht="13.5" customHeight="1" s="216">
      <c r="A27" s="301" t="inlineStr">
        <is>
          <t>Декабрь</t>
        </is>
      </c>
      <c r="B27" s="302" t="n">
        <v>162.9</v>
      </c>
      <c r="C27" s="302" t="n">
        <v>138.2</v>
      </c>
    </row>
  </sheetData>
  <mergeCells count="2">
    <mergeCell ref="A1:C1"/>
    <mergeCell ref="A3:C3"/>
  </mergeCells>
  <pageMargins left="0.7" right="0.7" top="0.75" bottom="0.75" header="0.3" footer="0.3"/>
  <pageSetup orientation="portrait" paperSize="9"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C27"/>
  <sheetViews>
    <sheetView zoomScale="80" zoomScaleNormal="80" workbookViewId="0">
      <selection activeCell="D6" sqref="D6"/>
    </sheetView>
  </sheetViews>
  <sheetFormatPr baseColWidth="8" defaultRowHeight="13.2"/>
  <cols>
    <col width="35.88671875" customWidth="1" style="216" min="1" max="1"/>
    <col width="29.44140625" customWidth="1" style="216" min="2" max="3"/>
  </cols>
  <sheetData>
    <row r="1" ht="40.8" customHeight="1" s="216">
      <c r="A1" s="705" t="inlineStr">
        <is>
          <t>Динамика пассажирооборота автомобильного транспорта общего пользования (c учетом физических лиц, осуществляющих перевозки пассажиров на коммерческой основе)</t>
        </is>
      </c>
    </row>
    <row r="2">
      <c r="A2" s="670" t="n"/>
    </row>
    <row r="3" ht="41.25" customHeight="1" s="216">
      <c r="A3" s="145" t="n"/>
      <c r="B3" s="644" t="inlineStr">
        <is>
          <t>Пассажирооборот,
 млн пасс.-км</t>
        </is>
      </c>
      <c r="C3" s="202" t="inlineStr">
        <is>
          <t>В % к 
соответствующему месяцу предыдущего года</t>
        </is>
      </c>
    </row>
    <row r="4">
      <c r="A4" s="121" t="inlineStr">
        <is>
          <t>2025 г.</t>
        </is>
      </c>
      <c r="B4" s="257" t="n"/>
      <c r="C4" s="257" t="n"/>
    </row>
    <row r="5">
      <c r="A5" s="696" t="inlineStr">
        <is>
          <t>Январь</t>
        </is>
      </c>
      <c r="B5" s="289" t="n">
        <v>104.5</v>
      </c>
      <c r="C5" s="290" t="n">
        <v>102.6</v>
      </c>
    </row>
    <row r="6">
      <c r="A6" s="314" t="inlineStr">
        <is>
          <t>Февраль</t>
        </is>
      </c>
      <c r="B6" s="350" t="n">
        <v>110.2</v>
      </c>
      <c r="C6" s="351" t="n">
        <v>99.8</v>
      </c>
    </row>
    <row r="7">
      <c r="A7" s="376" t="inlineStr">
        <is>
          <t>Март</t>
        </is>
      </c>
      <c r="B7" s="289" t="n">
        <v>120.3</v>
      </c>
      <c r="C7" s="290" t="n">
        <v>105.5</v>
      </c>
    </row>
    <row r="8">
      <c r="A8" s="379" t="inlineStr">
        <is>
          <t>Апрель</t>
        </is>
      </c>
      <c r="B8" s="350" t="n">
        <v>125.5</v>
      </c>
      <c r="C8" s="351" t="n">
        <v>106.4</v>
      </c>
    </row>
    <row r="9">
      <c r="A9" s="379" t="inlineStr">
        <is>
          <t>Май</t>
        </is>
      </c>
      <c r="B9" s="350" t="n">
        <v>126.2</v>
      </c>
      <c r="C9" s="351" t="n">
        <v>101.5</v>
      </c>
    </row>
    <row r="10">
      <c r="A10" s="376" t="inlineStr">
        <is>
          <t>Июнь</t>
        </is>
      </c>
      <c r="B10" s="289" t="n">
        <v>122</v>
      </c>
      <c r="C10" s="290" t="n">
        <v>102.8</v>
      </c>
    </row>
    <row r="11" ht="15.6" customHeight="1" s="216">
      <c r="A11" s="379" t="inlineStr">
        <is>
          <t>Июль1)</t>
        </is>
      </c>
      <c r="B11" s="289" t="n">
        <v>124.5</v>
      </c>
      <c r="C11" s="290" t="n">
        <v>101.1</v>
      </c>
    </row>
    <row r="12">
      <c r="A12" s="76" t="inlineStr">
        <is>
          <t>Август</t>
        </is>
      </c>
      <c r="B12" s="289" t="n">
        <v>119.6</v>
      </c>
      <c r="C12" s="290" t="n">
        <v>98.09999999999999</v>
      </c>
    </row>
    <row r="13">
      <c r="A13" s="125" t="inlineStr">
        <is>
          <t>2024 г.</t>
        </is>
      </c>
      <c r="B13" s="303" t="n"/>
      <c r="C13" s="304" t="n"/>
    </row>
    <row r="14">
      <c r="A14" s="376" t="inlineStr">
        <is>
          <t>Январь</t>
        </is>
      </c>
      <c r="B14" s="289" t="n">
        <v>101.9</v>
      </c>
      <c r="C14" s="290" t="n">
        <v>97.8</v>
      </c>
    </row>
    <row r="15">
      <c r="A15" s="376" t="inlineStr">
        <is>
          <t>Февраль</t>
        </is>
      </c>
      <c r="B15" s="289" t="n">
        <v>110.4</v>
      </c>
      <c r="C15" s="290" t="n">
        <v>104.1</v>
      </c>
    </row>
    <row r="16">
      <c r="A16" s="376" t="inlineStr">
        <is>
          <t>Март</t>
        </is>
      </c>
      <c r="B16" s="289" t="n">
        <v>114</v>
      </c>
      <c r="C16" s="290" t="n">
        <v>91.2</v>
      </c>
    </row>
    <row r="17" ht="13.5" customHeight="1" s="216">
      <c r="A17" s="376" t="inlineStr">
        <is>
          <t>Апрель</t>
        </is>
      </c>
      <c r="B17" s="289" t="n">
        <v>118</v>
      </c>
      <c r="C17" s="290" t="n">
        <v>95.90000000000001</v>
      </c>
    </row>
    <row r="18" ht="13.5" customHeight="1" s="216">
      <c r="A18" s="376" t="inlineStr">
        <is>
          <t>Май</t>
        </is>
      </c>
      <c r="B18" s="289" t="n">
        <v>124.3</v>
      </c>
      <c r="C18" s="290" t="n">
        <v>96.40000000000001</v>
      </c>
    </row>
    <row r="19" ht="13.5" customHeight="1" s="216">
      <c r="A19" s="376" t="inlineStr">
        <is>
          <t>Июнь</t>
        </is>
      </c>
      <c r="B19" s="289" t="n">
        <v>118.7</v>
      </c>
      <c r="C19" s="290" t="n">
        <v>98.40000000000001</v>
      </c>
    </row>
    <row r="20" ht="13.5" customHeight="1" s="216">
      <c r="A20" s="376" t="inlineStr">
        <is>
          <t>Июль</t>
        </is>
      </c>
      <c r="B20" s="289" t="n">
        <v>123.2</v>
      </c>
      <c r="C20" s="290" t="n">
        <v>102.2</v>
      </c>
    </row>
    <row r="21" ht="13.5" customHeight="1" s="216">
      <c r="A21" s="76" t="inlineStr">
        <is>
          <t>Август</t>
        </is>
      </c>
      <c r="B21" s="289" t="n">
        <v>122</v>
      </c>
      <c r="C21" s="290" t="n">
        <v>97.2</v>
      </c>
    </row>
    <row r="22" ht="13.5" customHeight="1" s="216">
      <c r="A22" s="76" t="inlineStr">
        <is>
          <t>Сентябрь</t>
        </is>
      </c>
      <c r="B22" s="289" t="n">
        <v>129.3</v>
      </c>
      <c r="C22" s="290" t="n">
        <v>100.6</v>
      </c>
    </row>
    <row r="23" ht="13.5" customHeight="1" s="216">
      <c r="A23" s="76" t="inlineStr">
        <is>
          <t>Октябрь</t>
        </is>
      </c>
      <c r="B23" s="289" t="n">
        <v>128.2</v>
      </c>
      <c r="C23" s="290" t="n">
        <v>97.7</v>
      </c>
    </row>
    <row r="24" ht="13.5" customHeight="1" s="216">
      <c r="A24" s="76" t="inlineStr">
        <is>
          <t>Ноябрь</t>
        </is>
      </c>
      <c r="B24" s="289" t="n">
        <v>121.1</v>
      </c>
      <c r="C24" s="290" t="n">
        <v>98.8</v>
      </c>
    </row>
    <row r="25" ht="13.5" customHeight="1" s="216">
      <c r="A25" s="270" t="inlineStr">
        <is>
          <t>Декабрь</t>
        </is>
      </c>
      <c r="B25" s="320" t="n">
        <v>120</v>
      </c>
      <c r="C25" s="321" t="n">
        <v>101.4</v>
      </c>
    </row>
    <row r="26" ht="13.5" customHeight="1" s="216"/>
    <row r="27" ht="13.5" customHeight="1" s="216">
      <c r="A27" s="461" t="inlineStr">
        <is>
          <t>1) Уточнено</t>
        </is>
      </c>
    </row>
  </sheetData>
  <mergeCells count="1">
    <mergeCell ref="A1:C1"/>
  </mergeCells>
  <pageMargins left="0.7" right="0.7" top="0.75" bottom="0.75" header="0.3" footer="0.3"/>
  <pageSetup orientation="portrait" paperSize="9" scale="94"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19.xml><?xml version="1.0" encoding="utf-8"?>
<worksheet xmlns="http://schemas.openxmlformats.org/spreadsheetml/2006/main">
  <sheetPr>
    <outlinePr summaryBelow="1" summaryRight="1"/>
    <pageSetUpPr fitToPage="1"/>
  </sheetPr>
  <dimension ref="A1:D41"/>
  <sheetViews>
    <sheetView topLeftCell="A13" zoomScale="80" zoomScaleNormal="80" workbookViewId="0">
      <selection activeCell="D6" sqref="D6"/>
    </sheetView>
  </sheetViews>
  <sheetFormatPr baseColWidth="8" defaultRowHeight="13.2"/>
  <cols>
    <col width="29.44140625" customWidth="1" style="216" min="1" max="1"/>
    <col width="19" customWidth="1" style="216" min="2" max="2"/>
    <col width="17.6640625" customWidth="1" style="216" min="3" max="4"/>
  </cols>
  <sheetData>
    <row r="1" ht="13.8" customHeight="1" s="216">
      <c r="A1" s="733" t="inlineStr">
        <is>
          <t>III. РЫНКИ ТОВАРОВ И УСЛУГ</t>
        </is>
      </c>
    </row>
    <row r="3" ht="13.8" customHeight="1" s="216">
      <c r="A3" s="733" t="inlineStr">
        <is>
          <t>РОЗНИЧНАЯ ТОРГОВЛЯ</t>
        </is>
      </c>
    </row>
    <row r="5" ht="13.8" customHeight="1" s="216">
      <c r="A5" s="694" t="inlineStr">
        <is>
          <t>Динамика оборота розничной торговли</t>
        </is>
      </c>
    </row>
    <row r="6">
      <c r="A6" s="35" t="n"/>
    </row>
    <row r="7">
      <c r="A7" s="144" t="n"/>
      <c r="B7" s="673" t="inlineStr">
        <is>
          <t>Млн рублей</t>
        </is>
      </c>
      <c r="C7" s="673" t="inlineStr">
        <is>
          <t>В % к</t>
        </is>
      </c>
      <c r="D7" s="755" t="n"/>
    </row>
    <row r="8" ht="39.6" customHeight="1" s="216">
      <c r="A8" s="758" t="n"/>
      <c r="B8" s="758" t="n"/>
      <c r="C8" s="688" t="inlineStr">
        <is>
          <t>предыдущему     периоду</t>
        </is>
      </c>
      <c r="D8" s="732" t="inlineStr">
        <is>
          <t>соответствующему периоду предыдущего года</t>
        </is>
      </c>
    </row>
    <row r="9">
      <c r="A9" s="257" t="inlineStr">
        <is>
          <t>2025 г.</t>
        </is>
      </c>
      <c r="B9" s="129" t="n"/>
      <c r="C9" s="129" t="n"/>
      <c r="D9" s="129" t="n"/>
    </row>
    <row r="10">
      <c r="A10" s="141" t="inlineStr">
        <is>
          <t>Январь</t>
        </is>
      </c>
      <c r="B10" s="551" t="n">
        <v>53733.7</v>
      </c>
      <c r="C10" s="551" t="n">
        <v>82.5</v>
      </c>
      <c r="D10" s="551" t="n">
        <v>101.9</v>
      </c>
    </row>
    <row r="11">
      <c r="A11" s="259" t="inlineStr">
        <is>
          <t>Февраль</t>
        </is>
      </c>
      <c r="B11" s="551" t="n">
        <v>52433.5</v>
      </c>
      <c r="C11" s="551" t="n">
        <v>96.5</v>
      </c>
      <c r="D11" s="551" t="n">
        <v>97.40000000000001</v>
      </c>
    </row>
    <row r="12">
      <c r="A12" s="92" t="inlineStr">
        <is>
          <t>Март</t>
        </is>
      </c>
      <c r="B12" s="551" t="n">
        <v>57369.7</v>
      </c>
      <c r="C12" s="551" t="n">
        <v>108.6</v>
      </c>
      <c r="D12" s="551" t="n">
        <v>102.8</v>
      </c>
    </row>
    <row r="13">
      <c r="A13" s="347" t="inlineStr">
        <is>
          <t>I квартал</t>
        </is>
      </c>
      <c r="B13" s="551" t="n">
        <v>163536.9</v>
      </c>
      <c r="C13" s="551" t="n">
        <v>94</v>
      </c>
      <c r="D13" s="551" t="n">
        <v>100.7</v>
      </c>
    </row>
    <row r="14">
      <c r="A14" s="380" t="inlineStr">
        <is>
          <t>Апрель</t>
        </is>
      </c>
      <c r="B14" s="551" t="n">
        <v>57976.9</v>
      </c>
      <c r="C14" s="551" t="n">
        <v>100.8</v>
      </c>
      <c r="D14" s="551" t="n">
        <v>101.6</v>
      </c>
    </row>
    <row r="15">
      <c r="A15" s="92" t="inlineStr">
        <is>
          <t>Май</t>
        </is>
      </c>
      <c r="B15" s="551" t="n">
        <v>59012</v>
      </c>
      <c r="C15" s="551" t="n">
        <v>101.5</v>
      </c>
      <c r="D15" s="551" t="n">
        <v>101.7</v>
      </c>
    </row>
    <row r="16">
      <c r="A16" s="259" t="inlineStr">
        <is>
          <t>Июнь</t>
        </is>
      </c>
      <c r="B16" s="551" t="n">
        <v>61506.5</v>
      </c>
      <c r="C16" s="551" t="n">
        <v>104.3</v>
      </c>
      <c r="D16" s="551" t="n">
        <v>104</v>
      </c>
    </row>
    <row r="17">
      <c r="A17" s="105" t="inlineStr">
        <is>
          <t>II квартал</t>
        </is>
      </c>
      <c r="B17" s="551" t="n">
        <v>178495.4</v>
      </c>
      <c r="C17" s="551" t="n">
        <v>107.4</v>
      </c>
      <c r="D17" s="551" t="n">
        <v>102.4</v>
      </c>
    </row>
    <row r="18">
      <c r="A18" s="105" t="inlineStr">
        <is>
          <t>Январь-июнь</t>
        </is>
      </c>
      <c r="B18" s="551" t="n">
        <v>342032.4</v>
      </c>
      <c r="C18" s="551" t="n"/>
      <c r="D18" s="551" t="n">
        <v>101.6</v>
      </c>
    </row>
    <row r="19">
      <c r="A19" s="259" t="inlineStr">
        <is>
          <t>Июль</t>
        </is>
      </c>
      <c r="B19" s="551" t="n">
        <v>61191.2</v>
      </c>
      <c r="C19" s="551" t="n">
        <v>99.59999999999999</v>
      </c>
      <c r="D19" s="551" t="n">
        <v>102.4</v>
      </c>
    </row>
    <row r="20">
      <c r="A20" s="259" t="inlineStr">
        <is>
          <t>Август</t>
        </is>
      </c>
      <c r="B20" s="551" t="n">
        <v>61894.6</v>
      </c>
      <c r="C20" s="551" t="n">
        <v>101.8</v>
      </c>
      <c r="D20" s="551" t="n">
        <v>103.6</v>
      </c>
    </row>
    <row r="21">
      <c r="A21" s="105" t="inlineStr">
        <is>
          <t>Январь-август</t>
        </is>
      </c>
      <c r="B21" s="551" t="n">
        <v>465118.2</v>
      </c>
      <c r="C21" s="551" t="n"/>
      <c r="D21" s="551" t="n">
        <v>102</v>
      </c>
    </row>
    <row r="22">
      <c r="A22" s="128" t="inlineStr">
        <is>
          <t>2024 г.</t>
        </is>
      </c>
      <c r="B22" s="130" t="n"/>
      <c r="C22" s="130" t="n"/>
      <c r="D22" s="130" t="n"/>
    </row>
    <row r="23">
      <c r="A23" s="141" t="inlineStr">
        <is>
          <t>Январь</t>
        </is>
      </c>
      <c r="B23" s="551" t="n">
        <v>49457.2</v>
      </c>
      <c r="C23" s="551" t="n">
        <v>88.5</v>
      </c>
      <c r="D23" s="551" t="n">
        <v>122.6</v>
      </c>
    </row>
    <row r="24">
      <c r="A24" s="259" t="inlineStr">
        <is>
          <t>Февраль</t>
        </is>
      </c>
      <c r="B24" s="551" t="n">
        <v>50197.1</v>
      </c>
      <c r="C24" s="551" t="n">
        <v>101</v>
      </c>
      <c r="D24" s="551" t="n">
        <v>120.8</v>
      </c>
    </row>
    <row r="25">
      <c r="A25" s="259" t="inlineStr">
        <is>
          <t>Март</t>
        </is>
      </c>
      <c r="B25" s="551" t="n">
        <v>51709</v>
      </c>
      <c r="C25" s="551" t="n">
        <v>102.9</v>
      </c>
      <c r="D25" s="551" t="n">
        <v>116</v>
      </c>
    </row>
    <row r="26">
      <c r="A26" s="105" t="inlineStr">
        <is>
          <t>I квартал</t>
        </is>
      </c>
      <c r="B26" s="551" t="n">
        <v>151363.2</v>
      </c>
      <c r="C26" s="551" t="n">
        <v>96.40000000000001</v>
      </c>
      <c r="D26" s="551" t="n">
        <v>118</v>
      </c>
    </row>
    <row r="27">
      <c r="A27" s="259" t="inlineStr">
        <is>
          <t>Апрель</t>
        </is>
      </c>
      <c r="B27" s="551" t="n">
        <v>53361.8</v>
      </c>
      <c r="C27" s="551" t="n">
        <v>102</v>
      </c>
      <c r="D27" s="551" t="n">
        <v>112.6</v>
      </c>
    </row>
    <row r="28">
      <c r="A28" s="259" t="inlineStr">
        <is>
          <t>Май</t>
        </is>
      </c>
      <c r="B28" s="551" t="n">
        <v>53613.4</v>
      </c>
      <c r="C28" s="551" t="n">
        <v>101.4</v>
      </c>
      <c r="D28" s="551" t="n">
        <v>112.8</v>
      </c>
    </row>
    <row r="29">
      <c r="A29" s="259" t="inlineStr">
        <is>
          <t>Июнь</t>
        </is>
      </c>
      <c r="B29" s="551" t="n">
        <v>54661.9</v>
      </c>
      <c r="C29" s="551" t="n">
        <v>101.9</v>
      </c>
      <c r="D29" s="551" t="n">
        <v>113.5</v>
      </c>
    </row>
    <row r="30">
      <c r="A30" s="105" t="inlineStr">
        <is>
          <t>II квартал</t>
        </is>
      </c>
      <c r="B30" s="551" t="n">
        <v>161637</v>
      </c>
      <c r="C30" s="551" t="n">
        <v>105.9</v>
      </c>
      <c r="D30" s="551" t="n">
        <v>113.2</v>
      </c>
    </row>
    <row r="31">
      <c r="A31" s="105" t="inlineStr">
        <is>
          <t>Январь-июнь</t>
        </is>
      </c>
      <c r="B31" s="551" t="n">
        <v>313000.2</v>
      </c>
      <c r="C31" s="551" t="n"/>
      <c r="D31" s="551" t="n">
        <v>115.7</v>
      </c>
    </row>
    <row r="32">
      <c r="A32" s="259" t="inlineStr">
        <is>
          <t>Июль</t>
        </is>
      </c>
      <c r="B32" s="551" t="n">
        <v>55599</v>
      </c>
      <c r="C32" s="551" t="n">
        <v>101.1</v>
      </c>
      <c r="D32" s="551" t="n">
        <v>105.2</v>
      </c>
    </row>
    <row r="33">
      <c r="A33" s="259" t="inlineStr">
        <is>
          <t>Август</t>
        </is>
      </c>
      <c r="B33" s="247" t="n">
        <v>56000.3</v>
      </c>
      <c r="C33" s="247" t="n">
        <v>100.6</v>
      </c>
      <c r="D33" s="247" t="n">
        <v>103</v>
      </c>
    </row>
    <row r="34">
      <c r="A34" s="259" t="inlineStr">
        <is>
          <t>Сентябрь</t>
        </is>
      </c>
      <c r="B34" s="247" t="n">
        <v>55796.5</v>
      </c>
      <c r="C34" s="247" t="n">
        <v>99.3</v>
      </c>
      <c r="D34" s="247" t="n">
        <v>102.4</v>
      </c>
    </row>
    <row r="35">
      <c r="A35" s="105" t="inlineStr">
        <is>
          <t>III квартал</t>
        </is>
      </c>
      <c r="B35" s="247" t="n">
        <v>167395.8</v>
      </c>
      <c r="C35" s="247" t="n">
        <v>103.2</v>
      </c>
      <c r="D35" s="247" t="n">
        <v>103.5</v>
      </c>
    </row>
    <row r="36">
      <c r="A36" s="105" t="inlineStr">
        <is>
          <t>Январь-сентябрь</t>
        </is>
      </c>
      <c r="B36" s="247" t="n">
        <v>480396</v>
      </c>
      <c r="C36" s="247" t="n"/>
      <c r="D36" s="247" t="n">
        <v>111.1</v>
      </c>
    </row>
    <row r="37">
      <c r="A37" s="522" t="inlineStr">
        <is>
          <t>Октябрь</t>
        </is>
      </c>
      <c r="B37" s="247" t="n">
        <v>57009.3</v>
      </c>
      <c r="C37" s="247" t="n">
        <v>101.2</v>
      </c>
      <c r="D37" s="247" t="n">
        <v>102.5</v>
      </c>
    </row>
    <row r="38">
      <c r="A38" s="696" t="inlineStr">
        <is>
          <t>Ноябрь</t>
        </is>
      </c>
      <c r="B38" s="247" t="n">
        <v>57954.1</v>
      </c>
      <c r="C38" s="247" t="n">
        <v>100.5</v>
      </c>
      <c r="D38" s="247" t="n">
        <v>105.9</v>
      </c>
    </row>
    <row r="39">
      <c r="A39" s="259" t="inlineStr">
        <is>
          <t>Декабрь</t>
        </is>
      </c>
      <c r="B39" s="247" t="n">
        <v>64539.3</v>
      </c>
      <c r="C39" s="247" t="n">
        <v>109.7</v>
      </c>
      <c r="D39" s="247" t="n">
        <v>109.7</v>
      </c>
    </row>
    <row r="40" ht="14.4" customHeight="1" s="216">
      <c r="A40" s="105" t="inlineStr">
        <is>
          <t>IV квартал</t>
        </is>
      </c>
      <c r="B40" s="247" t="n">
        <v>179502.7</v>
      </c>
      <c r="C40" s="247" t="n">
        <v>104.5</v>
      </c>
      <c r="D40" s="247" t="n">
        <v>109.1</v>
      </c>
    </row>
    <row r="41" ht="13.5" customHeight="1" s="216">
      <c r="A41" s="106" t="inlineStr">
        <is>
          <t>Январь-декабрь</t>
        </is>
      </c>
      <c r="B41" s="322" t="n">
        <v>659898.7</v>
      </c>
      <c r="C41" s="322" t="n"/>
      <c r="D41" s="322" t="n">
        <v>109.8</v>
      </c>
    </row>
  </sheetData>
  <mergeCells count="6">
    <mergeCell ref="A1:D1"/>
    <mergeCell ref="A5:D5"/>
    <mergeCell ref="C7:D7"/>
    <mergeCell ref="A3:D3"/>
    <mergeCell ref="A7:A8"/>
    <mergeCell ref="B7:B8"/>
  </mergeCells>
  <pageMargins left="0.7" right="0.7" top="0.75" bottom="0.75" header="0.3" footer="0.3"/>
  <pageSetup orientation="portrait" paperSize="9"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20.xml><?xml version="1.0" encoding="utf-8"?>
<worksheet xmlns="http://schemas.openxmlformats.org/spreadsheetml/2006/main">
  <sheetPr>
    <outlinePr summaryBelow="1" summaryRight="1"/>
    <pageSetUpPr fitToPage="1"/>
  </sheetPr>
  <dimension ref="A1:F9"/>
  <sheetViews>
    <sheetView zoomScale="80" zoomScaleNormal="80" workbookViewId="0">
      <selection activeCell="D6" sqref="D6"/>
    </sheetView>
  </sheetViews>
  <sheetFormatPr baseColWidth="8" defaultRowHeight="13.2"/>
  <cols>
    <col width="38.6640625" customWidth="1" style="216" min="1" max="1"/>
    <col width="17.6640625" customWidth="1" style="216" min="2" max="2"/>
    <col width="17.77734375" customWidth="1" style="216" min="3" max="3"/>
    <col width="17.33203125" customWidth="1" style="216" min="4" max="4"/>
    <col width="17.77734375" customWidth="1" style="216" min="5" max="5"/>
    <col width="19.33203125" customWidth="1" style="216" min="6" max="6"/>
  </cols>
  <sheetData>
    <row r="1" ht="30.6" customHeight="1" s="216">
      <c r="A1" s="705" t="inlineStr">
        <is>
          <t>Оборот розничной торговли торгующих организаций и продажа товаров на розничных рынках и ярмарках</t>
        </is>
      </c>
    </row>
    <row r="2" ht="18" customHeight="1" s="216">
      <c r="A2" s="36" t="n"/>
      <c r="B2" s="36" t="n"/>
      <c r="C2" s="36" t="n"/>
    </row>
    <row r="3" ht="14.4" customHeight="1" s="216">
      <c r="A3" s="763" t="n"/>
      <c r="B3" s="672" t="inlineStr">
        <is>
          <t>Август 2025 г.</t>
        </is>
      </c>
      <c r="C3" s="755" t="n"/>
      <c r="D3" s="672" t="inlineStr">
        <is>
          <t>Январь-август 2025 г.</t>
        </is>
      </c>
      <c r="E3" s="755" t="n"/>
      <c r="F3" s="728" t="inlineStr">
        <is>
          <t>Справочно</t>
        </is>
      </c>
    </row>
    <row r="4" ht="56.4" customHeight="1" s="216">
      <c r="A4" s="758" t="n"/>
      <c r="B4" s="673" t="inlineStr">
        <is>
          <t>млн рублей</t>
        </is>
      </c>
      <c r="C4" s="672" t="inlineStr">
        <is>
          <t>в % к  
соответствующему
месяцу предыдущего года</t>
        </is>
      </c>
      <c r="D4" s="673" t="inlineStr">
        <is>
          <t>млн рублей</t>
        </is>
      </c>
      <c r="E4" s="672" t="inlineStr">
        <is>
          <t>в % к         соответствующему периоду предыдущего года</t>
        </is>
      </c>
      <c r="F4" s="739" t="inlineStr">
        <is>
          <t>январь-август 2024 г. 
в % к 
январю-августу
 2023 г.</t>
        </is>
      </c>
    </row>
    <row r="5" ht="19.95" customHeight="1" s="216">
      <c r="A5" s="81" t="inlineStr">
        <is>
          <t>Всего</t>
        </is>
      </c>
      <c r="B5" s="485" t="n">
        <v>61894.6</v>
      </c>
      <c r="C5" s="485" t="n">
        <v>103.6</v>
      </c>
      <c r="D5" s="399" t="n">
        <v>465118.2</v>
      </c>
      <c r="E5" s="514" t="n">
        <v>102</v>
      </c>
      <c r="F5" s="352" t="n">
        <v>114.2</v>
      </c>
    </row>
    <row r="6">
      <c r="A6" s="166" t="inlineStr">
        <is>
          <t>в том числе:</t>
        </is>
      </c>
      <c r="B6" s="353" t="n"/>
      <c r="C6" s="353" t="n"/>
      <c r="D6" s="399" t="n"/>
      <c r="E6" s="348" t="n"/>
      <c r="F6" s="344" t="n"/>
    </row>
    <row r="7" ht="39.6" customHeight="1" s="216">
      <c r="A7" s="225" t="inlineStr">
        <is>
          <t>торгующих организаций  и индивидуальных предпринимателей вне рынка</t>
        </is>
      </c>
      <c r="B7" s="399" t="n">
        <v>61557.9</v>
      </c>
      <c r="C7" s="399" t="n">
        <v>103.7</v>
      </c>
      <c r="D7" s="399" t="n">
        <v>462545.8</v>
      </c>
      <c r="E7" s="485" t="n">
        <v>102.1</v>
      </c>
      <c r="F7" s="354" t="n">
        <v>114.3</v>
      </c>
    </row>
    <row r="8" ht="25.2" customHeight="1" s="216">
      <c r="A8" s="111" t="inlineStr">
        <is>
          <t>продажа товаров на розничных рынках и ярмарках (без учета юридических лиц)</t>
        </is>
      </c>
      <c r="B8" s="402" t="n">
        <v>336.7</v>
      </c>
      <c r="C8" s="356" t="n">
        <v>83.59999999999999</v>
      </c>
      <c r="D8" s="402" t="n">
        <v>2572.3</v>
      </c>
      <c r="E8" s="279" t="n">
        <v>85.3</v>
      </c>
      <c r="F8" s="357" t="n">
        <v>98.5</v>
      </c>
    </row>
    <row r="9" ht="13.95" customHeight="1" s="216">
      <c r="B9" s="358" t="n"/>
      <c r="C9" s="358" t="n"/>
      <c r="D9" s="358" t="n"/>
      <c r="E9" s="594" t="n"/>
      <c r="F9" s="594" t="n"/>
    </row>
  </sheetData>
  <mergeCells count="4">
    <mergeCell ref="D3:E3"/>
    <mergeCell ref="A1:F1"/>
    <mergeCell ref="A3:A4"/>
    <mergeCell ref="B3:C3"/>
  </mergeCells>
  <pageMargins left="0.7" right="0.7" top="0.75" bottom="0.75" header="0.3" footer="0.3"/>
  <pageSetup orientation="portrait" paperSize="9" scale="69" fitToHeight="0" verticalDpi="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21.xml><?xml version="1.0" encoding="utf-8"?>
<worksheet xmlns="http://schemas.openxmlformats.org/spreadsheetml/2006/main">
  <sheetPr>
    <outlinePr summaryBelow="1" summaryRight="1"/>
    <pageSetUpPr fitToPage="1"/>
  </sheetPr>
  <dimension ref="A1:H38"/>
  <sheetViews>
    <sheetView zoomScale="80" zoomScaleNormal="80" workbookViewId="0">
      <selection activeCell="D6" sqref="D6"/>
    </sheetView>
  </sheetViews>
  <sheetFormatPr baseColWidth="8" defaultRowHeight="13.2"/>
  <cols>
    <col width="18.5546875" customWidth="1" style="216" min="1" max="1"/>
    <col width="11.5546875" customWidth="1" style="216" min="2" max="7"/>
  </cols>
  <sheetData>
    <row r="1" ht="32.4" customHeight="1" s="216">
      <c r="A1" s="705" t="inlineStr">
        <is>
          <t>Динамика оборота розничной торговли пищевыми продуктами, включая напитки, и табачными изделиями, непродовольственными товарами</t>
        </is>
      </c>
    </row>
    <row r="2">
      <c r="A2" s="493" t="n"/>
    </row>
    <row r="3" ht="27.6" customHeight="1" s="216">
      <c r="A3" s="647" t="n"/>
      <c r="B3" s="673" t="inlineStr">
        <is>
          <t>Пищевые продукты, включая напитки,    и табачные изделия</t>
        </is>
      </c>
      <c r="C3" s="764" t="n"/>
      <c r="D3" s="755" t="n"/>
      <c r="E3" s="673" t="inlineStr">
        <is>
          <t>Непродовольственные                         товары</t>
        </is>
      </c>
      <c r="F3" s="764" t="n"/>
      <c r="G3" s="755" t="n"/>
    </row>
    <row r="4">
      <c r="A4" s="522" t="n"/>
      <c r="B4" s="687" t="inlineStr">
        <is>
          <t>млн рублей</t>
        </is>
      </c>
      <c r="C4" s="673" t="inlineStr">
        <is>
          <t>в % к</t>
        </is>
      </c>
      <c r="D4" s="755" t="n"/>
      <c r="E4" s="687" t="inlineStr">
        <is>
          <t>млн рублей</t>
        </is>
      </c>
      <c r="F4" s="673" t="inlineStr">
        <is>
          <t>в % к</t>
        </is>
      </c>
      <c r="G4" s="755" t="n"/>
    </row>
    <row r="5" ht="66" customHeight="1" s="216">
      <c r="A5" s="522" t="n"/>
      <c r="B5" s="522" t="n"/>
      <c r="C5" s="649" t="inlineStr">
        <is>
          <t>предыду-щему периоду</t>
        </is>
      </c>
      <c r="D5" s="649" t="inlineStr">
        <is>
          <t>соответст-вующему периоду предыду-щего года</t>
        </is>
      </c>
      <c r="E5" s="522" t="n"/>
      <c r="F5" s="649" t="inlineStr">
        <is>
          <t>предыду-щему периоду</t>
        </is>
      </c>
      <c r="G5" s="306" t="inlineStr">
        <is>
          <t>соответст-вующему периоду предыду-щего года</t>
        </is>
      </c>
    </row>
    <row r="6">
      <c r="A6" s="257" t="inlineStr">
        <is>
          <t>2025 г.</t>
        </is>
      </c>
      <c r="B6" s="121" t="n"/>
      <c r="C6" s="121" t="n"/>
      <c r="D6" s="121" t="n"/>
      <c r="E6" s="121" t="n"/>
      <c r="F6" s="121" t="n"/>
      <c r="G6" s="121" t="n"/>
    </row>
    <row r="7">
      <c r="A7" s="141" t="inlineStr">
        <is>
          <t>Январь</t>
        </is>
      </c>
      <c r="B7" s="108" t="n">
        <v>26045</v>
      </c>
      <c r="C7" s="108" t="n">
        <v>83</v>
      </c>
      <c r="D7" s="108" t="n">
        <v>100.5</v>
      </c>
      <c r="E7" s="108" t="n">
        <v>27688.7</v>
      </c>
      <c r="F7" s="108" t="n">
        <v>82.2</v>
      </c>
      <c r="G7" s="108" t="n">
        <v>103.3</v>
      </c>
      <c r="H7" s="238" t="n"/>
    </row>
    <row r="8">
      <c r="A8" s="63" t="inlineStr">
        <is>
          <t>Февраль</t>
        </is>
      </c>
      <c r="B8" s="108" t="n">
        <v>25342</v>
      </c>
      <c r="C8" s="108" t="n">
        <v>95.7</v>
      </c>
      <c r="D8" s="108" t="n">
        <v>95.90000000000001</v>
      </c>
      <c r="E8" s="108" t="n">
        <v>27091.5</v>
      </c>
      <c r="F8" s="108" t="n">
        <v>97.2</v>
      </c>
      <c r="G8" s="108" t="n">
        <v>98.90000000000001</v>
      </c>
      <c r="H8" s="238" t="n"/>
    </row>
    <row r="9">
      <c r="A9" s="70" t="inlineStr">
        <is>
          <t>Март</t>
        </is>
      </c>
      <c r="B9" s="108" t="n">
        <v>27572</v>
      </c>
      <c r="C9" s="108" t="n">
        <v>107.5</v>
      </c>
      <c r="D9" s="108" t="n">
        <v>100.6</v>
      </c>
      <c r="E9" s="108" t="n">
        <v>29797.7</v>
      </c>
      <c r="F9" s="108" t="n">
        <v>109.8</v>
      </c>
      <c r="G9" s="108" t="n">
        <v>105</v>
      </c>
      <c r="H9" s="238" t="n"/>
    </row>
    <row r="10">
      <c r="A10" s="77" t="inlineStr">
        <is>
          <t>I квартал</t>
        </is>
      </c>
      <c r="B10" s="108" t="n">
        <v>78959</v>
      </c>
      <c r="C10" s="108" t="n">
        <v>94</v>
      </c>
      <c r="D10" s="108" t="n">
        <v>99</v>
      </c>
      <c r="E10" s="108" t="n">
        <v>84577.89999999999</v>
      </c>
      <c r="F10" s="108" t="n">
        <v>94.5</v>
      </c>
      <c r="G10" s="108" t="n">
        <v>102.4</v>
      </c>
      <c r="H10" s="238" t="n"/>
    </row>
    <row r="11">
      <c r="A11" s="696" t="inlineStr">
        <is>
          <t>Апрель</t>
        </is>
      </c>
      <c r="B11" s="108" t="n">
        <v>27982.3</v>
      </c>
      <c r="C11" s="108" t="n">
        <v>100.4</v>
      </c>
      <c r="D11" s="108" t="n">
        <v>99.90000000000001</v>
      </c>
      <c r="E11" s="108" t="n">
        <v>29994.6</v>
      </c>
      <c r="F11" s="108" t="n">
        <v>101.2</v>
      </c>
      <c r="G11" s="108" t="n">
        <v>103.4</v>
      </c>
      <c r="H11" s="238" t="n"/>
    </row>
    <row r="12">
      <c r="A12" s="92" t="inlineStr">
        <is>
          <t>Май</t>
        </is>
      </c>
      <c r="B12" s="108" t="n">
        <v>28613</v>
      </c>
      <c r="C12" s="108" t="n">
        <v>101.4</v>
      </c>
      <c r="D12" s="108" t="n">
        <v>99.5</v>
      </c>
      <c r="E12" s="108" t="n">
        <v>30399</v>
      </c>
      <c r="F12" s="108" t="n">
        <v>101.8</v>
      </c>
      <c r="G12" s="108" t="n">
        <v>104.2</v>
      </c>
      <c r="H12" s="238" t="n"/>
    </row>
    <row r="13">
      <c r="A13" s="70" t="inlineStr">
        <is>
          <t>Июнь</t>
        </is>
      </c>
      <c r="B13" s="108" t="n">
        <v>29904.8</v>
      </c>
      <c r="C13" s="108" t="n">
        <v>104.6</v>
      </c>
      <c r="D13" s="108" t="n">
        <v>101.6</v>
      </c>
      <c r="E13" s="108" t="n">
        <v>31601.7</v>
      </c>
      <c r="F13" s="108" t="n">
        <v>104.1</v>
      </c>
      <c r="G13" s="108" t="n">
        <v>106.8</v>
      </c>
      <c r="H13" s="238" t="n"/>
    </row>
    <row r="14">
      <c r="A14" s="77" t="inlineStr">
        <is>
          <t>II квартал</t>
        </is>
      </c>
      <c r="B14" s="108" t="n">
        <v>86500</v>
      </c>
      <c r="C14" s="108" t="n">
        <v>106.3</v>
      </c>
      <c r="D14" s="108" t="n">
        <v>100.4</v>
      </c>
      <c r="E14" s="108" t="n">
        <v>91995.39999999999</v>
      </c>
      <c r="F14" s="108" t="n">
        <v>109.3</v>
      </c>
      <c r="G14" s="108" t="n">
        <v>104.8</v>
      </c>
      <c r="H14" s="238" t="n"/>
    </row>
    <row r="15">
      <c r="A15" s="77" t="inlineStr">
        <is>
          <t>Январь-июнь</t>
        </is>
      </c>
      <c r="B15" s="108" t="n">
        <v>165459</v>
      </c>
      <c r="C15" s="108" t="n"/>
      <c r="D15" s="108" t="n">
        <v>99.7</v>
      </c>
      <c r="E15" s="108" t="n">
        <v>176573.3</v>
      </c>
      <c r="F15" s="108" t="n"/>
      <c r="G15" s="108" t="n">
        <v>103.6</v>
      </c>
      <c r="H15" s="238" t="n"/>
    </row>
    <row r="16">
      <c r="A16" s="70" t="inlineStr">
        <is>
          <t>Июль</t>
        </is>
      </c>
      <c r="B16" s="108" t="n">
        <v>28974.8</v>
      </c>
      <c r="C16" s="108" t="n">
        <v>97.3</v>
      </c>
      <c r="D16" s="108" t="n">
        <v>98.90000000000001</v>
      </c>
      <c r="E16" s="108" t="n">
        <v>32216.4</v>
      </c>
      <c r="F16" s="108" t="n">
        <v>101.8</v>
      </c>
      <c r="G16" s="108" t="n">
        <v>106.3</v>
      </c>
      <c r="H16" s="238" t="n"/>
    </row>
    <row r="17">
      <c r="A17" s="70" t="inlineStr">
        <is>
          <t>Август</t>
        </is>
      </c>
      <c r="B17" s="108" t="n">
        <v>29130.4</v>
      </c>
      <c r="C17" s="108" t="n">
        <v>102.2</v>
      </c>
      <c r="D17" s="108" t="n">
        <v>100.5</v>
      </c>
      <c r="E17" s="108" t="n">
        <v>32764.2</v>
      </c>
      <c r="F17" s="108" t="n">
        <v>101.2</v>
      </c>
      <c r="G17" s="108" t="n">
        <v>106.9</v>
      </c>
      <c r="H17" s="238" t="n"/>
    </row>
    <row r="18">
      <c r="A18" s="77" t="inlineStr">
        <is>
          <t>Январь-август</t>
        </is>
      </c>
      <c r="B18" s="108" t="n">
        <v>223564.3</v>
      </c>
      <c r="C18" s="108" t="n"/>
      <c r="D18" s="108" t="n">
        <v>99.7</v>
      </c>
      <c r="E18" s="108" t="n">
        <v>241553.9</v>
      </c>
      <c r="F18" s="108" t="n"/>
      <c r="G18" s="108" t="n">
        <v>104.4</v>
      </c>
      <c r="H18" s="238" t="n"/>
    </row>
    <row r="19">
      <c r="A19" s="128" t="inlineStr">
        <is>
          <t>2024 г.</t>
        </is>
      </c>
      <c r="B19" s="125" t="n"/>
      <c r="C19" s="125" t="n"/>
      <c r="D19" s="125" t="n"/>
      <c r="E19" s="125" t="n"/>
      <c r="F19" s="125" t="n"/>
      <c r="G19" s="125" t="n"/>
      <c r="H19" s="238" t="n"/>
    </row>
    <row r="20">
      <c r="A20" s="141" t="inlineStr">
        <is>
          <t>Январь</t>
        </is>
      </c>
      <c r="B20" s="108" t="n">
        <v>23932.1</v>
      </c>
      <c r="C20" s="108" t="n">
        <v>88.2</v>
      </c>
      <c r="D20" s="108" t="n">
        <v>118</v>
      </c>
      <c r="E20" s="108" t="n">
        <v>25525.1</v>
      </c>
      <c r="F20" s="108" t="n">
        <v>89.3</v>
      </c>
      <c r="G20" s="108" t="n">
        <v>124.2</v>
      </c>
      <c r="H20" s="238" t="n"/>
    </row>
    <row r="21">
      <c r="A21" s="63" t="inlineStr">
        <is>
          <t>Февраль</t>
        </is>
      </c>
      <c r="B21" s="108" t="n">
        <v>24332.1</v>
      </c>
      <c r="C21" s="108" t="n">
        <v>100.4</v>
      </c>
      <c r="D21" s="108" t="n">
        <v>117.4</v>
      </c>
      <c r="E21" s="108" t="n">
        <v>25865</v>
      </c>
      <c r="F21" s="108" t="n">
        <v>101.6</v>
      </c>
      <c r="G21" s="108" t="n">
        <v>124</v>
      </c>
      <c r="H21" s="238" t="n"/>
    </row>
    <row r="22">
      <c r="A22" s="70" t="inlineStr">
        <is>
          <t>Март</t>
        </is>
      </c>
      <c r="B22" s="108" t="n">
        <v>24922.1</v>
      </c>
      <c r="C22" s="108" t="n">
        <v>102.4</v>
      </c>
      <c r="D22" s="108" t="n">
        <v>112.1</v>
      </c>
      <c r="E22" s="108" t="n">
        <v>26786.9</v>
      </c>
      <c r="F22" s="108" t="n">
        <v>103.3</v>
      </c>
      <c r="G22" s="108" t="n">
        <v>116.4</v>
      </c>
      <c r="H22" s="238" t="n"/>
    </row>
    <row r="23">
      <c r="A23" s="77" t="inlineStr">
        <is>
          <t>I квартал</t>
        </is>
      </c>
      <c r="B23" s="108" t="n">
        <v>73186.2</v>
      </c>
      <c r="C23" s="108" t="n">
        <v>99.8</v>
      </c>
      <c r="D23" s="108" t="n">
        <v>115.7</v>
      </c>
      <c r="E23" s="108" t="n">
        <v>78177.10000000001</v>
      </c>
      <c r="F23" s="108" t="n">
        <v>92.40000000000001</v>
      </c>
      <c r="G23" s="108" t="n">
        <v>121.4</v>
      </c>
      <c r="H23" s="238" t="n"/>
    </row>
    <row r="24">
      <c r="A24" s="70" t="inlineStr">
        <is>
          <t>Апрель</t>
        </is>
      </c>
      <c r="B24" s="108" t="n">
        <v>25464.8</v>
      </c>
      <c r="C24" s="108" t="n">
        <v>101.1</v>
      </c>
      <c r="D24" s="108" t="n">
        <v>110.9</v>
      </c>
      <c r="E24" s="108" t="n">
        <v>27896.9</v>
      </c>
      <c r="F24" s="108" t="n">
        <v>102.8</v>
      </c>
      <c r="G24" s="108" t="n">
        <v>114.3</v>
      </c>
      <c r="H24" s="238" t="n"/>
    </row>
    <row r="25">
      <c r="A25" s="63" t="inlineStr">
        <is>
          <t>Май</t>
        </is>
      </c>
      <c r="B25" s="108" t="n">
        <v>25560.2</v>
      </c>
      <c r="C25" s="108" t="n">
        <v>101.8</v>
      </c>
      <c r="D25" s="108" t="n">
        <v>111.4</v>
      </c>
      <c r="E25" s="108" t="n">
        <v>28053.1</v>
      </c>
      <c r="F25" s="108" t="n">
        <v>101</v>
      </c>
      <c r="G25" s="108" t="n">
        <v>114.3</v>
      </c>
      <c r="H25" s="238" t="n"/>
    </row>
    <row r="26">
      <c r="A26" s="70" t="inlineStr">
        <is>
          <t>Июнь</t>
        </is>
      </c>
      <c r="B26" s="108" t="n">
        <v>26194.6</v>
      </c>
      <c r="C26" s="108" t="n">
        <v>102.4</v>
      </c>
      <c r="D26" s="108" t="n">
        <v>111.2</v>
      </c>
      <c r="E26" s="108" t="n">
        <v>28467.3</v>
      </c>
      <c r="F26" s="108" t="n">
        <v>101.6</v>
      </c>
      <c r="G26" s="108" t="n">
        <v>115.6</v>
      </c>
      <c r="H26" s="238" t="n"/>
    </row>
    <row r="27">
      <c r="A27" s="77" t="inlineStr">
        <is>
          <t>II квартал</t>
        </is>
      </c>
      <c r="B27" s="108" t="n">
        <v>77219.7</v>
      </c>
      <c r="C27" s="108" t="n">
        <v>104.9</v>
      </c>
      <c r="D27" s="108" t="n">
        <v>111.3</v>
      </c>
      <c r="E27" s="108" t="n">
        <v>84417.3</v>
      </c>
      <c r="F27" s="108" t="n">
        <v>106.9</v>
      </c>
      <c r="G27" s="108" t="n">
        <v>114.7</v>
      </c>
      <c r="H27" s="238" t="n"/>
    </row>
    <row r="28">
      <c r="A28" s="77" t="inlineStr">
        <is>
          <t>Январь-июнь</t>
        </is>
      </c>
      <c r="B28" s="108" t="n">
        <v>150405.8</v>
      </c>
      <c r="C28" s="108" t="n"/>
      <c r="D28" s="108" t="n">
        <v>113.4</v>
      </c>
      <c r="E28" s="108" t="n">
        <v>162594.4</v>
      </c>
      <c r="F28" s="108" t="n"/>
      <c r="G28" s="108" t="n">
        <v>117.9</v>
      </c>
      <c r="H28" s="238" t="n"/>
    </row>
    <row r="29">
      <c r="A29" s="70" t="inlineStr">
        <is>
          <t>Июль</t>
        </is>
      </c>
      <c r="B29" s="108" t="n">
        <v>26133.6</v>
      </c>
      <c r="C29" s="108" t="n">
        <v>99.90000000000001</v>
      </c>
      <c r="D29" s="108" t="n">
        <v>103.5</v>
      </c>
      <c r="E29" s="108" t="n">
        <v>29465.4</v>
      </c>
      <c r="F29" s="108" t="n">
        <v>102.2</v>
      </c>
      <c r="G29" s="108" t="n">
        <v>106.7</v>
      </c>
      <c r="H29" s="238" t="n"/>
    </row>
    <row r="30">
      <c r="A30" s="70" t="inlineStr">
        <is>
          <t>Август</t>
        </is>
      </c>
      <c r="B30" s="576" t="n">
        <v>26264.5</v>
      </c>
      <c r="C30" s="576" t="n">
        <v>100.6</v>
      </c>
      <c r="D30" s="576" t="n">
        <v>103.1</v>
      </c>
      <c r="E30" s="576" t="n">
        <v>29735.9</v>
      </c>
      <c r="F30" s="576" t="n">
        <v>100.6</v>
      </c>
      <c r="G30" s="576" t="n">
        <v>102.9</v>
      </c>
      <c r="H30" s="238" t="n"/>
    </row>
    <row r="31">
      <c r="A31" s="70" t="inlineStr">
        <is>
          <t>Сентябрь</t>
        </is>
      </c>
      <c r="B31" s="576" t="n">
        <v>26826.3</v>
      </c>
      <c r="C31" s="576" t="n">
        <v>101.6</v>
      </c>
      <c r="D31" s="576" t="n">
        <v>104.8</v>
      </c>
      <c r="E31" s="576" t="n">
        <v>28970.2</v>
      </c>
      <c r="F31" s="576" t="n">
        <v>97.3</v>
      </c>
      <c r="G31" s="576" t="n">
        <v>100.4</v>
      </c>
      <c r="H31" s="238" t="n"/>
    </row>
    <row r="32">
      <c r="A32" s="77" t="inlineStr">
        <is>
          <t>III квартал</t>
        </is>
      </c>
      <c r="B32" s="576" t="n">
        <v>79224.39999999999</v>
      </c>
      <c r="C32" s="576" t="n">
        <v>103</v>
      </c>
      <c r="D32" s="576" t="n">
        <v>103.9</v>
      </c>
      <c r="E32" s="576" t="n">
        <v>88171.39999999999</v>
      </c>
      <c r="F32" s="576" t="n">
        <v>103.1</v>
      </c>
      <c r="G32" s="576" t="n">
        <v>103.3</v>
      </c>
      <c r="H32" s="238" t="n"/>
    </row>
    <row r="33">
      <c r="A33" s="77" t="inlineStr">
        <is>
          <t>Январь-сентябрь</t>
        </is>
      </c>
      <c r="B33" s="576" t="n">
        <v>229630.2</v>
      </c>
      <c r="C33" s="576" t="n"/>
      <c r="D33" s="576" t="n">
        <v>109.9</v>
      </c>
      <c r="E33" s="576" t="n">
        <v>250765.8</v>
      </c>
      <c r="F33" s="576" t="n"/>
      <c r="G33" s="576" t="n">
        <v>112.4</v>
      </c>
      <c r="H33" s="238" t="n"/>
    </row>
    <row r="34">
      <c r="A34" s="696" t="inlineStr">
        <is>
          <t>Октябрь</t>
        </is>
      </c>
      <c r="B34" s="576" t="n">
        <v>27524.3</v>
      </c>
      <c r="C34" s="576" t="n">
        <v>101.7</v>
      </c>
      <c r="D34" s="576" t="n">
        <v>104.2</v>
      </c>
      <c r="E34" s="576" t="n">
        <v>29485</v>
      </c>
      <c r="F34" s="576" t="n">
        <v>100.7</v>
      </c>
      <c r="G34" s="576" t="n">
        <v>101</v>
      </c>
      <c r="H34" s="238" t="n"/>
    </row>
    <row r="35">
      <c r="A35" s="696" t="inlineStr">
        <is>
          <t>Ноябрь</t>
        </is>
      </c>
      <c r="B35" s="576" t="n">
        <v>27524.3</v>
      </c>
      <c r="C35" s="576" t="n">
        <v>98</v>
      </c>
      <c r="D35" s="576" t="n">
        <v>104.6</v>
      </c>
      <c r="E35" s="576" t="n">
        <v>30429.8</v>
      </c>
      <c r="F35" s="576" t="n">
        <v>102.9</v>
      </c>
      <c r="G35" s="576" t="n">
        <v>107.1</v>
      </c>
      <c r="H35" s="238" t="n"/>
    </row>
    <row r="36">
      <c r="A36" s="76" t="inlineStr">
        <is>
          <t>Декабрь</t>
        </is>
      </c>
      <c r="B36" s="576" t="n">
        <v>31004</v>
      </c>
      <c r="C36" s="576" t="n">
        <v>110</v>
      </c>
      <c r="D36" s="576" t="n">
        <v>107</v>
      </c>
      <c r="E36" s="576" t="n">
        <v>33535.3</v>
      </c>
      <c r="F36" s="576" t="n">
        <v>109.4</v>
      </c>
      <c r="G36" s="576" t="n">
        <v>112.3</v>
      </c>
      <c r="H36" s="238" t="n"/>
    </row>
    <row r="37">
      <c r="A37" s="81" t="inlineStr">
        <is>
          <t>IV квартал</t>
        </is>
      </c>
      <c r="B37" s="576" t="n">
        <v>86052.60000000001</v>
      </c>
      <c r="C37" s="576" t="n">
        <v>105</v>
      </c>
      <c r="D37" s="576" t="n">
        <v>105.4</v>
      </c>
      <c r="E37" s="576" t="n">
        <v>93450.10000000001</v>
      </c>
      <c r="F37" s="576" t="n">
        <v>104.3</v>
      </c>
      <c r="G37" s="576" t="n">
        <v>106.8</v>
      </c>
      <c r="H37" s="238" t="n"/>
    </row>
    <row r="38">
      <c r="A38" s="87" t="inlineStr">
        <is>
          <t>Январь-декабрь</t>
        </is>
      </c>
      <c r="B38" s="488" t="n">
        <v>315682.8</v>
      </c>
      <c r="C38" s="488" t="n"/>
      <c r="D38" s="488" t="n">
        <v>108.6</v>
      </c>
      <c r="E38" s="488" t="n">
        <v>344215.9</v>
      </c>
      <c r="F38" s="488" t="n"/>
      <c r="G38" s="488" t="n">
        <v>110.9</v>
      </c>
      <c r="H38" s="238" t="n"/>
    </row>
  </sheetData>
  <mergeCells count="8">
    <mergeCell ref="F4:G4"/>
    <mergeCell ref="B3:D3"/>
    <mergeCell ref="A1:G1"/>
    <mergeCell ref="B4:B5"/>
    <mergeCell ref="E4:E5"/>
    <mergeCell ref="A3:A5"/>
    <mergeCell ref="E3:G3"/>
    <mergeCell ref="C4:D4"/>
  </mergeCells>
  <pageMargins left="0.7" right="0.7" top="0.75" bottom="0.75" header="0.3" footer="0.3"/>
  <pageSetup orientation="portrait" paperSize="9"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22.xml><?xml version="1.0" encoding="utf-8"?>
<worksheet xmlns="http://schemas.openxmlformats.org/spreadsheetml/2006/main">
  <sheetPr>
    <outlinePr summaryBelow="1" summaryRight="1"/>
    <pageSetUpPr fitToPage="1"/>
  </sheetPr>
  <dimension ref="A1:D41"/>
  <sheetViews>
    <sheetView zoomScale="80" zoomScaleNormal="80" zoomScalePageLayoutView="80" workbookViewId="0">
      <selection activeCell="D6" sqref="D6"/>
    </sheetView>
  </sheetViews>
  <sheetFormatPr baseColWidth="8" defaultRowHeight="13.2"/>
  <cols>
    <col width="28.88671875" customWidth="1" style="216" min="1" max="1"/>
    <col width="19.88671875" customWidth="1" style="216" min="2" max="4"/>
  </cols>
  <sheetData>
    <row r="1" ht="13.8" customHeight="1" s="216">
      <c r="A1" s="692" t="inlineStr">
        <is>
          <t>РЫНОК ПЛАТНЫХ УСЛУГ НАСЕЛЕНИЮ</t>
        </is>
      </c>
    </row>
    <row r="2">
      <c r="D2" s="639" t="n"/>
    </row>
    <row r="3" ht="13.8" customHeight="1" s="216">
      <c r="A3" s="694" t="inlineStr">
        <is>
          <t>Динамика объема платных услуг населению</t>
        </is>
      </c>
    </row>
    <row r="4" ht="13.8" customHeight="1" s="216">
      <c r="A4" s="694" t="n"/>
    </row>
    <row r="5">
      <c r="A5" s="647" t="n"/>
      <c r="B5" s="687" t="inlineStr">
        <is>
          <t>Млн рублей</t>
        </is>
      </c>
      <c r="C5" s="673" t="inlineStr">
        <is>
          <t>В % к</t>
        </is>
      </c>
      <c r="D5" s="755" t="n"/>
    </row>
    <row r="6" ht="39.6" customHeight="1" s="216">
      <c r="A6" s="522" t="n"/>
      <c r="B6" s="522" t="n"/>
      <c r="C6" s="645" t="inlineStr">
        <is>
          <t>предыдущему периоду</t>
        </is>
      </c>
      <c r="D6" s="306" t="inlineStr">
        <is>
          <t>соответствующему периоду предыдущего года</t>
        </is>
      </c>
    </row>
    <row r="7">
      <c r="A7" s="169" t="inlineStr">
        <is>
          <t>2025 г.</t>
        </is>
      </c>
      <c r="B7" s="445" t="n"/>
      <c r="C7" s="445" t="n"/>
      <c r="D7" s="445" t="n"/>
    </row>
    <row r="8">
      <c r="A8" s="378" t="inlineStr">
        <is>
          <t>Январь</t>
        </is>
      </c>
      <c r="B8" s="127" t="n">
        <v>17329.8</v>
      </c>
      <c r="C8" s="127" t="n">
        <v>98.40000000000001</v>
      </c>
      <c r="D8" s="127" t="n">
        <v>105.5</v>
      </c>
    </row>
    <row r="9">
      <c r="A9" s="378" t="inlineStr">
        <is>
          <t>Февраль</t>
        </is>
      </c>
      <c r="B9" s="127" t="n">
        <v>18080.8034</v>
      </c>
      <c r="C9" s="127" t="n">
        <v>103.4</v>
      </c>
      <c r="D9" s="127" t="n">
        <v>103.6</v>
      </c>
    </row>
    <row r="10">
      <c r="A10" s="378" t="inlineStr">
        <is>
          <t>Март</t>
        </is>
      </c>
      <c r="B10" s="127" t="n">
        <v>19020.9019</v>
      </c>
      <c r="C10" s="127" t="n">
        <v>104.3</v>
      </c>
      <c r="D10" s="127" t="n">
        <v>109.5</v>
      </c>
    </row>
    <row r="11">
      <c r="A11" s="236" t="inlineStr">
        <is>
          <t>I квартал</t>
        </is>
      </c>
      <c r="B11" s="127" t="n">
        <v>54431.5</v>
      </c>
      <c r="C11" s="127" t="n">
        <v>104.5</v>
      </c>
      <c r="D11" s="127" t="n">
        <v>106.9</v>
      </c>
    </row>
    <row r="12">
      <c r="A12" s="378" t="inlineStr">
        <is>
          <t>Апрель</t>
        </is>
      </c>
      <c r="B12" s="127" t="n">
        <v>19048</v>
      </c>
      <c r="C12" s="127" t="n">
        <v>99</v>
      </c>
      <c r="D12" s="127" t="n">
        <v>107.9</v>
      </c>
    </row>
    <row r="13">
      <c r="A13" s="378" t="inlineStr">
        <is>
          <t>Май</t>
        </is>
      </c>
      <c r="B13" s="625" t="n">
        <v>18634.2</v>
      </c>
      <c r="C13" s="127" t="n">
        <v>97</v>
      </c>
      <c r="D13" s="127" t="n">
        <v>102.7</v>
      </c>
    </row>
    <row r="14">
      <c r="A14" s="378" t="inlineStr">
        <is>
          <t>Июнь</t>
        </is>
      </c>
      <c r="B14" s="625" t="n">
        <v>18923.9</v>
      </c>
      <c r="C14" s="127" t="n">
        <v>101.2</v>
      </c>
      <c r="D14" s="127" t="n">
        <v>104.8</v>
      </c>
    </row>
    <row r="15">
      <c r="A15" s="236" t="inlineStr">
        <is>
          <t>II квартал</t>
        </is>
      </c>
      <c r="B15" s="127" t="n">
        <v>56606.1</v>
      </c>
      <c r="C15" s="127" t="n">
        <v>101.3</v>
      </c>
      <c r="D15" s="127" t="n">
        <v>107.2</v>
      </c>
    </row>
    <row r="16">
      <c r="A16" s="236" t="inlineStr">
        <is>
          <t>Январь-июнь</t>
        </is>
      </c>
      <c r="B16" s="127" t="n">
        <v>111037.7</v>
      </c>
      <c r="C16" s="127" t="n"/>
      <c r="D16" s="127" t="n">
        <v>106.1</v>
      </c>
    </row>
    <row r="17" ht="15.6" customHeight="1" s="216">
      <c r="A17" s="378" t="inlineStr">
        <is>
          <t>Июль1)</t>
        </is>
      </c>
      <c r="B17" s="127" t="n">
        <v>19349.8</v>
      </c>
      <c r="C17" s="127" t="n">
        <v>100.1</v>
      </c>
      <c r="D17" s="127" t="n">
        <v>100.6</v>
      </c>
    </row>
    <row r="18">
      <c r="A18" s="378" t="inlineStr">
        <is>
          <t>Август</t>
        </is>
      </c>
      <c r="B18" s="127" t="n">
        <v>19929.7</v>
      </c>
      <c r="C18" s="127" t="n">
        <v>103.2</v>
      </c>
      <c r="D18" s="127" t="n">
        <v>101.9</v>
      </c>
    </row>
    <row r="19">
      <c r="A19" s="236" t="inlineStr">
        <is>
          <t>Январь-август</t>
        </is>
      </c>
      <c r="B19" s="127" t="n">
        <v>150317.2</v>
      </c>
      <c r="C19" s="127" t="n"/>
      <c r="D19" s="127" t="n">
        <v>104.8</v>
      </c>
    </row>
    <row r="20">
      <c r="A20" s="163" t="inlineStr">
        <is>
          <t>2024 г.</t>
        </is>
      </c>
      <c r="B20" s="446" t="n"/>
      <c r="C20" s="446" t="n"/>
      <c r="D20" s="446" t="n"/>
    </row>
    <row r="21">
      <c r="A21" s="378" t="inlineStr">
        <is>
          <t>Январь</t>
        </is>
      </c>
      <c r="B21" s="127" t="n">
        <v>14802.5</v>
      </c>
      <c r="C21" s="127" t="n">
        <v>105.4</v>
      </c>
      <c r="D21" s="127" t="n">
        <v>104.4</v>
      </c>
    </row>
    <row r="22">
      <c r="A22" s="378" t="inlineStr">
        <is>
          <t>Февраль</t>
        </is>
      </c>
      <c r="B22" s="127" t="n">
        <v>15779.7</v>
      </c>
      <c r="C22" s="127" t="n">
        <v>104.8</v>
      </c>
      <c r="D22" s="127" t="n">
        <v>111.3</v>
      </c>
    </row>
    <row r="23">
      <c r="A23" s="378" t="inlineStr">
        <is>
          <t>Март</t>
        </is>
      </c>
      <c r="B23" s="127" t="n">
        <v>15849.5</v>
      </c>
      <c r="C23" s="127" t="n">
        <v>97.8</v>
      </c>
      <c r="D23" s="127" t="n">
        <v>98.09999999999999</v>
      </c>
    </row>
    <row r="24">
      <c r="A24" s="236" t="inlineStr">
        <is>
          <t>I квартал</t>
        </is>
      </c>
      <c r="B24" s="127" t="n">
        <v>46431.7</v>
      </c>
      <c r="C24" s="127" t="n">
        <v>110.5</v>
      </c>
      <c r="D24" s="127" t="n">
        <v>104.4</v>
      </c>
    </row>
    <row r="25">
      <c r="A25" s="378" t="inlineStr">
        <is>
          <t>Апрель</t>
        </is>
      </c>
      <c r="B25" s="127" t="n">
        <v>15759.6</v>
      </c>
      <c r="C25" s="127" t="n">
        <v>102.6</v>
      </c>
      <c r="D25" s="127" t="n">
        <v>104.6</v>
      </c>
    </row>
    <row r="26">
      <c r="A26" s="378" t="inlineStr">
        <is>
          <t>Май</t>
        </is>
      </c>
      <c r="B26" s="127" t="n">
        <v>16214</v>
      </c>
      <c r="C26" s="127" t="n">
        <v>101.9</v>
      </c>
      <c r="D26" s="127" t="n">
        <v>105.3</v>
      </c>
    </row>
    <row r="27">
      <c r="A27" s="378" t="inlineStr">
        <is>
          <t>Июнь</t>
        </is>
      </c>
      <c r="B27" s="127" t="n">
        <v>16549.9</v>
      </c>
      <c r="C27" s="127" t="n">
        <v>99.09999999999999</v>
      </c>
      <c r="D27" s="127" t="n">
        <v>102.9</v>
      </c>
    </row>
    <row r="28">
      <c r="A28" s="236" t="inlineStr">
        <is>
          <t>II квартал</t>
        </is>
      </c>
      <c r="B28" s="127" t="n">
        <v>48523.5</v>
      </c>
      <c r="C28" s="127" t="n">
        <v>103.3</v>
      </c>
      <c r="D28" s="127" t="n">
        <v>104.3</v>
      </c>
    </row>
    <row r="29">
      <c r="A29" s="236" t="inlineStr">
        <is>
          <t>Январь-июнь</t>
        </is>
      </c>
      <c r="B29" s="127" t="n">
        <v>94955.2</v>
      </c>
      <c r="C29" s="127" t="n"/>
      <c r="D29" s="127" t="n">
        <v>104.3</v>
      </c>
    </row>
    <row r="30">
      <c r="A30" s="378" t="inlineStr">
        <is>
          <t>Июль</t>
        </is>
      </c>
      <c r="B30" s="127" t="n">
        <v>17501.5</v>
      </c>
      <c r="C30" s="127" t="n">
        <v>104.2</v>
      </c>
      <c r="D30" s="127" t="n">
        <v>115.3</v>
      </c>
    </row>
    <row r="31">
      <c r="A31" s="378" t="inlineStr">
        <is>
          <t>Август</t>
        </is>
      </c>
      <c r="B31" s="127" t="n">
        <v>17446.7</v>
      </c>
      <c r="C31" s="127" t="n">
        <v>102.1</v>
      </c>
      <c r="D31" s="127" t="n">
        <v>110.5</v>
      </c>
    </row>
    <row r="32">
      <c r="A32" s="378" t="inlineStr">
        <is>
          <t>Сентябрь</t>
        </is>
      </c>
      <c r="B32" s="127" t="n">
        <v>15996.5</v>
      </c>
      <c r="C32" s="127" t="n">
        <v>90.59999999999999</v>
      </c>
      <c r="D32" s="127" t="n">
        <v>113.9</v>
      </c>
    </row>
    <row r="33">
      <c r="A33" s="236" t="inlineStr">
        <is>
          <t>III квартал</t>
        </is>
      </c>
      <c r="B33" s="127" t="n">
        <v>50944.7</v>
      </c>
      <c r="C33" s="127" t="n">
        <v>102.1</v>
      </c>
      <c r="D33" s="127" t="n">
        <v>113.1</v>
      </c>
    </row>
    <row r="34">
      <c r="A34" s="236" t="inlineStr">
        <is>
          <t>Январь-сентябрь</t>
        </is>
      </c>
      <c r="B34" s="127" t="n">
        <v>145899.9</v>
      </c>
      <c r="C34" s="127" t="n"/>
      <c r="D34" s="127" t="n">
        <v>107.2</v>
      </c>
    </row>
    <row r="35">
      <c r="A35" s="567" t="inlineStr">
        <is>
          <t>Октябрь</t>
        </is>
      </c>
      <c r="B35" s="127" t="n">
        <v>16507.1</v>
      </c>
      <c r="C35" s="127" t="n">
        <v>100.4</v>
      </c>
      <c r="D35" s="127" t="n">
        <v>112.4</v>
      </c>
    </row>
    <row r="36">
      <c r="A36" s="63" t="inlineStr">
        <is>
          <t>Ноябрь</t>
        </is>
      </c>
      <c r="B36" s="127" t="n">
        <v>16535.3</v>
      </c>
      <c r="C36" s="127" t="n">
        <v>99.3</v>
      </c>
      <c r="D36" s="127" t="n">
        <v>111.4</v>
      </c>
    </row>
    <row r="37">
      <c r="A37" s="696" t="inlineStr">
        <is>
          <t>Декабрь</t>
        </is>
      </c>
      <c r="B37" s="127" t="n">
        <v>17416.3</v>
      </c>
      <c r="C37" s="127" t="n">
        <v>105.9</v>
      </c>
      <c r="D37" s="127" t="n">
        <v>112.5</v>
      </c>
    </row>
    <row r="38">
      <c r="A38" s="77" t="inlineStr">
        <is>
          <t>IV квартал</t>
        </is>
      </c>
      <c r="B38" s="127" t="n">
        <v>50458.7</v>
      </c>
      <c r="C38" s="127" t="n">
        <v>96.09999999999999</v>
      </c>
      <c r="D38" s="127" t="n">
        <v>112.2</v>
      </c>
    </row>
    <row r="39">
      <c r="A39" s="161" t="inlineStr">
        <is>
          <t>Январь-декабрь</t>
        </is>
      </c>
      <c r="B39" s="214" t="n">
        <v>196358.6</v>
      </c>
      <c r="C39" s="214" t="n"/>
      <c r="D39" s="214" t="n">
        <v>108.4</v>
      </c>
    </row>
    <row r="41" ht="15" customHeight="1" s="216">
      <c r="A41" s="486" t="inlineStr">
        <is>
          <t>1) Уточнено</t>
        </is>
      </c>
    </row>
  </sheetData>
  <mergeCells count="5">
    <mergeCell ref="A5:A6"/>
    <mergeCell ref="A1:D1"/>
    <mergeCell ref="A3:D3"/>
    <mergeCell ref="C5:D5"/>
    <mergeCell ref="B5:B6"/>
  </mergeCells>
  <pageMargins left="0.7" right="0.7" top="0.75" bottom="0.75" header="0.3" footer="0.3"/>
  <pageSetup orientation="portrait" paperSize="9"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23.xml><?xml version="1.0" encoding="utf-8"?>
<worksheet xmlns="http://schemas.openxmlformats.org/spreadsheetml/2006/main">
  <sheetPr>
    <outlinePr summaryBelow="1" summaryRight="1"/>
    <pageSetUpPr fitToPage="1"/>
  </sheetPr>
  <dimension ref="A1:E31"/>
  <sheetViews>
    <sheetView zoomScale="80" zoomScaleNormal="80" workbookViewId="0">
      <selection activeCell="D6" sqref="D6"/>
    </sheetView>
  </sheetViews>
  <sheetFormatPr baseColWidth="8" defaultColWidth="8.88671875" defaultRowHeight="13.2"/>
  <cols>
    <col width="35" customWidth="1" style="440" min="1" max="1"/>
    <col width="17.33203125" customWidth="1" style="440" min="2" max="2"/>
    <col width="17.109375" customWidth="1" style="440" min="3" max="3"/>
    <col width="20.21875" customWidth="1" style="440" min="4" max="4"/>
    <col width="8.109375" customWidth="1" style="440" min="5" max="5"/>
    <col width="8.88671875" customWidth="1" style="440" min="6" max="16384"/>
  </cols>
  <sheetData>
    <row r="1">
      <c r="A1" s="670" t="inlineStr">
        <is>
          <t>Объем платных услуг населению по видам</t>
        </is>
      </c>
    </row>
    <row r="3">
      <c r="A3" s="144" t="n"/>
      <c r="B3" s="292" t="inlineStr">
        <is>
          <t>Январь-август 
2025 г., 
млн рублей</t>
        </is>
      </c>
      <c r="C3" s="292" t="inlineStr">
        <is>
          <t>В % к соответствующему периоду предыдущего года</t>
        </is>
      </c>
      <c r="D3" s="292" t="inlineStr">
        <is>
          <t>Справочно</t>
        </is>
      </c>
    </row>
    <row r="4" ht="52.8" customHeight="1" s="216">
      <c r="A4" s="758" t="n"/>
      <c r="B4" s="758" t="n"/>
      <c r="C4" s="758" t="n"/>
      <c r="D4" s="292" t="inlineStr">
        <is>
          <t>январь-август 2024 г.
 в % к 
январю-августу
 2023 г.</t>
        </is>
      </c>
    </row>
    <row r="5">
      <c r="A5" s="77" t="inlineStr">
        <is>
          <t>Всего</t>
        </is>
      </c>
      <c r="B5" s="399" t="n">
        <v>150317.2</v>
      </c>
      <c r="C5" s="399" t="n">
        <v>104.8</v>
      </c>
      <c r="D5" s="399" t="n">
        <v>106.5</v>
      </c>
      <c r="E5" s="254" t="n"/>
    </row>
    <row r="6">
      <c r="A6" s="166" t="inlineStr">
        <is>
          <t>в том числе:</t>
        </is>
      </c>
      <c r="B6" s="399" t="n"/>
      <c r="C6" s="399" t="n"/>
      <c r="D6" s="399" t="n"/>
      <c r="E6" s="254" t="n"/>
    </row>
    <row r="7">
      <c r="A7" s="78" t="inlineStr">
        <is>
          <t>бытовые</t>
        </is>
      </c>
      <c r="B7" s="399" t="n">
        <v>13249.4</v>
      </c>
      <c r="C7" s="399" t="n">
        <v>106.1</v>
      </c>
      <c r="D7" s="399" t="n">
        <v>118.9</v>
      </c>
      <c r="E7" s="254" t="n"/>
    </row>
    <row r="8">
      <c r="A8" s="78" t="inlineStr">
        <is>
          <t>транспортные</t>
        </is>
      </c>
      <c r="B8" s="399" t="n">
        <v>28737.2</v>
      </c>
      <c r="C8" s="399" t="n">
        <v>101.7</v>
      </c>
      <c r="D8" s="399" t="n">
        <v>82.3</v>
      </c>
      <c r="E8" s="254" t="n"/>
    </row>
    <row r="9">
      <c r="A9" s="78" t="inlineStr">
        <is>
          <t>почтовой связи, курьерские</t>
        </is>
      </c>
      <c r="B9" s="399" t="n">
        <v>1772.5</v>
      </c>
      <c r="C9" s="399" t="n">
        <v>114.1</v>
      </c>
      <c r="D9" s="399" t="n">
        <v>129.6</v>
      </c>
      <c r="E9" s="254" t="n"/>
    </row>
    <row r="10" ht="15.6" customHeight="1" s="216">
      <c r="A10" s="260" t="inlineStr">
        <is>
          <t>из них</t>
        </is>
      </c>
      <c r="B10" s="399" t="n"/>
      <c r="C10" s="399" t="n"/>
      <c r="D10" s="400" t="n"/>
      <c r="E10" s="254" t="n"/>
    </row>
    <row r="11">
      <c r="A11" s="166" t="inlineStr">
        <is>
          <t>услуги курьерской доставки</t>
        </is>
      </c>
      <c r="B11" s="399" t="n">
        <v>141.2</v>
      </c>
      <c r="C11" s="399" t="n">
        <v>116.5</v>
      </c>
      <c r="D11" s="485" t="inlineStr">
        <is>
          <t>2,7р</t>
        </is>
      </c>
      <c r="E11" s="254" t="n"/>
    </row>
    <row r="12">
      <c r="A12" s="78" t="inlineStr">
        <is>
          <t>телекоммуникационные</t>
        </is>
      </c>
      <c r="B12" s="399" t="n">
        <v>14558.7</v>
      </c>
      <c r="C12" s="401" t="n">
        <v>97.09999999999999</v>
      </c>
      <c r="D12" s="399" t="n">
        <v>99.8</v>
      </c>
      <c r="E12" s="254" t="n"/>
    </row>
    <row r="13">
      <c r="A13" s="78" t="inlineStr">
        <is>
          <t>жилищные</t>
        </is>
      </c>
      <c r="B13" s="399" t="n">
        <v>9520.6</v>
      </c>
      <c r="C13" s="399" t="n">
        <v>99.7</v>
      </c>
      <c r="D13" s="399" t="n">
        <v>111.7</v>
      </c>
      <c r="E13" s="254" t="n"/>
    </row>
    <row r="14">
      <c r="A14" s="78" t="inlineStr">
        <is>
          <t>коммунальные</t>
        </is>
      </c>
      <c r="B14" s="399" t="n">
        <v>24760.5</v>
      </c>
      <c r="C14" s="399" t="n">
        <v>104.5</v>
      </c>
      <c r="D14" s="399" t="n">
        <v>103.4</v>
      </c>
      <c r="E14" s="254" t="n"/>
    </row>
    <row r="15">
      <c r="A15" s="78" t="inlineStr">
        <is>
          <t>учреждений культуры</t>
        </is>
      </c>
      <c r="B15" s="399" t="n">
        <v>3054</v>
      </c>
      <c r="C15" s="399" t="n">
        <v>96.8</v>
      </c>
      <c r="D15" s="399" t="n">
        <v>106.8</v>
      </c>
      <c r="E15" s="254" t="n"/>
    </row>
    <row r="16" ht="45" customHeight="1" s="216">
      <c r="A16" s="78" t="inlineStr">
        <is>
          <t>туристических агентств, туроператоров и прочие услуги по бронированию и сопутствующие им услуги</t>
        </is>
      </c>
      <c r="B16" s="399" t="n">
        <v>11452.6</v>
      </c>
      <c r="C16" s="399" t="n">
        <v>110</v>
      </c>
      <c r="D16" s="399" t="n">
        <v>161.6</v>
      </c>
      <c r="E16" s="254" t="n"/>
    </row>
    <row r="17" ht="26.4" customHeight="1" s="216">
      <c r="A17" s="78" t="inlineStr">
        <is>
          <t>гостиниц и аналогичные услуги по предоставлению временного жилья</t>
        </is>
      </c>
      <c r="B17" s="399" t="n">
        <v>2658.9</v>
      </c>
      <c r="C17" s="399" t="n">
        <v>93.5</v>
      </c>
      <c r="D17" s="399" t="n">
        <v>112.4</v>
      </c>
      <c r="E17" s="254" t="n"/>
    </row>
    <row r="18">
      <c r="A18" s="78" t="inlineStr">
        <is>
          <t>физической культуры и спорта</t>
        </is>
      </c>
      <c r="B18" s="399" t="n">
        <v>2273.5</v>
      </c>
      <c r="C18" s="399" t="n">
        <v>133.1</v>
      </c>
      <c r="D18" s="399" t="n">
        <v>141.8</v>
      </c>
      <c r="E18" s="254" t="n"/>
    </row>
    <row r="19">
      <c r="A19" s="260" t="inlineStr">
        <is>
          <t>из них</t>
        </is>
      </c>
      <c r="B19" s="399" t="n"/>
      <c r="C19" s="399" t="n"/>
      <c r="D19" s="399" t="n"/>
      <c r="E19" s="254" t="n"/>
    </row>
    <row r="20" ht="26.4" customHeight="1" s="216">
      <c r="A20" s="166" t="inlineStr">
        <is>
          <t>услуги фитнес-центров и спортивных клубов</t>
        </is>
      </c>
      <c r="B20" s="399" t="n">
        <v>1053.3</v>
      </c>
      <c r="C20" s="399" t="n">
        <v>110.2</v>
      </c>
      <c r="D20" s="399" t="n">
        <v>112.8</v>
      </c>
      <c r="E20" s="254" t="n"/>
    </row>
    <row r="21">
      <c r="A21" s="78" t="inlineStr">
        <is>
          <t>медицинские</t>
        </is>
      </c>
      <c r="B21" s="399" t="n">
        <v>17127.6</v>
      </c>
      <c r="C21" s="399" t="n">
        <v>111.1</v>
      </c>
      <c r="D21" s="399" t="n">
        <v>134.9</v>
      </c>
      <c r="E21" s="254" t="n"/>
    </row>
    <row r="22" ht="26.4" customHeight="1" s="216">
      <c r="A22" s="78" t="inlineStr">
        <is>
          <t>специализированных коллективных средств размещения</t>
        </is>
      </c>
      <c r="B22" s="399" t="n">
        <v>4545.8</v>
      </c>
      <c r="C22" s="399" t="n">
        <v>99.7</v>
      </c>
      <c r="D22" s="399" t="n">
        <v>101.2</v>
      </c>
      <c r="E22" s="254" t="n"/>
    </row>
    <row r="23">
      <c r="A23" s="260" t="inlineStr">
        <is>
          <t>из них</t>
        </is>
      </c>
      <c r="B23" s="399" t="n"/>
      <c r="C23" s="399" t="n"/>
      <c r="D23" s="399" t="n"/>
      <c r="E23" s="254" t="n"/>
    </row>
    <row r="24">
      <c r="A24" s="166" t="inlineStr">
        <is>
          <t>санаторно-курортных организаций</t>
        </is>
      </c>
      <c r="B24" s="399" t="n">
        <v>3833.5</v>
      </c>
      <c r="C24" s="399" t="n">
        <v>104.7</v>
      </c>
      <c r="D24" s="399" t="n">
        <v>95.40000000000001</v>
      </c>
      <c r="E24" s="254" t="n"/>
    </row>
    <row r="25">
      <c r="A25" s="78" t="inlineStr">
        <is>
          <t>ветеринарные</t>
        </is>
      </c>
      <c r="B25" s="399" t="n">
        <v>754</v>
      </c>
      <c r="C25" s="399" t="n">
        <v>106.1</v>
      </c>
      <c r="D25" s="399" t="n">
        <v>136.4</v>
      </c>
      <c r="E25" s="254" t="n"/>
    </row>
    <row r="26">
      <c r="A26" s="78" t="inlineStr">
        <is>
          <t>юридические</t>
        </is>
      </c>
      <c r="B26" s="399" t="n">
        <v>1002.1</v>
      </c>
      <c r="C26" s="399" t="n">
        <v>96</v>
      </c>
      <c r="D26" s="399" t="n">
        <v>109.7</v>
      </c>
      <c r="E26" s="254" t="n"/>
    </row>
    <row r="27">
      <c r="A27" s="78" t="inlineStr">
        <is>
          <t>системы образования</t>
        </is>
      </c>
      <c r="B27" s="399" t="n">
        <v>8102.4</v>
      </c>
      <c r="C27" s="399" t="n">
        <v>99.90000000000001</v>
      </c>
      <c r="D27" s="399" t="n">
        <v>98.2</v>
      </c>
      <c r="E27" s="254" t="n"/>
    </row>
    <row r="28" ht="27.6" customHeight="1" s="216">
      <c r="A28" s="78" t="inlineStr">
        <is>
          <t>услуги, предоставляемые гражданам пожилого возраста и инвалидам</t>
        </is>
      </c>
      <c r="B28" s="399" t="n">
        <v>620.7</v>
      </c>
      <c r="C28" s="399" t="n">
        <v>97.8</v>
      </c>
      <c r="D28" s="399" t="n">
        <v>90</v>
      </c>
      <c r="E28" s="254" t="n"/>
    </row>
    <row r="29">
      <c r="A29" s="78" t="inlineStr">
        <is>
          <t>прочие виды</t>
        </is>
      </c>
      <c r="B29" s="399" t="n">
        <v>6126.7</v>
      </c>
      <c r="C29" s="399" t="n">
        <v>132.7</v>
      </c>
      <c r="D29" s="399" t="n">
        <v>124.1</v>
      </c>
      <c r="E29" s="254" t="n"/>
    </row>
    <row r="30">
      <c r="A30" s="260" t="inlineStr">
        <is>
          <t>из них</t>
        </is>
      </c>
      <c r="B30" s="399" t="n"/>
      <c r="C30" s="399" t="n"/>
      <c r="D30" s="399" t="n"/>
      <c r="E30" s="254" t="n"/>
    </row>
    <row r="31" ht="39.6" customHeight="1" s="216">
      <c r="A31" s="261" t="inlineStr">
        <is>
          <t>электронные услуги и сервисы в области информационно-коммуникационных технологий</t>
        </is>
      </c>
      <c r="B31" s="402" t="n">
        <v>658.3</v>
      </c>
      <c r="C31" s="402" t="n">
        <v>113</v>
      </c>
      <c r="D31" s="402" t="n">
        <v>177</v>
      </c>
      <c r="E31" s="254" t="n"/>
    </row>
  </sheetData>
  <mergeCells count="4">
    <mergeCell ref="A1:D1"/>
    <mergeCell ref="C3:C4"/>
    <mergeCell ref="A3:A4"/>
    <mergeCell ref="B3:B4"/>
  </mergeCells>
  <pageMargins left="0.7" right="0.7" top="0.75" bottom="0.75" header="0.3" footer="0.3"/>
  <pageSetup orientation="portrait" paperSize="9" scale="99"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24.xml><?xml version="1.0" encoding="utf-8"?>
<worksheet xmlns="http://schemas.openxmlformats.org/spreadsheetml/2006/main">
  <sheetPr>
    <outlinePr summaryBelow="1" summaryRight="1"/>
    <pageSetUpPr fitToPage="1"/>
  </sheetPr>
  <dimension ref="A1:E37"/>
  <sheetViews>
    <sheetView zoomScale="80" zoomScaleNormal="80" workbookViewId="0">
      <selection activeCell="A1" sqref="A1:E1"/>
    </sheetView>
  </sheetViews>
  <sheetFormatPr baseColWidth="8" defaultRowHeight="13.2"/>
  <cols>
    <col width="21.33203125" customWidth="1" style="216" min="1" max="1"/>
    <col width="16.6640625" customWidth="1" style="216" min="2" max="5"/>
  </cols>
  <sheetData>
    <row r="1" ht="13.8" customHeight="1" s="216">
      <c r="A1" s="733" t="inlineStr">
        <is>
          <t>IV. ЦЕНЫ</t>
        </is>
      </c>
    </row>
    <row r="3" ht="13.8" customHeight="1" s="216">
      <c r="A3" s="733" t="inlineStr">
        <is>
          <t>ИНДЕКСЫ ПОТРЕБИТЕЛЬСКИХ ЦЕН И ТАРИФОВ</t>
        </is>
      </c>
    </row>
    <row r="5" ht="13.8" customHeight="1" s="216">
      <c r="A5" s="705" t="inlineStr">
        <is>
          <t>Динамика индексов потребительских цен и тарифов на товары и услуги населению</t>
        </is>
      </c>
    </row>
    <row r="6">
      <c r="A6" s="38" t="n"/>
    </row>
    <row r="7">
      <c r="A7" s="695" t="inlineStr">
        <is>
          <t>на конец периода, в процентах к предыдущему периоду</t>
        </is>
      </c>
    </row>
    <row r="8">
      <c r="A8" s="678" t="n"/>
      <c r="B8" s="644" t="inlineStr">
        <is>
          <t xml:space="preserve">Все товары           и услуги  </t>
        </is>
      </c>
      <c r="C8" s="144" t="inlineStr">
        <is>
          <t>В том числе на</t>
        </is>
      </c>
      <c r="D8" s="764" t="n"/>
      <c r="E8" s="755" t="n"/>
    </row>
    <row r="9" ht="26.4" customHeight="1" s="216">
      <c r="A9" s="522" t="n"/>
      <c r="B9" s="522" t="n"/>
      <c r="C9" s="649" t="inlineStr">
        <is>
          <t>продоволь-ственные товары</t>
        </is>
      </c>
      <c r="D9" s="649" t="inlineStr">
        <is>
          <t>непродоволь-ственные товары</t>
        </is>
      </c>
      <c r="E9" s="151" t="inlineStr">
        <is>
          <t>услуги</t>
        </is>
      </c>
    </row>
    <row r="10">
      <c r="A10" s="170" t="inlineStr">
        <is>
          <t>2025 г.</t>
        </is>
      </c>
      <c r="B10" s="391" t="n"/>
      <c r="C10" s="391" t="n"/>
      <c r="D10" s="391" t="n"/>
      <c r="E10" s="391" t="n"/>
    </row>
    <row r="11">
      <c r="A11" s="567" t="inlineStr">
        <is>
          <t>Январь</t>
        </is>
      </c>
      <c r="B11" s="525" t="n">
        <v>100.9</v>
      </c>
      <c r="C11" s="525" t="n">
        <v>101.3</v>
      </c>
      <c r="D11" s="228" t="n">
        <v>100.5</v>
      </c>
      <c r="E11" s="228" t="n">
        <v>100.9</v>
      </c>
    </row>
    <row r="12">
      <c r="A12" s="63" t="inlineStr">
        <is>
          <t>Февраль</t>
        </is>
      </c>
      <c r="B12" s="525" t="n">
        <v>101.1</v>
      </c>
      <c r="C12" s="525" t="n">
        <v>101.7</v>
      </c>
      <c r="D12" s="228" t="n">
        <v>100.6</v>
      </c>
      <c r="E12" s="228" t="n">
        <v>100.4</v>
      </c>
    </row>
    <row r="13">
      <c r="A13" s="567" t="inlineStr">
        <is>
          <t>Март</t>
        </is>
      </c>
      <c r="B13" s="525" t="n">
        <v>100.9</v>
      </c>
      <c r="C13" s="525" t="n">
        <v>101.2</v>
      </c>
      <c r="D13" s="525" t="n">
        <v>100.2</v>
      </c>
      <c r="E13" s="525" t="n">
        <v>101.1</v>
      </c>
    </row>
    <row r="14" ht="12" customHeight="1" s="216">
      <c r="A14" s="236" t="inlineStr">
        <is>
          <t>I квартал</t>
        </is>
      </c>
      <c r="B14" s="525" t="n">
        <v>103.1</v>
      </c>
      <c r="C14" s="525" t="n">
        <v>105.2</v>
      </c>
      <c r="D14" s="525" t="n">
        <v>101.6</v>
      </c>
      <c r="E14" s="525" t="n">
        <v>101.6</v>
      </c>
    </row>
    <row r="15">
      <c r="A15" s="378" t="inlineStr">
        <is>
          <t>Апрель</t>
        </is>
      </c>
      <c r="B15" s="525" t="n">
        <v>100.3</v>
      </c>
      <c r="C15" s="392" t="n">
        <v>101.1</v>
      </c>
      <c r="D15" s="525" t="n">
        <v>99.5</v>
      </c>
      <c r="E15" s="525" t="n">
        <v>100</v>
      </c>
    </row>
    <row r="16">
      <c r="A16" s="63" t="inlineStr">
        <is>
          <t>Май</t>
        </is>
      </c>
      <c r="B16" s="525" t="n">
        <v>100.7</v>
      </c>
      <c r="C16" s="392" t="n">
        <v>101</v>
      </c>
      <c r="D16" s="525" t="n">
        <v>99.7</v>
      </c>
      <c r="E16" s="525" t="n">
        <v>101.6</v>
      </c>
    </row>
    <row r="17">
      <c r="A17" s="63" t="inlineStr">
        <is>
          <t>Июнь</t>
        </is>
      </c>
      <c r="B17" s="525" t="n">
        <v>100.1</v>
      </c>
      <c r="C17" s="392" t="n">
        <v>100</v>
      </c>
      <c r="D17" s="525" t="n">
        <v>99.90000000000001</v>
      </c>
      <c r="E17" s="525" t="n">
        <v>100.5</v>
      </c>
    </row>
    <row r="18">
      <c r="A18" s="236" t="inlineStr">
        <is>
          <t>II квартал</t>
        </is>
      </c>
      <c r="B18" s="525" t="n">
        <v>101.7</v>
      </c>
      <c r="C18" s="392" t="n">
        <v>103.1</v>
      </c>
      <c r="D18" s="525" t="n">
        <v>99.5</v>
      </c>
      <c r="E18" s="525" t="n">
        <v>102.1</v>
      </c>
    </row>
    <row r="19">
      <c r="A19" s="63" t="inlineStr">
        <is>
          <t>Июль</t>
        </is>
      </c>
      <c r="B19" s="525" t="n">
        <v>100.9</v>
      </c>
      <c r="C19" s="392" t="n">
        <v>99.7</v>
      </c>
      <c r="D19" s="525" t="n">
        <v>100.2</v>
      </c>
      <c r="E19" s="525" t="n">
        <v>104.5</v>
      </c>
    </row>
    <row r="20">
      <c r="A20" s="63" t="inlineStr">
        <is>
          <t>Август</t>
        </is>
      </c>
      <c r="B20" s="525" t="n">
        <v>99.5</v>
      </c>
      <c r="C20" s="392" t="n">
        <v>98.5</v>
      </c>
      <c r="D20" s="525" t="n">
        <v>100.4</v>
      </c>
      <c r="E20" s="525" t="n">
        <v>100</v>
      </c>
    </row>
    <row r="21">
      <c r="A21" s="168" t="inlineStr">
        <is>
          <t>2024 г.</t>
        </is>
      </c>
      <c r="B21" s="393" t="n"/>
      <c r="C21" s="393" t="n"/>
      <c r="D21" s="393" t="n"/>
      <c r="E21" s="393" t="n"/>
    </row>
    <row r="22">
      <c r="A22" s="567" t="inlineStr">
        <is>
          <t>Январь</t>
        </is>
      </c>
      <c r="B22" s="525" t="n">
        <v>100.9</v>
      </c>
      <c r="C22" s="525" t="n">
        <v>100.8</v>
      </c>
      <c r="D22" s="228" t="n">
        <v>101.4</v>
      </c>
      <c r="E22" s="228" t="n">
        <v>100.5</v>
      </c>
    </row>
    <row r="23">
      <c r="A23" s="63" t="inlineStr">
        <is>
          <t>Февраль</t>
        </is>
      </c>
      <c r="B23" s="525" t="n">
        <v>100.7</v>
      </c>
      <c r="C23" s="525" t="n">
        <v>101.1</v>
      </c>
      <c r="D23" s="228" t="n">
        <v>99.90000000000001</v>
      </c>
      <c r="E23" s="228" t="n">
        <v>101.1</v>
      </c>
    </row>
    <row r="24">
      <c r="A24" s="567" t="inlineStr">
        <is>
          <t>Март</t>
        </is>
      </c>
      <c r="B24" s="525" t="n">
        <v>100.4</v>
      </c>
      <c r="C24" s="525" t="n">
        <v>100</v>
      </c>
      <c r="D24" s="228" t="n">
        <v>100.2</v>
      </c>
      <c r="E24" s="228" t="n">
        <v>101.5</v>
      </c>
    </row>
    <row r="25">
      <c r="A25" s="236" t="inlineStr">
        <is>
          <t>I квартал</t>
        </is>
      </c>
      <c r="B25" s="525" t="n">
        <v>102.9</v>
      </c>
      <c r="C25" s="525" t="n">
        <v>103.8</v>
      </c>
      <c r="D25" s="228" t="n">
        <v>102</v>
      </c>
      <c r="E25" s="228" t="n">
        <v>102.3</v>
      </c>
    </row>
    <row r="26">
      <c r="A26" s="63" t="inlineStr">
        <is>
          <t>Апрель</t>
        </is>
      </c>
      <c r="B26" s="525" t="n">
        <v>100.8</v>
      </c>
      <c r="C26" s="525" t="n">
        <v>101.1</v>
      </c>
      <c r="D26" s="228" t="n">
        <v>101.3</v>
      </c>
      <c r="E26" s="228" t="n">
        <v>99.59999999999999</v>
      </c>
    </row>
    <row r="27">
      <c r="A27" s="63" t="inlineStr">
        <is>
          <t>Май</t>
        </is>
      </c>
      <c r="B27" s="525" t="n">
        <v>99.5</v>
      </c>
      <c r="C27" s="525" t="n">
        <v>98.7</v>
      </c>
      <c r="D27" s="228" t="n">
        <v>99.59999999999999</v>
      </c>
      <c r="E27" s="228" t="n">
        <v>101</v>
      </c>
    </row>
    <row r="28">
      <c r="A28" s="63" t="inlineStr">
        <is>
          <t>Июнь</t>
        </is>
      </c>
      <c r="B28" s="525" t="n">
        <v>100.2</v>
      </c>
      <c r="C28" s="525" t="n">
        <v>100.1</v>
      </c>
      <c r="D28" s="228" t="n">
        <v>99.90000000000001</v>
      </c>
      <c r="E28" s="228" t="n">
        <v>100.9</v>
      </c>
    </row>
    <row r="29">
      <c r="A29" s="236" t="inlineStr">
        <is>
          <t>II квартал</t>
        </is>
      </c>
      <c r="B29" s="525" t="n">
        <v>101.1</v>
      </c>
      <c r="C29" s="525" t="n">
        <v>100.6</v>
      </c>
      <c r="D29" s="228" t="n">
        <v>101.1</v>
      </c>
      <c r="E29" s="228" t="n">
        <v>102</v>
      </c>
    </row>
    <row r="30">
      <c r="A30" s="63" t="inlineStr">
        <is>
          <t>Июль</t>
        </is>
      </c>
      <c r="B30" s="525" t="n">
        <v>101</v>
      </c>
      <c r="C30" s="525" t="n">
        <v>99.90000000000001</v>
      </c>
      <c r="D30" s="228" t="n">
        <v>101.3</v>
      </c>
      <c r="E30" s="228" t="n">
        <v>102.9</v>
      </c>
    </row>
    <row r="31">
      <c r="A31" s="63" t="inlineStr">
        <is>
          <t>Август</t>
        </is>
      </c>
      <c r="B31" s="525" t="n">
        <v>100.1</v>
      </c>
      <c r="C31" s="525" t="n">
        <v>99.90000000000001</v>
      </c>
      <c r="D31" s="228" t="n">
        <v>100.3</v>
      </c>
      <c r="E31" s="228" t="n">
        <v>100.2</v>
      </c>
    </row>
    <row r="32">
      <c r="A32" s="63" t="inlineStr">
        <is>
          <t>Сентябрь</t>
        </is>
      </c>
      <c r="B32" s="525" t="n">
        <v>100.5</v>
      </c>
      <c r="C32" s="525" t="n">
        <v>100.6</v>
      </c>
      <c r="D32" s="228" t="n">
        <v>100.1</v>
      </c>
      <c r="E32" s="228" t="n">
        <v>100.8</v>
      </c>
    </row>
    <row r="33">
      <c r="A33" s="236" t="inlineStr">
        <is>
          <t>III квартал</t>
        </is>
      </c>
      <c r="B33" s="525" t="n">
        <v>101.3</v>
      </c>
      <c r="C33" s="525" t="n">
        <v>99.59999999999999</v>
      </c>
      <c r="D33" s="228" t="n">
        <v>101.3</v>
      </c>
      <c r="E33" s="228" t="n">
        <v>104.3</v>
      </c>
    </row>
    <row r="34">
      <c r="A34" s="696" t="inlineStr">
        <is>
          <t>Октябрь</t>
        </is>
      </c>
      <c r="B34" s="525" t="n">
        <v>100.9</v>
      </c>
      <c r="C34" s="525" t="n">
        <v>100.9</v>
      </c>
      <c r="D34" s="228" t="n">
        <v>101</v>
      </c>
      <c r="E34" s="228" t="n">
        <v>100.8</v>
      </c>
    </row>
    <row r="35">
      <c r="A35" s="696" t="inlineStr">
        <is>
          <t>Ноябрь</t>
        </is>
      </c>
      <c r="B35" s="525" t="n">
        <v>101.3</v>
      </c>
      <c r="C35" s="525" t="n">
        <v>102.1</v>
      </c>
      <c r="D35" s="228" t="n">
        <v>100.3</v>
      </c>
      <c r="E35" s="228" t="n">
        <v>101.5</v>
      </c>
    </row>
    <row r="36">
      <c r="A36" s="92" t="inlineStr">
        <is>
          <t>Декабрь</t>
        </is>
      </c>
      <c r="B36" s="525" t="n">
        <v>101.1</v>
      </c>
      <c r="C36" s="525" t="n">
        <v>102.4</v>
      </c>
      <c r="D36" s="228" t="n">
        <v>100.7</v>
      </c>
      <c r="E36" s="228" t="n">
        <v>99.40000000000001</v>
      </c>
    </row>
    <row r="37">
      <c r="A37" s="307" t="inlineStr">
        <is>
          <t>IV квартал</t>
        </is>
      </c>
      <c r="B37" s="308" t="n">
        <v>102.5</v>
      </c>
      <c r="C37" s="308" t="n">
        <v>103.4</v>
      </c>
      <c r="D37" s="309" t="n">
        <v>101.6</v>
      </c>
      <c r="E37" s="309" t="n">
        <v>102.2</v>
      </c>
    </row>
  </sheetData>
  <mergeCells count="7">
    <mergeCell ref="A8:A9"/>
    <mergeCell ref="A7:E7"/>
    <mergeCell ref="C8:E8"/>
    <mergeCell ref="B8:B9"/>
    <mergeCell ref="A1:E1"/>
    <mergeCell ref="A5:E5"/>
    <mergeCell ref="A3:E3"/>
  </mergeCells>
  <pageMargins left="0.7" right="0.7" top="0.75" bottom="0.75" header="0.3" footer="0.3"/>
  <pageSetup orientation="portrait" paperSize="9"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25.xml><?xml version="1.0" encoding="utf-8"?>
<worksheet xmlns="http://schemas.openxmlformats.org/spreadsheetml/2006/main">
  <sheetPr>
    <outlinePr summaryBelow="1" summaryRight="1"/>
    <pageSetUpPr fitToPage="1"/>
  </sheetPr>
  <dimension ref="A1:F24"/>
  <sheetViews>
    <sheetView zoomScale="80" zoomScaleNormal="80" workbookViewId="0">
      <selection activeCell="D6" sqref="D6"/>
    </sheetView>
  </sheetViews>
  <sheetFormatPr baseColWidth="8" defaultRowHeight="13.2"/>
  <cols>
    <col width="35.6640625" customWidth="1" style="216" min="1" max="1"/>
    <col width="20.109375" customWidth="1" style="216" min="2" max="4"/>
  </cols>
  <sheetData>
    <row r="1" ht="13.8" customHeight="1" s="216">
      <c r="A1" s="705" t="inlineStr">
        <is>
          <t>Индексы потребительских цен на отдельные группы и виды продовольственных товаров</t>
        </is>
      </c>
    </row>
    <row r="2">
      <c r="A2" s="36" t="n"/>
    </row>
    <row r="3" ht="13.2" customHeight="1" s="216">
      <c r="A3" s="699" t="inlineStr">
        <is>
          <t>на конец месяца, в процентах</t>
        </is>
      </c>
      <c r="B3" s="756" t="n"/>
      <c r="C3" s="756" t="n"/>
      <c r="D3" s="756" t="n"/>
    </row>
    <row r="4">
      <c r="A4" s="678" t="n"/>
      <c r="B4" s="757" t="inlineStr">
        <is>
          <t xml:space="preserve">Август 2025 г. к </t>
        </is>
      </c>
      <c r="C4" s="764" t="n"/>
      <c r="D4" s="755" t="n"/>
    </row>
    <row r="5" ht="39.6" customHeight="1" s="216">
      <c r="A5" s="522" t="n"/>
      <c r="B5" s="672" t="inlineStr">
        <is>
          <t>предыдущему
 месяцу</t>
        </is>
      </c>
      <c r="C5" s="672" t="inlineStr">
        <is>
          <t>декабрю 2024 г.</t>
        </is>
      </c>
      <c r="D5" s="672" t="inlineStr">
        <is>
          <t>соответствующему месяцу предыдущего года</t>
        </is>
      </c>
    </row>
    <row r="6">
      <c r="A6" s="315" t="inlineStr">
        <is>
          <t>Продовольственные товары</t>
        </is>
      </c>
      <c r="B6" s="473" t="n">
        <v>98.5</v>
      </c>
      <c r="C6" s="473" t="n">
        <v>104.4</v>
      </c>
      <c r="D6" s="473" t="n">
        <v>110.6</v>
      </c>
      <c r="E6" s="392" t="n"/>
    </row>
    <row r="7" ht="26.4" customHeight="1" s="216">
      <c r="A7" s="63" t="inlineStr">
        <is>
          <t>Продовольственные товары без алкогольных напитков</t>
        </is>
      </c>
      <c r="B7" s="473" t="n">
        <v>98.2</v>
      </c>
      <c r="C7" s="473" t="n">
        <v>103.7</v>
      </c>
      <c r="D7" s="473" t="n">
        <v>110.4</v>
      </c>
    </row>
    <row r="8">
      <c r="A8" s="271" t="inlineStr">
        <is>
          <t>Мясо и птица</t>
        </is>
      </c>
      <c r="B8" s="473" t="n">
        <v>100.3</v>
      </c>
      <c r="C8" s="473" t="n">
        <v>109</v>
      </c>
      <c r="D8" s="473" t="n">
        <v>113.1</v>
      </c>
    </row>
    <row r="9" ht="26.4" customHeight="1" s="216">
      <c r="A9" s="271" t="inlineStr">
        <is>
          <t>Колбасные изделия и продукты из мяса и птицы</t>
        </is>
      </c>
      <c r="B9" s="473" t="n">
        <v>100.9</v>
      </c>
      <c r="C9" s="473" t="n">
        <v>102</v>
      </c>
      <c r="D9" s="473" t="n">
        <v>106.1</v>
      </c>
    </row>
    <row r="10">
      <c r="A10" s="271" t="inlineStr">
        <is>
          <t xml:space="preserve">Рыба и морепродукты </t>
        </is>
      </c>
      <c r="B10" s="473" t="n">
        <v>97.40000000000001</v>
      </c>
      <c r="C10" s="473" t="n">
        <v>109.5</v>
      </c>
      <c r="D10" s="473" t="n">
        <v>117.6</v>
      </c>
    </row>
    <row r="11">
      <c r="A11" s="271" t="inlineStr">
        <is>
          <t>Масло сливочное</t>
        </is>
      </c>
      <c r="B11" s="473" t="n">
        <v>105.2</v>
      </c>
      <c r="C11" s="473" t="n">
        <v>99.8</v>
      </c>
      <c r="D11" s="473" t="n">
        <v>125.3</v>
      </c>
    </row>
    <row r="12">
      <c r="A12" s="271" t="inlineStr">
        <is>
          <t>Масло подсолнечное</t>
        </is>
      </c>
      <c r="B12" s="473" t="n">
        <v>100.4</v>
      </c>
      <c r="C12" s="473" t="n">
        <v>104</v>
      </c>
      <c r="D12" s="473" t="n">
        <v>114.7</v>
      </c>
    </row>
    <row r="13">
      <c r="A13" s="271" t="inlineStr">
        <is>
          <t>Молоко и молочная продукция</t>
        </is>
      </c>
      <c r="B13" s="473" t="n">
        <v>100.9</v>
      </c>
      <c r="C13" s="473" t="n">
        <v>105.2</v>
      </c>
      <c r="D13" s="473" t="n">
        <v>117.1</v>
      </c>
    </row>
    <row r="14">
      <c r="A14" s="271" t="inlineStr">
        <is>
          <t>Сыр</t>
        </is>
      </c>
      <c r="B14" s="473" t="n">
        <v>95.90000000000001</v>
      </c>
      <c r="C14" s="473" t="n">
        <v>100.8</v>
      </c>
      <c r="D14" s="473" t="n">
        <v>111</v>
      </c>
    </row>
    <row r="15">
      <c r="A15" s="468" t="inlineStr">
        <is>
          <t>Яйца куриные</t>
        </is>
      </c>
      <c r="B15" s="473" t="n">
        <v>100.6</v>
      </c>
      <c r="C15" s="473" t="n">
        <v>79.40000000000001</v>
      </c>
      <c r="D15" s="473" t="n">
        <v>87.8</v>
      </c>
    </row>
    <row r="16">
      <c r="A16" s="271" t="inlineStr">
        <is>
          <t>Сахар-песок</t>
        </is>
      </c>
      <c r="B16" s="473" t="n">
        <v>100.3</v>
      </c>
      <c r="C16" s="473" t="n">
        <v>101.5</v>
      </c>
      <c r="D16" s="473" t="n">
        <v>97.09999999999999</v>
      </c>
    </row>
    <row r="17">
      <c r="A17" s="271" t="inlineStr">
        <is>
          <t>Кондитерские изделия</t>
        </is>
      </c>
      <c r="B17" s="473" t="n">
        <v>99.2</v>
      </c>
      <c r="C17" s="473" t="n">
        <v>103.8</v>
      </c>
      <c r="D17" s="473" t="n">
        <v>110.8</v>
      </c>
    </row>
    <row r="18">
      <c r="A18" s="271" t="inlineStr">
        <is>
          <t>Хлеб и хлебобулочные изделия</t>
        </is>
      </c>
      <c r="B18" s="473" t="n">
        <v>99.7</v>
      </c>
      <c r="C18" s="473" t="n">
        <v>115.1</v>
      </c>
      <c r="D18" s="473" t="n">
        <v>121.1</v>
      </c>
    </row>
    <row r="19">
      <c r="A19" s="271" t="inlineStr">
        <is>
          <t>Крупа и бобовые</t>
        </is>
      </c>
      <c r="B19" s="473" t="n">
        <v>102.5</v>
      </c>
      <c r="C19" s="473" t="n">
        <v>106.9</v>
      </c>
      <c r="D19" s="473" t="n">
        <v>108.6</v>
      </c>
    </row>
    <row r="20">
      <c r="A20" s="271" t="inlineStr">
        <is>
          <t>Макаронные изделия</t>
        </is>
      </c>
      <c r="B20" s="473" t="n">
        <v>98.2</v>
      </c>
      <c r="C20" s="473" t="n">
        <v>109.5</v>
      </c>
      <c r="D20" s="473" t="n">
        <v>107.4</v>
      </c>
    </row>
    <row r="21" ht="13.8" customHeight="1" s="216">
      <c r="A21" s="100" t="inlineStr">
        <is>
          <t>Плодоовощная продукция</t>
        </is>
      </c>
      <c r="B21" s="473" t="n">
        <v>87</v>
      </c>
      <c r="C21" s="473" t="n">
        <v>87.59999999999999</v>
      </c>
      <c r="D21" s="473" t="n">
        <v>102.7</v>
      </c>
      <c r="F21" s="501" t="n"/>
    </row>
    <row r="22">
      <c r="A22" s="132" t="inlineStr">
        <is>
          <t>Алкогольные напитки</t>
        </is>
      </c>
      <c r="B22" s="276" t="n">
        <v>100.3</v>
      </c>
      <c r="C22" s="276" t="n">
        <v>110.5</v>
      </c>
      <c r="D22" s="276" t="n">
        <v>112.3</v>
      </c>
    </row>
    <row r="24">
      <c r="B24" s="238" t="n"/>
    </row>
    <row r="28" ht="33" customHeight="1" s="216"/>
  </sheetData>
  <mergeCells count="4">
    <mergeCell ref="A1:D1"/>
    <mergeCell ref="A4:A5"/>
    <mergeCell ref="A3:D3"/>
    <mergeCell ref="B4:D4"/>
  </mergeCells>
  <pageMargins left="0.7" right="0.7" top="0.75" bottom="0.75" header="0.3" footer="0.3"/>
  <pageSetup orientation="portrait" paperSize="9" scale="93" fitToHeight="0" verticalDpi="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26.xml><?xml version="1.0" encoding="utf-8"?>
<worksheet xmlns="http://schemas.openxmlformats.org/spreadsheetml/2006/main">
  <sheetPr>
    <outlinePr summaryBelow="1" summaryRight="1"/>
    <pageSetUpPr fitToPage="1"/>
  </sheetPr>
  <dimension ref="A1:D19"/>
  <sheetViews>
    <sheetView zoomScale="80" zoomScaleNormal="80" workbookViewId="0">
      <selection activeCell="D6" sqref="D6"/>
    </sheetView>
  </sheetViews>
  <sheetFormatPr baseColWidth="8" defaultRowHeight="13.2"/>
  <cols>
    <col width="34" customWidth="1" style="216" min="1" max="1"/>
    <col width="23.5546875" customWidth="1" style="216" min="2" max="2"/>
    <col width="23.21875" customWidth="1" style="216" min="3" max="3"/>
    <col width="22.5546875" customWidth="1" style="216" min="4" max="4"/>
  </cols>
  <sheetData>
    <row r="1" ht="13.8" customHeight="1" s="216">
      <c r="A1" s="705" t="inlineStr">
        <is>
          <t>Индексы потребительских цен на отдельные группы непродовольственных товаров</t>
        </is>
      </c>
    </row>
    <row r="2">
      <c r="A2" s="36" t="n"/>
    </row>
    <row r="3">
      <c r="A3" s="699" t="inlineStr">
        <is>
          <t>на конец месяца, в процентах</t>
        </is>
      </c>
      <c r="B3" s="756" t="n"/>
      <c r="C3" s="756" t="n"/>
      <c r="D3" s="756" t="n"/>
    </row>
    <row r="4">
      <c r="A4" s="144" t="n"/>
      <c r="B4" s="757" t="inlineStr">
        <is>
          <t xml:space="preserve">Август 2025 г. к </t>
        </is>
      </c>
      <c r="C4" s="764" t="n"/>
      <c r="D4" s="755" t="n"/>
    </row>
    <row r="5" ht="31.8" customHeight="1" s="216">
      <c r="A5" s="758" t="n"/>
      <c r="B5" s="672" t="inlineStr">
        <is>
          <t>предыдущему месяцу</t>
        </is>
      </c>
      <c r="C5" s="672" t="inlineStr">
        <is>
          <t>декабрю 2024 г.</t>
        </is>
      </c>
      <c r="D5" s="672" t="inlineStr">
        <is>
          <t>соответствующему месяцу предыдущего года</t>
        </is>
      </c>
    </row>
    <row r="6">
      <c r="A6" s="315" t="inlineStr">
        <is>
          <t>Непродовольственные товары</t>
        </is>
      </c>
      <c r="B6" s="335" t="n">
        <v>100.4</v>
      </c>
      <c r="C6" s="473" t="n">
        <v>101</v>
      </c>
      <c r="D6" s="473" t="n">
        <v>103.1</v>
      </c>
    </row>
    <row r="7">
      <c r="A7" s="200" t="inlineStr">
        <is>
          <t>Одежда и белье</t>
        </is>
      </c>
      <c r="B7" s="473" t="n">
        <v>100.2</v>
      </c>
      <c r="C7" s="360" t="n">
        <v>99</v>
      </c>
      <c r="D7" s="473" t="n">
        <v>100.8</v>
      </c>
    </row>
    <row r="8" ht="13.2" customHeight="1" s="216">
      <c r="A8" s="200" t="inlineStr">
        <is>
          <t>Трикотажные изделия</t>
        </is>
      </c>
      <c r="B8" s="473" t="n">
        <v>100.2</v>
      </c>
      <c r="C8" s="360" t="n">
        <v>97.7</v>
      </c>
      <c r="D8" s="473" t="n">
        <v>97.8</v>
      </c>
    </row>
    <row r="9">
      <c r="A9" s="200" t="inlineStr">
        <is>
          <t>Ткани</t>
        </is>
      </c>
      <c r="B9" s="473" t="n">
        <v>99.90000000000001</v>
      </c>
      <c r="C9" s="360" t="n">
        <v>102.2</v>
      </c>
      <c r="D9" s="473" t="n">
        <v>102.1</v>
      </c>
    </row>
    <row r="10">
      <c r="A10" s="200" t="inlineStr">
        <is>
          <t xml:space="preserve">Обувь </t>
        </is>
      </c>
      <c r="B10" s="473" t="n">
        <v>100.8</v>
      </c>
      <c r="C10" s="360" t="n">
        <v>94.40000000000001</v>
      </c>
      <c r="D10" s="473" t="n">
        <v>94.5</v>
      </c>
    </row>
    <row r="11">
      <c r="A11" s="200" t="inlineStr">
        <is>
          <t>Табачные изделия</t>
        </is>
      </c>
      <c r="B11" s="473" t="n">
        <v>100.1</v>
      </c>
      <c r="C11" s="360" t="n">
        <v>104.4</v>
      </c>
      <c r="D11" s="473" t="n">
        <v>104.5</v>
      </c>
    </row>
    <row r="12">
      <c r="A12" s="200" t="inlineStr">
        <is>
          <t>Мебель</t>
        </is>
      </c>
      <c r="B12" s="473" t="n">
        <v>100</v>
      </c>
      <c r="C12" s="360" t="n">
        <v>101</v>
      </c>
      <c r="D12" s="473" t="n">
        <v>104.2</v>
      </c>
    </row>
    <row r="13">
      <c r="A13" s="200" t="inlineStr">
        <is>
          <t>Телерадиотовары</t>
        </is>
      </c>
      <c r="B13" s="473" t="n">
        <v>99.59999999999999</v>
      </c>
      <c r="C13" s="360" t="n">
        <v>86.2</v>
      </c>
      <c r="D13" s="473" t="n">
        <v>88.7</v>
      </c>
    </row>
    <row r="14">
      <c r="A14" s="200" t="inlineStr">
        <is>
          <t>Бензин автомобильный</t>
        </is>
      </c>
      <c r="B14" s="473" t="n">
        <v>100.7</v>
      </c>
      <c r="C14" s="360" t="n">
        <v>105.7</v>
      </c>
      <c r="D14" s="473" t="n">
        <v>110</v>
      </c>
    </row>
    <row r="15">
      <c r="A15" s="200" t="inlineStr">
        <is>
          <t>Медикаменты</t>
        </is>
      </c>
      <c r="B15" s="473" t="n">
        <v>100.1</v>
      </c>
      <c r="C15" s="360" t="n">
        <v>109.4</v>
      </c>
      <c r="D15" s="473" t="n">
        <v>113.6</v>
      </c>
    </row>
    <row r="16">
      <c r="A16" s="200" t="inlineStr">
        <is>
          <t>Моющие и чистящие средства</t>
        </is>
      </c>
      <c r="B16" s="473" t="n">
        <v>98.40000000000001</v>
      </c>
      <c r="C16" s="360" t="n">
        <v>99.59999999999999</v>
      </c>
      <c r="D16" s="473" t="n">
        <v>98.8</v>
      </c>
    </row>
    <row r="17" ht="26.4" customHeight="1" s="216">
      <c r="A17" s="200" t="inlineStr">
        <is>
          <t>Электротовары и другие бытовые приборы</t>
        </is>
      </c>
      <c r="B17" s="473" t="n">
        <v>101.4</v>
      </c>
      <c r="C17" s="360" t="n">
        <v>93.2</v>
      </c>
      <c r="D17" s="473" t="n">
        <v>100.8</v>
      </c>
    </row>
    <row r="18">
      <c r="A18" s="200" t="inlineStr">
        <is>
          <t>Строительные материалы</t>
        </is>
      </c>
      <c r="B18" s="473" t="n">
        <v>100</v>
      </c>
      <c r="C18" s="360" t="n">
        <v>100.5</v>
      </c>
      <c r="D18" s="473" t="n">
        <v>101.6</v>
      </c>
    </row>
    <row r="19">
      <c r="A19" s="98" t="inlineStr">
        <is>
          <t>Легковые автомобили</t>
        </is>
      </c>
      <c r="B19" s="276" t="n">
        <v>100.1</v>
      </c>
      <c r="C19" s="276" t="n">
        <v>101.1</v>
      </c>
      <c r="D19" s="276" t="n">
        <v>101.9</v>
      </c>
    </row>
  </sheetData>
  <mergeCells count="4">
    <mergeCell ref="A1:D1"/>
    <mergeCell ref="A4:A5"/>
    <mergeCell ref="A3:D3"/>
    <mergeCell ref="B4:D4"/>
  </mergeCells>
  <pageMargins left="0.7" right="0.7" top="0.75" bottom="0.75" header="0.3" footer="0.3"/>
  <pageSetup orientation="portrait" paperSize="9" scale="86"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27.xml><?xml version="1.0" encoding="utf-8"?>
<worksheet xmlns="http://schemas.openxmlformats.org/spreadsheetml/2006/main">
  <sheetPr>
    <outlinePr summaryBelow="1" summaryRight="1"/>
    <pageSetUpPr fitToPage="1"/>
  </sheetPr>
  <dimension ref="A1:D21"/>
  <sheetViews>
    <sheetView zoomScale="80" zoomScaleNormal="80" workbookViewId="0">
      <selection activeCell="D6" sqref="D6"/>
    </sheetView>
  </sheetViews>
  <sheetFormatPr baseColWidth="8" defaultRowHeight="13.2"/>
  <cols>
    <col width="34.44140625" customWidth="1" style="216" min="1" max="1"/>
    <col width="22.5546875" customWidth="1" style="216" min="2" max="3"/>
    <col width="20.6640625" customWidth="1" style="216" min="4" max="4"/>
    <col width="8.44140625" customWidth="1" style="216" min="5" max="5"/>
  </cols>
  <sheetData>
    <row r="1" ht="19.2" customHeight="1" s="216">
      <c r="A1" s="705" t="inlineStr">
        <is>
          <t>Индексы потребительских цен и тарифов на отдельные группы услуг</t>
        </is>
      </c>
    </row>
    <row r="2">
      <c r="A2" s="36" t="n"/>
    </row>
    <row r="3">
      <c r="A3" s="699" t="inlineStr">
        <is>
          <t>на конец месяца, в процентах</t>
        </is>
      </c>
      <c r="B3" s="756" t="n"/>
      <c r="C3" s="756" t="n"/>
      <c r="D3" s="756" t="n"/>
    </row>
    <row r="4">
      <c r="A4" s="144" t="n"/>
      <c r="B4" s="757" t="inlineStr">
        <is>
          <t xml:space="preserve">Август 2025 г. к </t>
        </is>
      </c>
      <c r="C4" s="764" t="n"/>
      <c r="D4" s="755" t="n"/>
    </row>
    <row r="5" ht="37.2" customHeight="1" s="216">
      <c r="A5" s="758" t="n"/>
      <c r="B5" s="672" t="inlineStr">
        <is>
          <t>предыдущему
 месяцу</t>
        </is>
      </c>
      <c r="C5" s="672" t="inlineStr">
        <is>
          <t>декабрю 2024 г.</t>
        </is>
      </c>
      <c r="D5" s="672" t="inlineStr">
        <is>
          <t>соответствующему месяцу предыдущего года</t>
        </is>
      </c>
    </row>
    <row r="6">
      <c r="A6" s="315" t="inlineStr">
        <is>
          <t>Услуги</t>
        </is>
      </c>
      <c r="B6" s="335" t="n">
        <v>100</v>
      </c>
      <c r="C6" s="473" t="n">
        <v>109.2</v>
      </c>
      <c r="D6" s="473" t="n">
        <v>112</v>
      </c>
    </row>
    <row r="7">
      <c r="A7" s="271" t="inlineStr">
        <is>
          <t>Бытовые услуги</t>
        </is>
      </c>
      <c r="B7" s="473" t="n">
        <v>100.5</v>
      </c>
      <c r="C7" s="360" t="n">
        <v>108.5</v>
      </c>
      <c r="D7" s="473" t="n">
        <v>111.1</v>
      </c>
    </row>
    <row r="8">
      <c r="A8" s="262" t="inlineStr">
        <is>
          <t>Услуги пассажирского транспорта</t>
        </is>
      </c>
      <c r="B8" s="473" t="n">
        <v>98.3</v>
      </c>
      <c r="C8" s="360" t="n">
        <v>108</v>
      </c>
      <c r="D8" s="473" t="n">
        <v>113.3</v>
      </c>
    </row>
    <row r="9">
      <c r="A9" s="262" t="inlineStr">
        <is>
          <t>Услуги почтовой связи</t>
        </is>
      </c>
      <c r="B9" s="473" t="n">
        <v>100.6</v>
      </c>
      <c r="C9" s="360" t="n">
        <v>99.90000000000001</v>
      </c>
      <c r="D9" s="473" t="n">
        <v>106.1</v>
      </c>
    </row>
    <row r="10">
      <c r="A10" s="262" t="inlineStr">
        <is>
          <t>Услуги телекоммуникационные</t>
        </is>
      </c>
      <c r="B10" s="473" t="n">
        <v>98.2</v>
      </c>
      <c r="C10" s="360" t="n">
        <v>98.09999999999999</v>
      </c>
      <c r="D10" s="473" t="n">
        <v>107.9</v>
      </c>
    </row>
    <row r="11" ht="26.4" customHeight="1" s="216">
      <c r="A11" s="262" t="inlineStr">
        <is>
          <t>Жилищные и коммунальные услуги (включая аренду квартир)</t>
        </is>
      </c>
      <c r="B11" s="473" t="n">
        <v>100.7</v>
      </c>
      <c r="C11" s="360" t="n">
        <v>113.7</v>
      </c>
      <c r="D11" s="473" t="n">
        <v>112.4</v>
      </c>
    </row>
    <row r="12">
      <c r="A12" s="262" t="inlineStr">
        <is>
          <t>Услуги дошкольного воспитания</t>
        </is>
      </c>
      <c r="B12" s="473" t="n">
        <v>100</v>
      </c>
      <c r="C12" s="360" t="n">
        <v>101.2</v>
      </c>
      <c r="D12" s="473" t="n">
        <v>112.2</v>
      </c>
    </row>
    <row r="13" ht="26.4" customHeight="1" s="216">
      <c r="A13" s="262" t="inlineStr">
        <is>
          <t>Услуги гостиниц и прочих мест проживания</t>
        </is>
      </c>
      <c r="B13" s="473" t="n">
        <v>102.5</v>
      </c>
      <c r="C13" s="360" t="n">
        <v>106.1</v>
      </c>
      <c r="D13" s="473" t="n">
        <v>109.3</v>
      </c>
    </row>
    <row r="14">
      <c r="A14" s="262" t="inlineStr">
        <is>
          <t>Услуги образования</t>
        </is>
      </c>
      <c r="B14" s="473" t="n">
        <v>100.6</v>
      </c>
      <c r="C14" s="360" t="n">
        <v>102.6</v>
      </c>
      <c r="D14" s="473" t="n">
        <v>109</v>
      </c>
    </row>
    <row r="15">
      <c r="A15" s="271" t="inlineStr">
        <is>
          <t>Услуги организаций культуры</t>
        </is>
      </c>
      <c r="B15" s="473" t="n">
        <v>101.6</v>
      </c>
      <c r="C15" s="360" t="n">
        <v>104.9</v>
      </c>
      <c r="D15" s="473" t="n">
        <v>114.9</v>
      </c>
    </row>
    <row r="16">
      <c r="A16" s="271" t="inlineStr">
        <is>
          <t>Услуги зарубежного туризма</t>
        </is>
      </c>
      <c r="B16" s="473" t="n">
        <v>100.7</v>
      </c>
      <c r="C16" s="360" t="n">
        <v>112.2</v>
      </c>
      <c r="D16" s="476" t="n">
        <v>103.3</v>
      </c>
    </row>
    <row r="17" ht="16.8" customHeight="1" s="216">
      <c r="A17" s="468" t="inlineStr">
        <is>
          <t>Санаторно-оздоровительные услуги</t>
        </is>
      </c>
      <c r="B17" s="473" t="n">
        <v>100.7</v>
      </c>
      <c r="C17" s="360" t="n">
        <v>108.2</v>
      </c>
      <c r="D17" s="476" t="n">
        <v>111.5</v>
      </c>
    </row>
    <row r="18">
      <c r="A18" s="271" t="inlineStr">
        <is>
          <t>Медицинские услуги</t>
        </is>
      </c>
      <c r="B18" s="473" t="n">
        <v>100</v>
      </c>
      <c r="C18" s="360" t="n">
        <v>104.8</v>
      </c>
      <c r="D18" s="476" t="n">
        <v>113.6</v>
      </c>
    </row>
    <row r="19">
      <c r="A19" s="271" t="inlineStr">
        <is>
          <t>Услуги правового характера</t>
        </is>
      </c>
      <c r="B19" s="473" t="n">
        <v>100</v>
      </c>
      <c r="C19" s="360" t="n">
        <v>110.3</v>
      </c>
      <c r="D19" s="476" t="n">
        <v>110.3</v>
      </c>
    </row>
    <row r="20">
      <c r="A20" s="468" t="inlineStr">
        <is>
          <t>Услуги страхования</t>
        </is>
      </c>
      <c r="B20" s="476" t="n">
        <v>97.2</v>
      </c>
      <c r="C20" s="358" t="n">
        <v>99.40000000000001</v>
      </c>
      <c r="D20" s="476" t="n">
        <v>97.5</v>
      </c>
    </row>
    <row r="21" ht="18.6" customHeight="1" s="216">
      <c r="A21" s="291" t="inlineStr">
        <is>
          <t>Услуги физической культуры и спорта</t>
        </is>
      </c>
      <c r="B21" s="322" t="n">
        <v>100.9</v>
      </c>
      <c r="C21" s="477" t="n">
        <v>104.5</v>
      </c>
      <c r="D21" s="322" t="n">
        <v>107</v>
      </c>
    </row>
  </sheetData>
  <mergeCells count="4">
    <mergeCell ref="A1:D1"/>
    <mergeCell ref="A4:A5"/>
    <mergeCell ref="A3:D3"/>
    <mergeCell ref="B4:D4"/>
  </mergeCells>
  <pageMargins left="0.7" right="0.7" top="0.75" bottom="0.75" header="0.3" footer="0.3"/>
  <pageSetup orientation="portrait" paperSize="9" scale="89"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colBreaks count="1" manualBreakCount="1">
    <brk id="4" min="0" max="1048575" man="1"/>
  </colBreaks>
</worksheet>
</file>

<file path=xl/worksheets/sheet28.xml><?xml version="1.0" encoding="utf-8"?>
<worksheet xmlns="http://schemas.openxmlformats.org/spreadsheetml/2006/main">
  <sheetPr>
    <outlinePr summaryBelow="1" summaryRight="1"/>
    <pageSetUpPr fitToPage="1"/>
  </sheetPr>
  <dimension ref="A1:E18"/>
  <sheetViews>
    <sheetView zoomScale="80" zoomScaleNormal="80" workbookViewId="0">
      <selection activeCell="G20" sqref="G20"/>
    </sheetView>
  </sheetViews>
  <sheetFormatPr baseColWidth="8" defaultRowHeight="13.2"/>
  <cols>
    <col width="40" customWidth="1" style="216" min="1" max="1"/>
    <col width="18.21875" customWidth="1" style="216" min="2" max="4"/>
  </cols>
  <sheetData>
    <row r="1" ht="18" customHeight="1" s="216">
      <c r="A1" s="705" t="inlineStr">
        <is>
          <t>Индексы цен на жилищные и коммунальные услуги</t>
        </is>
      </c>
    </row>
    <row r="2">
      <c r="A2" s="36" t="n"/>
    </row>
    <row r="3">
      <c r="A3" s="699" t="inlineStr">
        <is>
          <t>на конец месяца, в процентах</t>
        </is>
      </c>
      <c r="B3" s="756" t="n"/>
      <c r="C3" s="756" t="n"/>
      <c r="D3" s="756" t="n"/>
    </row>
    <row r="4" ht="14.4" customHeight="1" s="216">
      <c r="A4" s="144" t="n"/>
      <c r="B4" s="757" t="inlineStr">
        <is>
          <t xml:space="preserve">Август 2025 г. к </t>
        </is>
      </c>
      <c r="C4" s="764" t="n"/>
      <c r="D4" s="755" t="n"/>
    </row>
    <row r="5" ht="39.6" customHeight="1" s="216">
      <c r="A5" s="758" t="n"/>
      <c r="B5" s="672" t="inlineStr">
        <is>
          <t>предыдущему
 месяцу</t>
        </is>
      </c>
      <c r="C5" s="672" t="inlineStr">
        <is>
          <t>декабрю 2024 г.</t>
        </is>
      </c>
      <c r="D5" s="672" t="inlineStr">
        <is>
          <t>соответствующему месяцу предыдущего года</t>
        </is>
      </c>
    </row>
    <row r="6" ht="26.4" customHeight="1" s="216">
      <c r="A6" s="323" t="inlineStr">
        <is>
          <t>Жилищные услуги (без аренды квартир у частных лиц)</t>
        </is>
      </c>
      <c r="B6" s="277" t="n">
        <v>100.5</v>
      </c>
      <c r="C6" s="247" t="n">
        <v>121.3</v>
      </c>
      <c r="D6" s="521" t="n">
        <v>122.7</v>
      </c>
    </row>
    <row r="7" ht="26.4" customHeight="1" s="216">
      <c r="A7" s="225" t="inlineStr">
        <is>
          <t>оплата жилья в домах государственного и муниципального жилищных фондов</t>
        </is>
      </c>
      <c r="B7" s="277" t="n">
        <v>100</v>
      </c>
      <c r="C7" s="623" t="n">
        <v>104.4</v>
      </c>
      <c r="D7" s="247" t="n">
        <v>105.1</v>
      </c>
    </row>
    <row r="8" ht="26.4" customHeight="1" s="216">
      <c r="A8" s="251" t="inlineStr">
        <is>
          <t>содержание, ремонт жилья для граждан-собственников жилья</t>
        </is>
      </c>
      <c r="B8" s="277" t="n">
        <v>100</v>
      </c>
      <c r="C8" s="623" t="n">
        <v>106.8</v>
      </c>
      <c r="D8" s="247" t="n">
        <v>107.9</v>
      </c>
    </row>
    <row r="9" ht="28.2" customHeight="1" s="216">
      <c r="A9" s="225" t="inlineStr">
        <is>
          <t xml:space="preserve">услуги по организации и выполнению работ по эксплуатации домов ЖК, ЖСК, ТСЖ </t>
        </is>
      </c>
      <c r="B9" s="277" t="n">
        <v>103.1</v>
      </c>
      <c r="C9" s="623" t="n">
        <v>105.8</v>
      </c>
      <c r="D9" s="247" t="n">
        <v>112</v>
      </c>
    </row>
    <row r="10">
      <c r="A10" s="251" t="inlineStr">
        <is>
          <t>взносы на капитальный ремонт</t>
        </is>
      </c>
      <c r="B10" s="277" t="n">
        <v>100</v>
      </c>
      <c r="C10" s="623" t="n">
        <v>146.2</v>
      </c>
      <c r="D10" s="247" t="n">
        <v>146.2</v>
      </c>
      <c r="E10" s="440" t="n"/>
    </row>
    <row r="11">
      <c r="A11" s="281" t="inlineStr">
        <is>
          <t>Коммунальные услуги</t>
        </is>
      </c>
      <c r="B11" s="277" t="n">
        <v>100</v>
      </c>
      <c r="C11" s="623" t="n">
        <v>114.8</v>
      </c>
      <c r="D11" s="247" t="n">
        <v>114.8</v>
      </c>
    </row>
    <row r="12" ht="26.4" customHeight="1" s="216">
      <c r="A12" s="251" t="inlineStr">
        <is>
          <t>обращение с твердыми коммунальными отходами</t>
        </is>
      </c>
      <c r="B12" s="277" t="n">
        <v>100</v>
      </c>
      <c r="C12" s="623" t="n">
        <v>111.4</v>
      </c>
      <c r="D12" s="247" t="n">
        <v>111.4</v>
      </c>
    </row>
    <row r="13">
      <c r="A13" s="225" t="inlineStr">
        <is>
          <t>водоснабжение холодное</t>
        </is>
      </c>
      <c r="B13" s="277" t="n">
        <v>100</v>
      </c>
      <c r="C13" s="623" t="n">
        <v>111.3</v>
      </c>
      <c r="D13" s="247" t="n">
        <v>111.3</v>
      </c>
    </row>
    <row r="14">
      <c r="A14" s="225" t="inlineStr">
        <is>
          <t>водоснабжение горячее</t>
        </is>
      </c>
      <c r="B14" s="277" t="n">
        <v>100</v>
      </c>
      <c r="C14" s="623" t="n">
        <v>114.2</v>
      </c>
      <c r="D14" s="247" t="n">
        <v>114.2</v>
      </c>
    </row>
    <row r="15">
      <c r="A15" s="225" t="inlineStr">
        <is>
          <t>водоотведение</t>
        </is>
      </c>
      <c r="B15" s="277" t="n">
        <v>100</v>
      </c>
      <c r="C15" s="623" t="n">
        <v>122.3</v>
      </c>
      <c r="D15" s="247" t="n">
        <v>122.3</v>
      </c>
    </row>
    <row r="16">
      <c r="A16" s="225" t="inlineStr">
        <is>
          <t>отопление</t>
        </is>
      </c>
      <c r="B16" s="277" t="n">
        <v>100</v>
      </c>
      <c r="C16" s="623" t="n">
        <v>117.4</v>
      </c>
      <c r="D16" s="247" t="n">
        <v>117.4</v>
      </c>
    </row>
    <row r="17" ht="14.4" customHeight="1" s="216">
      <c r="A17" s="225" t="inlineStr">
        <is>
          <t>газоснабжение</t>
        </is>
      </c>
      <c r="B17" s="247" t="n">
        <v>100</v>
      </c>
      <c r="C17" s="623" t="n">
        <v>110.4</v>
      </c>
      <c r="D17" s="247" t="n">
        <v>110.4</v>
      </c>
    </row>
    <row r="18">
      <c r="A18" s="111" t="inlineStr">
        <is>
          <t>электроснабжение</t>
        </is>
      </c>
      <c r="B18" s="322" t="n">
        <v>100</v>
      </c>
      <c r="C18" s="322" t="n">
        <v>112.4</v>
      </c>
      <c r="D18" s="322" t="n">
        <v>112.4</v>
      </c>
    </row>
  </sheetData>
  <mergeCells count="4">
    <mergeCell ref="A1:D1"/>
    <mergeCell ref="A4:A5"/>
    <mergeCell ref="A3:D3"/>
    <mergeCell ref="B4:D4"/>
  </mergeCells>
  <pageMargins left="0.7" right="0.7" top="0.75" bottom="0.75" header="0.3" footer="0.3"/>
  <pageSetup orientation="portrait" paperSize="9" scale="94"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colBreaks count="1" manualBreakCount="1">
    <brk id="4" min="0" max="1048575" man="1"/>
  </colBreaks>
</worksheet>
</file>

<file path=xl/worksheets/sheet29.xml><?xml version="1.0" encoding="utf-8"?>
<worksheet xmlns="http://schemas.openxmlformats.org/spreadsheetml/2006/main">
  <sheetPr>
    <outlinePr summaryBelow="1" summaryRight="1"/>
    <pageSetUpPr/>
  </sheetPr>
  <dimension ref="A1:D27"/>
  <sheetViews>
    <sheetView zoomScale="80" zoomScaleNormal="80" workbookViewId="0">
      <selection activeCell="D6" sqref="D6"/>
    </sheetView>
  </sheetViews>
  <sheetFormatPr baseColWidth="8" defaultColWidth="8.88671875" defaultRowHeight="13.2"/>
  <cols>
    <col width="28.88671875" customWidth="1" style="216" min="1" max="1"/>
    <col width="20" customWidth="1" style="346" min="2" max="3"/>
    <col width="20" customWidth="1" style="216" min="4" max="4"/>
    <col width="8.88671875" customWidth="1" style="216" min="5" max="16384"/>
  </cols>
  <sheetData>
    <row r="1" ht="13.8" customHeight="1" s="216">
      <c r="A1" s="705" t="inlineStr">
        <is>
          <t xml:space="preserve">Динамика стоимости фиксированного набора потребительских товаров и услуг </t>
        </is>
      </c>
    </row>
    <row r="2" ht="13.8" customHeight="1" s="216">
      <c r="A2" s="724" t="n"/>
      <c r="B2" s="724" t="n"/>
      <c r="C2" s="724" t="n"/>
    </row>
    <row r="3">
      <c r="A3" s="706" t="inlineStr">
        <is>
          <t>на конец месяца</t>
        </is>
      </c>
      <c r="B3" s="756" t="n"/>
      <c r="C3" s="756" t="n"/>
      <c r="D3" s="756" t="n"/>
    </row>
    <row r="4">
      <c r="A4" s="671" t="n"/>
      <c r="B4" s="672" t="inlineStr">
        <is>
          <t xml:space="preserve">Стоимость набора, рублей </t>
        </is>
      </c>
      <c r="C4" s="212" t="inlineStr">
        <is>
          <t>В % к</t>
        </is>
      </c>
      <c r="D4" s="755" t="n"/>
    </row>
    <row r="5" ht="26.4" customHeight="1" s="216">
      <c r="A5" s="758" t="n"/>
      <c r="B5" s="758" t="n"/>
      <c r="C5" s="672" t="inlineStr">
        <is>
          <t xml:space="preserve"> предыдущему
 месяцу </t>
        </is>
      </c>
      <c r="D5" s="672" t="inlineStr">
        <is>
          <t xml:space="preserve"> декабрю предыдущего года</t>
        </is>
      </c>
    </row>
    <row r="6">
      <c r="A6" s="128" t="inlineStr">
        <is>
          <t>2025 г.</t>
        </is>
      </c>
      <c r="B6" s="464" t="n"/>
      <c r="C6" s="742" t="n"/>
      <c r="D6" s="697" t="n"/>
    </row>
    <row r="7">
      <c r="A7" s="377" t="inlineStr">
        <is>
          <t>Январь</t>
        </is>
      </c>
      <c r="B7" s="230" t="n">
        <v>21964.98</v>
      </c>
      <c r="C7" s="275" t="n">
        <v>101.24</v>
      </c>
      <c r="D7" s="247" t="n">
        <v>101.24</v>
      </c>
    </row>
    <row r="8">
      <c r="A8" s="379" t="inlineStr">
        <is>
          <t>Февраль</t>
        </is>
      </c>
      <c r="B8" s="230" t="n">
        <v>22142.99</v>
      </c>
      <c r="C8" s="275" t="n">
        <v>100.81</v>
      </c>
      <c r="D8" s="247" t="n">
        <v>102.06</v>
      </c>
    </row>
    <row r="9">
      <c r="A9" s="377" t="inlineStr">
        <is>
          <t>Март</t>
        </is>
      </c>
      <c r="B9" s="230" t="n">
        <v>22600.29</v>
      </c>
      <c r="C9" s="360" t="n">
        <v>102.07</v>
      </c>
      <c r="D9" s="247" t="n">
        <v>104.17</v>
      </c>
    </row>
    <row r="10">
      <c r="A10" s="377" t="inlineStr">
        <is>
          <t>Апрель</t>
        </is>
      </c>
      <c r="B10" s="230" t="n">
        <v>22854.43</v>
      </c>
      <c r="C10" s="360" t="n">
        <v>101.12</v>
      </c>
      <c r="D10" s="247" t="n">
        <v>105.34</v>
      </c>
    </row>
    <row r="11">
      <c r="A11" s="377" t="inlineStr">
        <is>
          <t>Май</t>
        </is>
      </c>
      <c r="B11" s="230" t="n">
        <v>23116.78</v>
      </c>
      <c r="C11" s="360" t="n">
        <v>101.15</v>
      </c>
      <c r="D11" s="247" t="n">
        <v>106.55</v>
      </c>
    </row>
    <row r="12">
      <c r="A12" s="377" t="inlineStr">
        <is>
          <t>Июнь</t>
        </is>
      </c>
      <c r="B12" s="230" t="n">
        <v>22986.79</v>
      </c>
      <c r="C12" s="360" t="n">
        <v>99.44</v>
      </c>
      <c r="D12" s="247" t="n">
        <v>105.95</v>
      </c>
    </row>
    <row r="13">
      <c r="A13" s="377" t="inlineStr">
        <is>
          <t>Июль</t>
        </is>
      </c>
      <c r="B13" s="230" t="n">
        <v>23275.62</v>
      </c>
      <c r="C13" s="360" t="n">
        <v>101.26</v>
      </c>
      <c r="D13" s="247" t="n">
        <v>107.28</v>
      </c>
    </row>
    <row r="14">
      <c r="A14" s="377" t="inlineStr">
        <is>
          <t>Август</t>
        </is>
      </c>
      <c r="B14" s="230" t="n">
        <v>22928.37</v>
      </c>
      <c r="C14" s="360" t="n">
        <v>98.51000000000001</v>
      </c>
      <c r="D14" s="247" t="n">
        <v>105.68</v>
      </c>
    </row>
    <row r="15">
      <c r="A15" s="128" t="inlineStr">
        <is>
          <t>2024 г.</t>
        </is>
      </c>
      <c r="B15" s="697" t="n"/>
      <c r="C15" s="742" t="n"/>
      <c r="D15" s="697" t="n"/>
    </row>
    <row r="16">
      <c r="A16" s="377" t="inlineStr">
        <is>
          <t>Январь</t>
        </is>
      </c>
      <c r="B16" s="230" t="n">
        <v>19285.65</v>
      </c>
      <c r="C16" s="275" t="n">
        <v>100.52</v>
      </c>
      <c r="D16" s="247" t="n">
        <v>100.52</v>
      </c>
    </row>
    <row r="17">
      <c r="A17" s="379" t="inlineStr">
        <is>
          <t>Февраль</t>
        </is>
      </c>
      <c r="B17" s="230" t="n">
        <v>19544.34</v>
      </c>
      <c r="C17" s="275" t="n">
        <v>101.34</v>
      </c>
      <c r="D17" s="247" t="n">
        <v>101.87</v>
      </c>
    </row>
    <row r="18">
      <c r="A18" s="377" t="inlineStr">
        <is>
          <t>Март</t>
        </is>
      </c>
      <c r="B18" s="230" t="n">
        <v>19639.66</v>
      </c>
      <c r="C18" s="275" t="n">
        <v>100.49</v>
      </c>
      <c r="D18" s="247" t="n">
        <v>102.36</v>
      </c>
    </row>
    <row r="19">
      <c r="A19" s="377" t="inlineStr">
        <is>
          <t>Апрель</t>
        </is>
      </c>
      <c r="B19" s="230" t="n">
        <v>19883.02</v>
      </c>
      <c r="C19" s="275" t="n">
        <v>101.24</v>
      </c>
      <c r="D19" s="247" t="n">
        <v>103.63</v>
      </c>
    </row>
    <row r="20">
      <c r="A20" s="377" t="inlineStr">
        <is>
          <t>Май</t>
        </is>
      </c>
      <c r="B20" s="394" t="n">
        <v>20104.85</v>
      </c>
      <c r="C20" s="277" t="n">
        <v>101.12</v>
      </c>
      <c r="D20" s="247" t="n">
        <v>104.79</v>
      </c>
    </row>
    <row r="21">
      <c r="A21" s="377" t="inlineStr">
        <is>
          <t>Июнь</t>
        </is>
      </c>
      <c r="B21" s="230" t="n">
        <v>20278.16</v>
      </c>
      <c r="C21" s="275" t="n">
        <v>100.86</v>
      </c>
      <c r="D21" s="247" t="n">
        <v>105.69</v>
      </c>
    </row>
    <row r="22">
      <c r="A22" s="377" t="inlineStr">
        <is>
          <t>Июль</t>
        </is>
      </c>
      <c r="B22" s="230" t="n">
        <v>20727.81</v>
      </c>
      <c r="C22" s="275" t="n">
        <v>102.22</v>
      </c>
      <c r="D22" s="247" t="n">
        <v>108.04</v>
      </c>
    </row>
    <row r="23">
      <c r="A23" s="523" t="inlineStr">
        <is>
          <t>Август</t>
        </is>
      </c>
      <c r="B23" s="394" t="n">
        <v>20620.81</v>
      </c>
      <c r="C23" s="277" t="n">
        <v>99.48</v>
      </c>
      <c r="D23" s="247" t="n">
        <v>107.48</v>
      </c>
    </row>
    <row r="24">
      <c r="A24" s="379" t="inlineStr">
        <is>
          <t>Сентябрь</t>
        </is>
      </c>
      <c r="B24" s="394" t="n">
        <v>20552.09</v>
      </c>
      <c r="C24" s="277" t="n">
        <v>99.67</v>
      </c>
      <c r="D24" s="247" t="n">
        <v>107.12</v>
      </c>
    </row>
    <row r="25">
      <c r="A25" s="376" t="inlineStr">
        <is>
          <t>Октябрь</t>
        </is>
      </c>
      <c r="B25" s="230" t="n">
        <v>20743.7</v>
      </c>
      <c r="C25" s="275" t="n">
        <v>100.93</v>
      </c>
      <c r="D25" s="247" t="n">
        <v>108.12</v>
      </c>
    </row>
    <row r="26">
      <c r="A26" s="523" t="inlineStr">
        <is>
          <t>Ноябрь</t>
        </is>
      </c>
      <c r="B26" s="230" t="n">
        <v>21158.66</v>
      </c>
      <c r="C26" s="275" t="n">
        <v>102</v>
      </c>
      <c r="D26" s="247" t="n">
        <v>110.28</v>
      </c>
    </row>
    <row r="27">
      <c r="A27" s="210" t="inlineStr">
        <is>
          <t>Декабрь</t>
        </is>
      </c>
      <c r="B27" s="465" t="n">
        <v>21466.49</v>
      </c>
      <c r="C27" s="463" t="n">
        <v>101.45</v>
      </c>
      <c r="D27" s="322" t="n">
        <v>111.89</v>
      </c>
    </row>
  </sheetData>
  <mergeCells count="5">
    <mergeCell ref="A1:D1"/>
    <mergeCell ref="B4:B5"/>
    <mergeCell ref="A4:A5"/>
    <mergeCell ref="A3:D3"/>
    <mergeCell ref="C4:D4"/>
  </mergeCells>
  <pageMargins left="0.7" right="0.7" top="0.75" bottom="0.75" header="0.3" footer="0.3"/>
  <pageSetup orientation="portrait" paperSize="9" scale="91"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30.xml><?xml version="1.0" encoding="utf-8"?>
<worksheet xmlns="http://schemas.openxmlformats.org/spreadsheetml/2006/main">
  <sheetPr>
    <outlinePr summaryBelow="1" summaryRight="1"/>
    <pageSetUpPr/>
  </sheetPr>
  <dimension ref="A1:D12"/>
  <sheetViews>
    <sheetView zoomScale="80" zoomScaleNormal="80" workbookViewId="0">
      <selection activeCell="D6" sqref="D6"/>
    </sheetView>
  </sheetViews>
  <sheetFormatPr baseColWidth="8" defaultRowHeight="13.2"/>
  <cols>
    <col width="34.6640625" customWidth="1" style="216" min="1" max="1"/>
    <col width="19.77734375" customWidth="1" style="216" min="2" max="4"/>
  </cols>
  <sheetData>
    <row r="1" ht="13.8" customHeight="1" s="216">
      <c r="A1" s="710" t="inlineStr">
        <is>
          <t>Средние потребительские цены на бензин автомобильный и топливо моторное</t>
        </is>
      </c>
    </row>
    <row r="2">
      <c r="A2" s="33" t="n"/>
    </row>
    <row r="3">
      <c r="A3" s="699" t="inlineStr">
        <is>
          <t>на конец месяца, рублей за литр</t>
        </is>
      </c>
      <c r="B3" s="756" t="n"/>
      <c r="C3" s="756" t="n"/>
      <c r="D3" s="756" t="n"/>
    </row>
    <row r="4">
      <c r="A4" s="765" t="n"/>
      <c r="B4" s="212" t="inlineStr">
        <is>
          <t>Август 2025 г.</t>
        </is>
      </c>
      <c r="C4" s="673" t="inlineStr">
        <is>
          <t>Справочно</t>
        </is>
      </c>
      <c r="D4" s="755" t="n"/>
    </row>
    <row r="5">
      <c r="A5" s="758" t="n"/>
      <c r="B5" s="758" t="n"/>
      <c r="C5" s="212" t="inlineStr">
        <is>
          <t>август 2024 г.</t>
        </is>
      </c>
      <c r="D5" s="672" t="inlineStr">
        <is>
          <t>декабрь 2024 г.</t>
        </is>
      </c>
    </row>
    <row r="6">
      <c r="A6" s="76" t="inlineStr">
        <is>
          <t>Бензин автомобильный</t>
        </is>
      </c>
      <c r="B6" s="336" t="n">
        <v>60.45</v>
      </c>
      <c r="C6" s="336" t="n">
        <v>57.38</v>
      </c>
      <c r="D6" s="517" t="n">
        <v>59.77</v>
      </c>
    </row>
    <row r="7">
      <c r="A7" s="99" t="inlineStr">
        <is>
          <t>в том числе:</t>
        </is>
      </c>
      <c r="B7" s="336" t="n"/>
      <c r="C7" s="395" t="n"/>
      <c r="D7" s="518" t="n"/>
    </row>
    <row r="8">
      <c r="A8" s="100" t="inlineStr">
        <is>
          <t xml:space="preserve">марки АИ-92 </t>
        </is>
      </c>
      <c r="B8" s="336" t="n">
        <v>57.12</v>
      </c>
      <c r="C8" s="395" t="n">
        <v>52.07</v>
      </c>
      <c r="D8" s="518" t="n">
        <v>54.03</v>
      </c>
    </row>
    <row r="9">
      <c r="A9" s="100" t="inlineStr">
        <is>
          <t xml:space="preserve">марки АИ-95 </t>
        </is>
      </c>
      <c r="B9" s="336" t="n">
        <v>62.92</v>
      </c>
      <c r="C9" s="395" t="n">
        <v>57.33</v>
      </c>
      <c r="D9" s="230" t="n">
        <v>59.6</v>
      </c>
    </row>
    <row r="10">
      <c r="A10" s="269" t="inlineStr">
        <is>
          <t>марки АИ-98 и выше</t>
        </is>
      </c>
      <c r="B10" s="336" t="n">
        <v>81.48</v>
      </c>
      <c r="C10" s="395" t="n">
        <v>76.69</v>
      </c>
      <c r="D10" s="518" t="n">
        <v>81.05</v>
      </c>
    </row>
    <row r="11">
      <c r="A11" s="101" t="inlineStr">
        <is>
          <t>Дизельное топливо</t>
        </is>
      </c>
      <c r="B11" s="336" t="n">
        <v>71.09</v>
      </c>
      <c r="C11" s="395" t="n">
        <v>66.73999999999999</v>
      </c>
      <c r="D11" s="518" t="n">
        <v>70.01000000000001</v>
      </c>
    </row>
    <row r="12">
      <c r="A12" s="74" t="inlineStr">
        <is>
          <t>Газовое моторное топливо</t>
        </is>
      </c>
      <c r="B12" s="337" t="n">
        <v>21.43</v>
      </c>
      <c r="C12" s="337" t="n">
        <v>25.94</v>
      </c>
      <c r="D12" s="519" t="n">
        <v>29.44</v>
      </c>
    </row>
  </sheetData>
  <mergeCells count="5">
    <mergeCell ref="A1:D1"/>
    <mergeCell ref="B4:B5"/>
    <mergeCell ref="A4:A5"/>
    <mergeCell ref="A3:D3"/>
    <mergeCell ref="C4:D4"/>
  </mergeCells>
  <pageMargins left="0.7" right="0.7" top="0.75" bottom="0.75" header="0.3" footer="0.3"/>
  <pageSetup orientation="portrait" paperSize="9" scale="95"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colBreaks count="1" manualBreakCount="1">
    <brk id="4" min="0" max="21" man="1"/>
  </colBreaks>
</worksheet>
</file>

<file path=xl/worksheets/sheet31.xml><?xml version="1.0" encoding="utf-8"?>
<worksheet xmlns="http://schemas.openxmlformats.org/spreadsheetml/2006/main">
  <sheetPr>
    <outlinePr summaryBelow="1" summaryRight="1"/>
    <pageSetUpPr fitToPage="1"/>
  </sheetPr>
  <dimension ref="A1:F13"/>
  <sheetViews>
    <sheetView zoomScale="80" zoomScaleNormal="80" workbookViewId="0">
      <selection activeCell="D6" sqref="D6"/>
    </sheetView>
  </sheetViews>
  <sheetFormatPr baseColWidth="8" defaultRowHeight="13.2"/>
  <cols>
    <col width="31.88671875" customWidth="1" style="216" min="1" max="1"/>
    <col width="20.44140625" customWidth="1" style="216" min="2" max="2"/>
    <col width="20.77734375" customWidth="1" style="216" min="3" max="3"/>
    <col width="19.33203125" customWidth="1" style="216" min="4" max="4"/>
  </cols>
  <sheetData>
    <row r="1" ht="13.8" customHeight="1" s="216">
      <c r="A1" s="710" t="inlineStr">
        <is>
          <t>Индексы потребительских цен на бензин автомобильный и топливо моторное</t>
        </is>
      </c>
    </row>
    <row r="2">
      <c r="A2" s="41" t="n"/>
    </row>
    <row r="3">
      <c r="A3" s="715" t="inlineStr">
        <is>
          <t>на конец месяца, в процентах</t>
        </is>
      </c>
      <c r="B3" s="756" t="n"/>
      <c r="C3" s="756" t="n"/>
      <c r="D3" s="756" t="n"/>
    </row>
    <row r="4">
      <c r="A4" s="766" t="n"/>
      <c r="B4" s="757" t="inlineStr">
        <is>
          <t xml:space="preserve">Август 2025 г. к </t>
        </is>
      </c>
      <c r="C4" s="764" t="n"/>
      <c r="D4" s="755" t="n"/>
    </row>
    <row r="5" ht="52.8" customHeight="1" s="216">
      <c r="A5" s="758" t="n"/>
      <c r="B5" s="672" t="inlineStr">
        <is>
          <t xml:space="preserve">предыдущему
месяцу
</t>
        </is>
      </c>
      <c r="C5" s="212" t="inlineStr">
        <is>
          <t>декабрю 2024 г.</t>
        </is>
      </c>
      <c r="D5" s="672" t="inlineStr">
        <is>
          <t xml:space="preserve">соответствующему месяцу 
предыдущего года
</t>
        </is>
      </c>
    </row>
    <row r="6">
      <c r="A6" s="376" t="inlineStr">
        <is>
          <t>Бензин автомобильный</t>
        </is>
      </c>
      <c r="B6" s="362" t="n">
        <v>100.7</v>
      </c>
      <c r="C6" s="362" t="n">
        <v>105.7</v>
      </c>
      <c r="D6" s="521" t="n">
        <v>110</v>
      </c>
    </row>
    <row r="7">
      <c r="A7" s="268" t="inlineStr">
        <is>
          <t>в том числе:</t>
        </is>
      </c>
      <c r="B7" s="362" t="n"/>
      <c r="C7" s="617" t="n"/>
      <c r="D7" s="476" t="n"/>
    </row>
    <row r="8">
      <c r="A8" s="269" t="inlineStr">
        <is>
          <t xml:space="preserve">марки АИ-92 </t>
        </is>
      </c>
      <c r="B8" s="362" t="n">
        <v>100.8</v>
      </c>
      <c r="C8" s="617" t="n">
        <v>105.9</v>
      </c>
      <c r="D8" s="476" t="n">
        <v>109.9</v>
      </c>
    </row>
    <row r="9">
      <c r="A9" s="269" t="inlineStr">
        <is>
          <t xml:space="preserve">марки АИ-95 </t>
        </is>
      </c>
      <c r="B9" s="362" t="n">
        <v>100.6</v>
      </c>
      <c r="C9" s="617" t="n">
        <v>105.7</v>
      </c>
      <c r="D9" s="476" t="n">
        <v>109.9</v>
      </c>
    </row>
    <row r="10">
      <c r="A10" s="269" t="inlineStr">
        <is>
          <t>марки АИ-98 и выше</t>
        </is>
      </c>
      <c r="B10" s="362" t="n">
        <v>100.1</v>
      </c>
      <c r="C10" s="617" t="n">
        <v>101.1</v>
      </c>
      <c r="D10" s="476" t="n">
        <v>106.9</v>
      </c>
    </row>
    <row r="11">
      <c r="A11" s="379" t="inlineStr">
        <is>
          <t>Дизельное топливо</t>
        </is>
      </c>
      <c r="B11" s="362" t="n">
        <v>100</v>
      </c>
      <c r="C11" s="617" t="n">
        <v>101.6</v>
      </c>
      <c r="D11" s="476" t="n">
        <v>106.5</v>
      </c>
    </row>
    <row r="12" s="216">
      <c r="A12" s="74" t="inlineStr">
        <is>
          <t>Газовое моторное топливо</t>
        </is>
      </c>
      <c r="B12" s="618" t="n">
        <v>100</v>
      </c>
      <c r="C12" s="618" t="n">
        <v>73.2</v>
      </c>
      <c r="D12" s="322" t="n">
        <v>83</v>
      </c>
      <c r="F12" s="606" t="n"/>
    </row>
    <row r="13">
      <c r="B13" s="238" t="n"/>
    </row>
  </sheetData>
  <mergeCells count="4">
    <mergeCell ref="A1:D1"/>
    <mergeCell ref="A4:A5"/>
    <mergeCell ref="A3:D3"/>
    <mergeCell ref="B4:D4"/>
  </mergeCells>
  <pageMargins left="0.7" right="0.7" top="0.75" bottom="0.75" header="0.3" footer="0.3"/>
  <pageSetup orientation="portrait" paperSize="9" scale="88"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H37"/>
  <sheetViews>
    <sheetView topLeftCell="A4" zoomScale="80" zoomScaleNormal="80" workbookViewId="0">
      <selection activeCell="I33" sqref="I33"/>
    </sheetView>
  </sheetViews>
  <sheetFormatPr baseColWidth="8" defaultRowHeight="13.2"/>
  <cols>
    <col width="24.109375" customWidth="1" style="216" min="1" max="1"/>
    <col width="12.6640625" customWidth="1" style="216" min="2" max="3"/>
    <col width="14.33203125" customWidth="1" style="216" min="4" max="4"/>
    <col width="12.6640625" customWidth="1" style="216" min="5" max="5"/>
    <col width="13.77734375" customWidth="1" style="216" min="6" max="6"/>
  </cols>
  <sheetData>
    <row r="1" ht="13.8" customHeight="1" s="216">
      <c r="A1" s="733" t="inlineStr">
        <is>
          <t>ИНДЕКСЫ ЦЕН И ТАРИФОВ ПРОИЗВОДИТЕЛЕЙ</t>
        </is>
      </c>
    </row>
    <row r="3" ht="31.95" customHeight="1" s="216">
      <c r="A3" s="705" t="inlineStr">
        <is>
          <t>Динамика индексов цен производителей промышленных товаров, реализованных на внутреннем рынке</t>
        </is>
      </c>
    </row>
    <row r="4">
      <c r="A4" s="39" t="n"/>
    </row>
    <row r="5">
      <c r="A5" s="717" t="inlineStr">
        <is>
          <t>на конец периода, в процентах к предыдущему периоду</t>
        </is>
      </c>
    </row>
    <row r="6" ht="13.2" customHeight="1" s="216">
      <c r="A6" s="647" t="n"/>
      <c r="B6" s="687" t="inlineStr">
        <is>
          <t>Всего1)</t>
        </is>
      </c>
      <c r="C6" s="667" t="inlineStr">
        <is>
          <t>В том числе по видам экономической деятельности</t>
        </is>
      </c>
      <c r="D6" s="764" t="n"/>
      <c r="E6" s="764" t="n"/>
      <c r="F6" s="755" t="n"/>
    </row>
    <row r="7" ht="145.2" customHeight="1" s="216">
      <c r="A7" s="522" t="n"/>
      <c r="B7" s="522" t="n"/>
      <c r="C7" s="644" t="inlineStr">
        <is>
          <t>добыча полезных ископаемых</t>
        </is>
      </c>
      <c r="D7" s="731" t="inlineStr">
        <is>
          <t>обрабатыва-ющие производства</t>
        </is>
      </c>
      <c r="E7" s="731" t="inlineStr">
        <is>
          <t>обеспечение электричес-кой энергией, газом и паром; кондициони-рование воздуха</t>
        </is>
      </c>
      <c r="F7" s="306" t="inlineStr">
        <is>
          <t>водоснаб-жение; водоотве-дение, организация сбора и утилизации отходов, деятельность по ликвидации загрязнений</t>
        </is>
      </c>
    </row>
    <row r="8">
      <c r="A8" s="257" t="inlineStr">
        <is>
          <t>2025 г.</t>
        </is>
      </c>
      <c r="B8" s="515" t="n"/>
      <c r="C8" s="515" t="n"/>
      <c r="D8" s="515" t="n"/>
      <c r="E8" s="515" t="n"/>
      <c r="F8" s="515" t="n"/>
    </row>
    <row r="9">
      <c r="A9" s="522" t="inlineStr">
        <is>
          <t>Январь</t>
        </is>
      </c>
      <c r="B9" s="753" t="n">
        <v>99.59999999999999</v>
      </c>
      <c r="C9" s="753" t="n">
        <v>98.7</v>
      </c>
      <c r="D9" s="232" t="n">
        <v>100</v>
      </c>
      <c r="E9" s="232" t="n">
        <v>98.7</v>
      </c>
      <c r="F9" s="232" t="n">
        <v>100.2</v>
      </c>
    </row>
    <row r="10">
      <c r="A10" s="523" t="inlineStr">
        <is>
          <t>Февраль</t>
        </is>
      </c>
      <c r="B10" s="753" t="n">
        <v>99.09999999999999</v>
      </c>
      <c r="C10" s="753" t="n">
        <v>98.8</v>
      </c>
      <c r="D10" s="232" t="n">
        <v>99.09999999999999</v>
      </c>
      <c r="E10" s="232" t="n">
        <v>101.9</v>
      </c>
      <c r="F10" s="232" t="n">
        <v>95.8</v>
      </c>
    </row>
    <row r="11">
      <c r="A11" s="376" t="inlineStr">
        <is>
          <t>Март</t>
        </is>
      </c>
      <c r="B11" s="753" t="n">
        <v>101.1</v>
      </c>
      <c r="C11" s="753" t="n">
        <v>82.90000000000001</v>
      </c>
      <c r="D11" s="232" t="n">
        <v>108.3</v>
      </c>
      <c r="E11" s="232" t="n">
        <v>101.6</v>
      </c>
      <c r="F11" s="232" t="n">
        <v>100</v>
      </c>
    </row>
    <row r="12">
      <c r="A12" s="81" t="inlineStr">
        <is>
          <t>I квартал</t>
        </is>
      </c>
      <c r="B12" s="753" t="n">
        <v>99.8</v>
      </c>
      <c r="C12" s="753" t="n">
        <v>80.90000000000001</v>
      </c>
      <c r="D12" s="232" t="n">
        <v>107.4</v>
      </c>
      <c r="E12" s="232" t="n">
        <v>102.2</v>
      </c>
      <c r="F12" s="232" t="n">
        <v>95.90000000000001</v>
      </c>
    </row>
    <row r="13">
      <c r="A13" s="696" t="inlineStr">
        <is>
          <t>Апрель</t>
        </is>
      </c>
      <c r="B13" s="753" t="n">
        <v>98.7</v>
      </c>
      <c r="C13" s="753" t="n">
        <v>93.09999999999999</v>
      </c>
      <c r="D13" s="232" t="n">
        <v>100.4</v>
      </c>
      <c r="E13" s="232" t="n">
        <v>99.09999999999999</v>
      </c>
      <c r="F13" s="232" t="n">
        <v>100</v>
      </c>
    </row>
    <row r="14">
      <c r="A14" s="378" t="inlineStr">
        <is>
          <t>Май</t>
        </is>
      </c>
      <c r="B14" s="753" t="n">
        <v>90.8</v>
      </c>
      <c r="C14" s="753" t="n">
        <v>89.90000000000001</v>
      </c>
      <c r="D14" s="753" t="n">
        <v>90.09999999999999</v>
      </c>
      <c r="E14" s="753" t="n">
        <v>100.1</v>
      </c>
      <c r="F14" s="753" t="n">
        <v>100</v>
      </c>
    </row>
    <row r="15">
      <c r="A15" s="376" t="inlineStr">
        <is>
          <t>Июнь</t>
        </is>
      </c>
      <c r="B15" s="753" t="n">
        <v>101.6</v>
      </c>
      <c r="C15" s="754" t="n">
        <v>93.7</v>
      </c>
      <c r="D15" s="753" t="n">
        <v>103.9</v>
      </c>
      <c r="E15" s="754" t="n">
        <v>100.5</v>
      </c>
      <c r="F15" s="753" t="n">
        <v>100.6</v>
      </c>
    </row>
    <row r="16">
      <c r="A16" s="81" t="inlineStr">
        <is>
          <t>II квартал</t>
        </is>
      </c>
      <c r="B16" s="753" t="n">
        <v>91</v>
      </c>
      <c r="C16" s="754" t="n">
        <v>78.40000000000001</v>
      </c>
      <c r="D16" s="753" t="n">
        <v>94</v>
      </c>
      <c r="E16" s="754" t="n">
        <v>99.59999999999999</v>
      </c>
      <c r="F16" s="753" t="n">
        <v>100.6</v>
      </c>
    </row>
    <row r="17">
      <c r="A17" s="376" t="inlineStr">
        <is>
          <t>Июль</t>
        </is>
      </c>
      <c r="B17" s="753" t="n">
        <v>102.9</v>
      </c>
      <c r="C17" s="754" t="n">
        <v>110.7</v>
      </c>
      <c r="D17" s="753" t="n">
        <v>100.4</v>
      </c>
      <c r="E17" s="392" t="n">
        <v>106.6</v>
      </c>
      <c r="F17" s="753" t="n">
        <v>110.4</v>
      </c>
    </row>
    <row r="18">
      <c r="A18" s="376" t="inlineStr">
        <is>
          <t>Август</t>
        </is>
      </c>
      <c r="B18" s="753" t="n">
        <v>88.7</v>
      </c>
      <c r="C18" s="754" t="n">
        <v>100</v>
      </c>
      <c r="D18" s="753" t="n">
        <v>83.7</v>
      </c>
      <c r="E18" s="754" t="n">
        <v>105.5</v>
      </c>
      <c r="F18" s="753" t="n">
        <v>100</v>
      </c>
      <c r="H18" s="238" t="n"/>
    </row>
    <row r="19">
      <c r="A19" s="128" t="inlineStr">
        <is>
          <t>2024 г.</t>
        </is>
      </c>
      <c r="B19" s="516" t="n"/>
      <c r="C19" s="516" t="n"/>
      <c r="D19" s="516" t="n"/>
      <c r="E19" s="516" t="n"/>
      <c r="F19" s="516" t="n"/>
    </row>
    <row r="20">
      <c r="A20" s="522" t="inlineStr">
        <is>
          <t>Январь</t>
        </is>
      </c>
      <c r="B20" s="753" t="n">
        <v>101.3</v>
      </c>
      <c r="C20" s="753" t="n">
        <v>106.2</v>
      </c>
      <c r="D20" s="232" t="n">
        <v>99.8</v>
      </c>
      <c r="E20" s="232" t="n">
        <v>97.5</v>
      </c>
      <c r="F20" s="232" t="n">
        <v>100.3</v>
      </c>
    </row>
    <row r="21">
      <c r="A21" s="376" t="inlineStr">
        <is>
          <t>Февраль</t>
        </is>
      </c>
      <c r="B21" s="753" t="n">
        <v>97.40000000000001</v>
      </c>
      <c r="C21" s="753" t="n">
        <v>97.7</v>
      </c>
      <c r="D21" s="232" t="n">
        <v>97</v>
      </c>
      <c r="E21" s="232" t="n">
        <v>100.1</v>
      </c>
      <c r="F21" s="232" t="n">
        <v>100</v>
      </c>
    </row>
    <row r="22">
      <c r="A22" s="376" t="inlineStr">
        <is>
          <t>Март</t>
        </is>
      </c>
      <c r="B22" s="753" t="n">
        <v>102.9</v>
      </c>
      <c r="C22" s="753" t="n">
        <v>110.1</v>
      </c>
      <c r="D22" s="232" t="n">
        <v>100.1</v>
      </c>
      <c r="E22" s="232" t="n">
        <v>104.8</v>
      </c>
      <c r="F22" s="232" t="n">
        <v>100</v>
      </c>
    </row>
    <row r="23" ht="13.2" customHeight="1" s="216">
      <c r="A23" s="81" t="inlineStr">
        <is>
          <t>I квартал</t>
        </is>
      </c>
      <c r="B23" s="753" t="n">
        <v>101.6</v>
      </c>
      <c r="C23" s="753" t="n">
        <v>114.3</v>
      </c>
      <c r="D23" s="232" t="n">
        <v>96.90000000000001</v>
      </c>
      <c r="E23" s="232" t="n">
        <v>102.2</v>
      </c>
      <c r="F23" s="232" t="n">
        <v>100.3</v>
      </c>
    </row>
    <row r="24">
      <c r="A24" s="696" t="inlineStr">
        <is>
          <t>Апрель</t>
        </is>
      </c>
      <c r="B24" s="753" t="n">
        <v>101.5</v>
      </c>
      <c r="C24" s="753" t="n">
        <v>103.7</v>
      </c>
      <c r="D24" s="232" t="n">
        <v>101</v>
      </c>
      <c r="E24" s="232" t="n">
        <v>97.09999999999999</v>
      </c>
      <c r="F24" s="232" t="n">
        <v>100</v>
      </c>
    </row>
    <row r="25">
      <c r="A25" s="696" t="inlineStr">
        <is>
          <t>Май</t>
        </is>
      </c>
      <c r="B25" s="753" t="n">
        <v>100.8</v>
      </c>
      <c r="C25" s="753" t="n">
        <v>104.7</v>
      </c>
      <c r="D25" s="232" t="n">
        <v>99.2</v>
      </c>
      <c r="E25" s="232" t="n">
        <v>100.5</v>
      </c>
      <c r="F25" s="232" t="n">
        <v>100</v>
      </c>
    </row>
    <row r="26">
      <c r="A26" s="376" t="inlineStr">
        <is>
          <t>Июнь</t>
        </is>
      </c>
      <c r="B26" s="753" t="n">
        <v>96</v>
      </c>
      <c r="C26" s="753" t="n">
        <v>87.5</v>
      </c>
      <c r="D26" s="232" t="n">
        <v>99.7</v>
      </c>
      <c r="E26" s="232" t="n">
        <v>99</v>
      </c>
      <c r="F26" s="232" t="n">
        <v>100</v>
      </c>
    </row>
    <row r="27">
      <c r="A27" s="81" t="inlineStr">
        <is>
          <t>II квартал</t>
        </is>
      </c>
      <c r="B27" s="753" t="n">
        <v>98.3</v>
      </c>
      <c r="C27" s="753" t="n">
        <v>95</v>
      </c>
      <c r="D27" s="232" t="n">
        <v>99.8</v>
      </c>
      <c r="E27" s="232" t="n">
        <v>96.59999999999999</v>
      </c>
      <c r="F27" s="232" t="n">
        <v>100</v>
      </c>
    </row>
    <row r="28">
      <c r="A28" s="376" t="inlineStr">
        <is>
          <t>Июль</t>
        </is>
      </c>
      <c r="B28" s="753" t="n">
        <v>102.6</v>
      </c>
      <c r="C28" s="753" t="n">
        <v>107.8</v>
      </c>
      <c r="D28" s="232" t="n">
        <v>100.4</v>
      </c>
      <c r="E28" s="525" t="n">
        <v>100.5</v>
      </c>
      <c r="F28" s="232" t="n">
        <v>110.8</v>
      </c>
    </row>
    <row r="29">
      <c r="A29" s="376" t="inlineStr">
        <is>
          <t>Август</t>
        </is>
      </c>
      <c r="B29" s="753" t="n">
        <v>99.40000000000001</v>
      </c>
      <c r="C29" s="753" t="n">
        <v>94.59999999999999</v>
      </c>
      <c r="D29" s="232" t="n">
        <v>101.1</v>
      </c>
      <c r="E29" s="232" t="n">
        <v>105.1</v>
      </c>
      <c r="F29" s="232" t="n">
        <v>100</v>
      </c>
    </row>
    <row r="30">
      <c r="A30" s="376" t="inlineStr">
        <is>
          <t>Сентябрь</t>
        </is>
      </c>
      <c r="B30" s="753" t="n">
        <v>101.6</v>
      </c>
      <c r="C30" s="753" t="n">
        <v>103.9</v>
      </c>
      <c r="D30" s="232" t="n">
        <v>100.5</v>
      </c>
      <c r="E30" s="232" t="n">
        <v>103.8</v>
      </c>
      <c r="F30" s="232" t="n">
        <v>100.6</v>
      </c>
    </row>
    <row r="31">
      <c r="A31" s="81" t="inlineStr">
        <is>
          <t>III квартал</t>
        </is>
      </c>
      <c r="B31" s="753" t="n">
        <v>103.7</v>
      </c>
      <c r="C31" s="753" t="n">
        <v>105.9</v>
      </c>
      <c r="D31" s="232" t="n">
        <v>102</v>
      </c>
      <c r="E31" s="232" t="n">
        <v>109.6</v>
      </c>
      <c r="F31" s="232" t="n">
        <v>111.4</v>
      </c>
    </row>
    <row r="32">
      <c r="A32" s="376" t="inlineStr">
        <is>
          <t>Октябрь</t>
        </is>
      </c>
      <c r="B32" s="753" t="n">
        <v>97.09999999999999</v>
      </c>
      <c r="C32" s="753" t="n">
        <v>89.09999999999999</v>
      </c>
      <c r="D32" s="232" t="n">
        <v>100.1</v>
      </c>
      <c r="E32" s="232" t="n">
        <v>100.9</v>
      </c>
      <c r="F32" s="232" t="n">
        <v>100</v>
      </c>
    </row>
    <row r="33">
      <c r="A33" s="376" t="inlineStr">
        <is>
          <t>Ноябрь</t>
        </is>
      </c>
      <c r="B33" s="753" t="n">
        <v>100.6</v>
      </c>
      <c r="C33" s="753" t="n">
        <v>103.7</v>
      </c>
      <c r="D33" s="232" t="n">
        <v>99.40000000000001</v>
      </c>
      <c r="E33" s="232" t="n">
        <v>100.3</v>
      </c>
      <c r="F33" s="232" t="n">
        <v>100</v>
      </c>
    </row>
    <row r="34">
      <c r="A34" s="696" t="inlineStr">
        <is>
          <t>Декабрь</t>
        </is>
      </c>
      <c r="B34" s="753" t="n">
        <v>103</v>
      </c>
      <c r="C34" s="753" t="n">
        <v>109.7</v>
      </c>
      <c r="D34" s="232" t="n">
        <v>100.7</v>
      </c>
      <c r="E34" s="232" t="n">
        <v>99.2</v>
      </c>
      <c r="F34" s="232" t="n">
        <v>100</v>
      </c>
    </row>
    <row r="35">
      <c r="A35" s="161" t="inlineStr">
        <is>
          <t>IV квартал</t>
        </is>
      </c>
      <c r="B35" s="273" t="n">
        <v>100.5</v>
      </c>
      <c r="C35" s="273" t="n">
        <v>101.3</v>
      </c>
      <c r="D35" s="274" t="n">
        <v>100.2</v>
      </c>
      <c r="E35" s="274" t="n">
        <v>100.4</v>
      </c>
      <c r="F35" s="274" t="n">
        <v>100</v>
      </c>
    </row>
    <row r="37" ht="48" customHeight="1" s="216">
      <c r="A37" s="716" t="inlineStr">
        <is>
          <t>1) По видам экономической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t>
        </is>
      </c>
    </row>
  </sheetData>
  <mergeCells count="7">
    <mergeCell ref="A1:F1"/>
    <mergeCell ref="A37:F37"/>
    <mergeCell ref="A5:F5"/>
    <mergeCell ref="C6:F6"/>
    <mergeCell ref="A6:A7"/>
    <mergeCell ref="A3:F3"/>
    <mergeCell ref="B6:B7"/>
  </mergeCells>
  <pageMargins left="0.7" right="0.7" top="0.75" bottom="0.75" header="0.3" footer="0.3"/>
  <pageSetup orientation="portrait" paperSize="9" scale="99"/>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33.xml><?xml version="1.0" encoding="utf-8"?>
<worksheet xmlns="http://schemas.openxmlformats.org/spreadsheetml/2006/main">
  <sheetPr>
    <outlinePr summaryBelow="1" summaryRight="1"/>
    <pageSetUpPr/>
  </sheetPr>
  <dimension ref="A1:D29"/>
  <sheetViews>
    <sheetView zoomScale="80" zoomScaleNormal="80" workbookViewId="0">
      <selection activeCell="I21" sqref="I21"/>
    </sheetView>
  </sheetViews>
  <sheetFormatPr baseColWidth="8" defaultColWidth="8.88671875" defaultRowHeight="13.2"/>
  <cols>
    <col width="43.109375" customWidth="1" style="184" min="1" max="1"/>
    <col width="22.5546875" customWidth="1" style="184" min="2" max="3"/>
    <col width="7.44140625" customWidth="1" style="184" min="4" max="4"/>
    <col width="8.88671875" customWidth="1" style="184" min="5" max="16384"/>
  </cols>
  <sheetData>
    <row r="1" ht="28.8" customHeight="1" s="216">
      <c r="A1" s="718" t="inlineStr">
        <is>
          <t>Индексы цен производителей промышленных товаров, реализованных 
на внутреннем рынке, по отдельным видам экономической деятельности</t>
        </is>
      </c>
    </row>
    <row r="2" ht="13.8" customHeight="1" s="216">
      <c r="A2" s="718" t="n"/>
      <c r="B2" s="718" t="n"/>
      <c r="C2" s="718" t="n"/>
    </row>
    <row r="3">
      <c r="A3" s="719" t="inlineStr">
        <is>
          <t>на конец месяца, в процентах</t>
        </is>
      </c>
      <c r="B3" s="756" t="n"/>
      <c r="C3" s="756" t="n"/>
    </row>
    <row r="4">
      <c r="A4" s="145" t="n"/>
      <c r="B4" s="672" t="inlineStr">
        <is>
          <t>Август 2025 г. 
к декабрю 2024 г.</t>
        </is>
      </c>
      <c r="C4" s="672" t="inlineStr">
        <is>
          <t xml:space="preserve">Справочно             </t>
        </is>
      </c>
    </row>
    <row r="5" ht="26.4" customHeight="1" s="216">
      <c r="A5" s="758" t="n"/>
      <c r="B5" s="758" t="n"/>
      <c r="C5" s="730" t="inlineStr">
        <is>
          <t>август 2024 г. 
к декабрю 2023 г.</t>
        </is>
      </c>
    </row>
    <row r="6" ht="13.2" customHeight="1" s="216">
      <c r="A6" s="77" t="inlineStr">
        <is>
          <t>Всего1)</t>
        </is>
      </c>
      <c r="B6" s="483" t="n">
        <v>82.90000000000001</v>
      </c>
      <c r="C6" s="619" t="n">
        <v>101.9</v>
      </c>
    </row>
    <row r="7">
      <c r="A7" s="77" t="inlineStr">
        <is>
          <t>Добыча полезных ископаемых</t>
        </is>
      </c>
      <c r="B7" s="607" t="n">
        <v>70.3</v>
      </c>
      <c r="C7" s="607" t="n">
        <v>110.6</v>
      </c>
      <c r="D7" s="462" t="n"/>
    </row>
    <row r="8">
      <c r="A8" s="55" t="inlineStr">
        <is>
          <t>добыча нефти и природного газа</t>
        </is>
      </c>
      <c r="B8" s="607" t="n">
        <v>69</v>
      </c>
      <c r="C8" s="607" t="n">
        <v>109.8</v>
      </c>
      <c r="D8" s="462" t="n"/>
    </row>
    <row r="9">
      <c r="A9" s="78" t="inlineStr">
        <is>
          <t>добыча прочих полезных ископаемых</t>
        </is>
      </c>
      <c r="B9" s="607" t="n">
        <v>106</v>
      </c>
      <c r="C9" s="607" t="n">
        <v>119.6</v>
      </c>
      <c r="D9" s="462" t="n"/>
    </row>
    <row r="10">
      <c r="A10" s="172" t="inlineStr">
        <is>
          <t>Обрабатывающие производства</t>
        </is>
      </c>
      <c r="B10" s="607" t="n">
        <v>84.8</v>
      </c>
      <c r="C10" s="607" t="n">
        <v>98.2</v>
      </c>
      <c r="D10" s="462" t="n"/>
    </row>
    <row r="11">
      <c r="A11" s="173" t="inlineStr">
        <is>
          <t>производство пищевых продуктов</t>
        </is>
      </c>
      <c r="B11" s="607" t="n">
        <v>103.7</v>
      </c>
      <c r="C11" s="607" t="n">
        <v>102.9</v>
      </c>
      <c r="D11" s="462" t="n"/>
    </row>
    <row r="12">
      <c r="A12" s="173" t="inlineStr">
        <is>
          <t>производство напитков</t>
        </is>
      </c>
      <c r="B12" s="607" t="n">
        <v>114.2</v>
      </c>
      <c r="C12" s="607" t="n">
        <v>107.1</v>
      </c>
      <c r="D12" s="462" t="n"/>
    </row>
    <row r="13">
      <c r="A13" s="173" t="inlineStr">
        <is>
          <t>производство одежды</t>
        </is>
      </c>
      <c r="B13" s="607" t="n">
        <v>111.1</v>
      </c>
      <c r="C13" s="607" t="n">
        <v>98.8</v>
      </c>
      <c r="D13" s="462" t="n"/>
    </row>
    <row r="14" ht="52.8" customHeight="1" s="216">
      <c r="A14" s="173" t="inlineStr">
        <is>
          <t>обработка древесины и производство изделий из дерева и пробки, кроме мебели, производство изделий из соломки и материалов для плетения</t>
        </is>
      </c>
      <c r="B14" s="607" t="n">
        <v>95.5</v>
      </c>
      <c r="C14" s="607" t="n">
        <v>111.1</v>
      </c>
    </row>
    <row r="15">
      <c r="A15" s="173" t="inlineStr">
        <is>
          <t>производство бумаги и бумажных изделий</t>
        </is>
      </c>
      <c r="B15" s="607" t="n">
        <v>94.3</v>
      </c>
      <c r="C15" s="607" t="n">
        <v>107.6</v>
      </c>
    </row>
    <row r="16">
      <c r="A16" s="173" t="inlineStr">
        <is>
          <t>производство кокса и нефтепродуктов</t>
        </is>
      </c>
      <c r="B16" s="607" t="n">
        <v>89.59999999999999</v>
      </c>
      <c r="C16" s="607" t="n">
        <v>89.8</v>
      </c>
    </row>
    <row r="17" ht="26.4" customHeight="1" s="216">
      <c r="A17" s="173" t="inlineStr">
        <is>
          <t>производство химических веществ и химических продуктов</t>
        </is>
      </c>
      <c r="B17" s="607" t="n">
        <v>75.09999999999999</v>
      </c>
      <c r="C17" s="607" t="n">
        <v>94.90000000000001</v>
      </c>
    </row>
    <row r="18" ht="26.4" customHeight="1" s="216">
      <c r="A18" s="173" t="inlineStr">
        <is>
          <t>производство резиновых и пластмассовых изделий</t>
        </is>
      </c>
      <c r="B18" s="607" t="n">
        <v>106.8</v>
      </c>
      <c r="C18" s="607" t="n">
        <v>107.1</v>
      </c>
    </row>
    <row r="19" ht="26.4" customHeight="1" s="216">
      <c r="A19" s="173" t="inlineStr">
        <is>
          <t>производство прочей неметаллической минеральной продукции</t>
        </is>
      </c>
      <c r="B19" s="607" t="n">
        <v>102.7</v>
      </c>
      <c r="C19" s="607" t="n">
        <v>132.6</v>
      </c>
    </row>
    <row r="20">
      <c r="A20" s="173" t="inlineStr">
        <is>
          <t xml:space="preserve">производство металлургическое </t>
        </is>
      </c>
      <c r="B20" s="607" t="n">
        <v>94.2</v>
      </c>
      <c r="C20" s="607" t="n">
        <v>100.6</v>
      </c>
    </row>
    <row r="21" ht="26.4" customHeight="1" s="216">
      <c r="A21" s="173" t="inlineStr">
        <is>
          <t>производство готовых металлических изделий, кроме машин и оборудования</t>
        </is>
      </c>
      <c r="B21" s="607" t="n">
        <v>101.1</v>
      </c>
      <c r="C21" s="607" t="n">
        <v>102</v>
      </c>
    </row>
    <row r="22" ht="26.4" customHeight="1" s="216">
      <c r="A22" s="173" t="inlineStr">
        <is>
          <t>производство компьютеров, электронных и оптических изделий</t>
        </is>
      </c>
      <c r="B22" s="607" t="n">
        <v>100</v>
      </c>
      <c r="C22" s="607" t="n">
        <v>109.3</v>
      </c>
    </row>
    <row r="23">
      <c r="A23" s="173" t="inlineStr">
        <is>
          <t>производство электрического оборудования</t>
        </is>
      </c>
      <c r="B23" s="607" t="n">
        <v>97.5</v>
      </c>
      <c r="C23" s="607" t="n">
        <v>112</v>
      </c>
    </row>
    <row r="24" ht="26.4" customHeight="1" s="216">
      <c r="A24" s="263" t="inlineStr">
        <is>
          <t>производство автотранспортных средств, прицепов и полуприцепов</t>
        </is>
      </c>
      <c r="B24" s="607" t="n">
        <v>101.3</v>
      </c>
      <c r="C24" s="607" t="n">
        <v>104.3</v>
      </c>
    </row>
    <row r="25">
      <c r="A25" s="174" t="inlineStr">
        <is>
          <t>производство мебели</t>
        </is>
      </c>
      <c r="B25" s="620" t="n">
        <v>102.8</v>
      </c>
      <c r="C25" s="620" t="n">
        <v>110.4</v>
      </c>
    </row>
    <row r="26" ht="25.2" customHeight="1" s="216">
      <c r="A26" s="495" t="inlineStr">
        <is>
          <t>Обеспечение электрической энергией, газом и паром; кондиционирование воздуха</t>
        </is>
      </c>
      <c r="B26" s="621" t="n">
        <v>114.6</v>
      </c>
      <c r="C26" s="621" t="n">
        <v>104.2</v>
      </c>
    </row>
    <row r="27" ht="39.6" customHeight="1" s="216">
      <c r="A27" s="176" t="inlineStr">
        <is>
          <t>Водоснабжение; водоотведение, организация сбора и утилизации отходов, деятельность по ликвидации загрязнений</t>
        </is>
      </c>
      <c r="B27" s="622" t="n">
        <v>106.6</v>
      </c>
      <c r="C27" s="622" t="n">
        <v>111.1</v>
      </c>
    </row>
    <row r="28">
      <c r="A28" s="418" t="n"/>
      <c r="B28" s="265" t="n"/>
      <c r="C28" s="266" t="n"/>
    </row>
    <row r="29" ht="50.4" customHeight="1" s="216">
      <c r="A29" s="721" t="inlineStr">
        <is>
          <t>1) По видам экономической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t>
        </is>
      </c>
    </row>
    <row r="32" ht="42" customHeight="1" s="216"/>
  </sheetData>
  <mergeCells count="5">
    <mergeCell ref="B4:B5"/>
    <mergeCell ref="A1:C1"/>
    <mergeCell ref="A4:A5"/>
    <mergeCell ref="A3:C3"/>
    <mergeCell ref="A29:C29"/>
  </mergeCells>
  <conditionalFormatting sqref="A6:A28">
    <cfRule type="duplicateValues" priority="1" dxfId="0"/>
  </conditionalFormatting>
  <pageMargins left="0.7" right="0.7" top="0.75" bottom="0.75" header="0.3" footer="0.3"/>
  <pageSetup orientation="portrait" paperSize="9" scale="93"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34.xml><?xml version="1.0" encoding="utf-8"?>
<worksheet xmlns="http://schemas.openxmlformats.org/spreadsheetml/2006/main">
  <sheetPr>
    <outlinePr summaryBelow="1" summaryRight="1"/>
    <pageSetUpPr/>
  </sheetPr>
  <dimension ref="A1:E19"/>
  <sheetViews>
    <sheetView zoomScale="80" zoomScaleNormal="80" workbookViewId="0">
      <selection activeCell="J20" sqref="J20"/>
    </sheetView>
  </sheetViews>
  <sheetFormatPr baseColWidth="8" defaultRowHeight="13.2"/>
  <cols>
    <col width="40.33203125" customWidth="1" style="216" min="1" max="1"/>
    <col width="18.77734375" customWidth="1" style="216" min="2" max="4"/>
  </cols>
  <sheetData>
    <row r="1" ht="29.4" customHeight="1" s="216">
      <c r="A1" s="705" t="inlineStr">
        <is>
          <t>Индексы цен производителей отдельных видов промышленных товаров, реализованных на внутреннем рынке</t>
        </is>
      </c>
    </row>
    <row r="2">
      <c r="A2" s="41" t="n"/>
    </row>
    <row r="3" ht="17.4" customHeight="1" s="216">
      <c r="A3" s="699" t="inlineStr">
        <is>
          <t>на конец месяца, в процентах</t>
        </is>
      </c>
      <c r="B3" s="756" t="n"/>
      <c r="C3" s="756" t="n"/>
      <c r="D3" s="756" t="n"/>
    </row>
    <row r="4">
      <c r="A4" s="144" t="n"/>
      <c r="B4" s="757" t="inlineStr">
        <is>
          <t>Август 2025 г. к</t>
        </is>
      </c>
      <c r="C4" s="764" t="n"/>
      <c r="D4" s="755" t="n"/>
    </row>
    <row r="5" ht="39.6" customHeight="1" s="216">
      <c r="A5" s="758" t="n"/>
      <c r="B5" s="672" t="inlineStr">
        <is>
          <t>предыдущему 
месяцу</t>
        </is>
      </c>
      <c r="C5" s="728" t="inlineStr">
        <is>
          <t>декабрю 2024 г.</t>
        </is>
      </c>
      <c r="D5" s="728" t="inlineStr">
        <is>
          <t>соответствующему месяцу предыдущего года</t>
        </is>
      </c>
    </row>
    <row r="6" ht="27" customHeight="1" s="216">
      <c r="A6" s="51" t="inlineStr">
        <is>
          <t>Нефть обезвоженная, обессоленная и стабилизированная</t>
        </is>
      </c>
      <c r="B6" s="247" t="n">
        <v>100</v>
      </c>
      <c r="C6" s="247" t="n">
        <v>69</v>
      </c>
      <c r="D6" s="520" t="n">
        <v>72.8</v>
      </c>
      <c r="E6" s="436" t="n"/>
    </row>
    <row r="7" ht="15" customHeight="1" s="216">
      <c r="A7" s="83" t="inlineStr">
        <is>
          <t>Говядина парная, остывшая или охлажденная</t>
        </is>
      </c>
      <c r="B7" s="247" t="n">
        <v>100</v>
      </c>
      <c r="C7" s="623" t="n">
        <v>117.1</v>
      </c>
      <c r="D7" s="476" t="n">
        <v>124.9</v>
      </c>
    </row>
    <row r="8" ht="26.4" customHeight="1" s="216">
      <c r="A8" s="83" t="inlineStr">
        <is>
          <t>Свинина парная, остывшая или охлажденная домашних свиней</t>
        </is>
      </c>
      <c r="B8" s="247" t="n">
        <v>101.4</v>
      </c>
      <c r="C8" s="623" t="n">
        <v>98.59999999999999</v>
      </c>
      <c r="D8" s="476" t="n">
        <v>110.2</v>
      </c>
    </row>
    <row r="9" ht="26.4" customHeight="1" s="216">
      <c r="A9" s="83" t="inlineStr">
        <is>
          <t>Мясо птицы охлажденное, в том числе для детского питания</t>
        </is>
      </c>
      <c r="B9" s="247" t="n">
        <v>100</v>
      </c>
      <c r="C9" s="623" t="n">
        <v>100.8</v>
      </c>
      <c r="D9" s="247" t="n">
        <v>100</v>
      </c>
    </row>
    <row r="10" ht="39.6" customHeight="1" s="216">
      <c r="A10" s="83" t="inlineStr">
        <is>
          <t>Изделия колбасные и аналогичная пищевая продукция из мяса, субпродуктов или крови животных, из мяса и субпродуктов птицы</t>
        </is>
      </c>
      <c r="B10" s="247" t="n">
        <v>100.3</v>
      </c>
      <c r="C10" s="623" t="n">
        <v>111.1</v>
      </c>
      <c r="D10" s="476" t="n">
        <v>115.7</v>
      </c>
    </row>
    <row r="11">
      <c r="A11" s="83" t="inlineStr">
        <is>
          <t>Молоко питьевое пастеризованное</t>
        </is>
      </c>
      <c r="B11" s="247" t="n">
        <v>98.90000000000001</v>
      </c>
      <c r="C11" s="623" t="n">
        <v>100.9</v>
      </c>
      <c r="D11" s="476" t="n">
        <v>119.8</v>
      </c>
    </row>
    <row r="12">
      <c r="A12" s="83" t="inlineStr">
        <is>
          <t>Мука пшеничная</t>
        </is>
      </c>
      <c r="B12" s="247" t="n">
        <v>100.5</v>
      </c>
      <c r="C12" s="623" t="n">
        <v>96.8</v>
      </c>
      <c r="D12" s="476" t="n">
        <v>102.2</v>
      </c>
    </row>
    <row r="13" ht="26.4" customHeight="1" s="216">
      <c r="A13" s="83" t="inlineStr">
        <is>
          <t>Хлеб и хлебобулочные изделия недлительного хранения</t>
        </is>
      </c>
      <c r="B13" s="247" t="n">
        <v>103.1</v>
      </c>
      <c r="C13" s="623" t="n">
        <v>106.8</v>
      </c>
      <c r="D13" s="476" t="n">
        <v>115.7</v>
      </c>
    </row>
    <row r="14">
      <c r="A14" s="83" t="inlineStr">
        <is>
          <t>Водка</t>
        </is>
      </c>
      <c r="B14" s="247" t="n">
        <v>100.1</v>
      </c>
      <c r="C14" s="623" t="n">
        <v>117.1</v>
      </c>
      <c r="D14" s="476" t="n">
        <v>117.1</v>
      </c>
    </row>
    <row r="15">
      <c r="A15" s="83" t="inlineStr">
        <is>
          <t>Пиво, кроме отходов пивоварения</t>
        </is>
      </c>
      <c r="B15" s="247" t="n">
        <v>100</v>
      </c>
      <c r="C15" s="623" t="n">
        <v>112.6</v>
      </c>
      <c r="D15" s="476" t="n">
        <v>118.9</v>
      </c>
    </row>
    <row r="16">
      <c r="A16" s="156" t="inlineStr">
        <is>
          <t>Бензин автомобильный</t>
        </is>
      </c>
      <c r="B16" s="247" t="n">
        <v>113.4</v>
      </c>
      <c r="C16" s="623" t="n">
        <v>125.5</v>
      </c>
      <c r="D16" s="476" t="n">
        <v>100.6</v>
      </c>
      <c r="E16" s="440" t="n"/>
    </row>
    <row r="17">
      <c r="A17" s="156" t="inlineStr">
        <is>
          <t>Топливо дизельное</t>
        </is>
      </c>
      <c r="B17" s="247" t="n">
        <v>96.2</v>
      </c>
      <c r="C17" s="623" t="n">
        <v>82.40000000000001</v>
      </c>
      <c r="D17" s="476" t="n">
        <v>89.59999999999999</v>
      </c>
      <c r="E17" s="606" t="n"/>
    </row>
    <row r="18" ht="26.4" customHeight="1" s="216">
      <c r="A18" s="83" t="inlineStr">
        <is>
          <t>Электроэнергия, отпущенная различным категориям потребителей</t>
        </is>
      </c>
      <c r="B18" s="247" t="n">
        <v>106.3</v>
      </c>
      <c r="C18" s="623" t="n">
        <v>107.7</v>
      </c>
      <c r="D18" s="476" t="n">
        <v>109.8</v>
      </c>
      <c r="E18" s="606" t="n"/>
    </row>
    <row r="19">
      <c r="A19" s="107" t="inlineStr">
        <is>
          <t>Пар и горячая вода</t>
        </is>
      </c>
      <c r="B19" s="322" t="n">
        <v>100</v>
      </c>
      <c r="C19" s="322" t="n">
        <v>119.7</v>
      </c>
      <c r="D19" s="477" t="n">
        <v>119.8</v>
      </c>
    </row>
    <row r="26" ht="28.2" customHeight="1" s="216"/>
    <row r="29" ht="36.6" customHeight="1" s="216"/>
  </sheetData>
  <mergeCells count="4">
    <mergeCell ref="A1:D1"/>
    <mergeCell ref="A4:A5"/>
    <mergeCell ref="A3:D3"/>
    <mergeCell ref="B4:D4"/>
  </mergeCells>
  <conditionalFormatting sqref="A6:A28">
    <cfRule type="duplicateValues" priority="1" dxfId="0"/>
  </conditionalFormatting>
  <pageMargins left="0.7" right="0.7" top="0.75" bottom="0.75" header="0.3" footer="0.3"/>
  <pageSetup orientation="portrait" paperSize="9" scale="92"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35.xml><?xml version="1.0" encoding="utf-8"?>
<worksheet xmlns="http://schemas.openxmlformats.org/spreadsheetml/2006/main">
  <sheetPr>
    <outlinePr summaryBelow="1" summaryRight="1"/>
    <pageSetUpPr/>
  </sheetPr>
  <dimension ref="A1:E35"/>
  <sheetViews>
    <sheetView zoomScale="80" zoomScaleNormal="80" workbookViewId="0">
      <selection activeCell="J32" sqref="J32"/>
    </sheetView>
  </sheetViews>
  <sheetFormatPr baseColWidth="8" defaultRowHeight="13.2"/>
  <cols>
    <col width="25.6640625" customWidth="1" style="216" min="1" max="1"/>
    <col width="20.88671875" customWidth="1" style="216" min="2" max="4"/>
    <col width="5.88671875" customWidth="1" style="216" min="5" max="5"/>
  </cols>
  <sheetData>
    <row r="1" ht="31.8" customHeight="1" s="216">
      <c r="A1" s="724" t="inlineStr">
        <is>
          <t>Динамика индексов цен производителей сельскохозяйственной продукции, реализованной сельскохозяйственными организациями</t>
        </is>
      </c>
    </row>
    <row r="3">
      <c r="A3" s="699" t="inlineStr">
        <is>
          <t>на конец периода, в процентах к предыдущему периоду</t>
        </is>
      </c>
      <c r="B3" s="756" t="n"/>
      <c r="C3" s="756" t="n"/>
      <c r="D3" s="756" t="n"/>
    </row>
    <row r="4">
      <c r="A4" s="722" t="n"/>
      <c r="B4" s="644" t="inlineStr">
        <is>
          <t>Всего</t>
        </is>
      </c>
      <c r="C4" s="757" t="inlineStr">
        <is>
          <t>В том числе на продукцию</t>
        </is>
      </c>
      <c r="D4" s="755" t="n"/>
    </row>
    <row r="5">
      <c r="A5" s="522" t="n"/>
      <c r="B5" s="522" t="n"/>
      <c r="C5" s="649" t="inlineStr">
        <is>
          <t>растениеводства</t>
        </is>
      </c>
      <c r="D5" s="306" t="inlineStr">
        <is>
          <t>животноводства</t>
        </is>
      </c>
    </row>
    <row r="6">
      <c r="A6" s="257" t="inlineStr">
        <is>
          <t>2025 г.</t>
        </is>
      </c>
      <c r="B6" s="396" t="n"/>
      <c r="C6" s="396" t="n"/>
      <c r="D6" s="396" t="n"/>
    </row>
    <row r="7">
      <c r="A7" s="376" t="inlineStr">
        <is>
          <t>Январь</t>
        </is>
      </c>
      <c r="B7" s="607" t="n">
        <v>102.6</v>
      </c>
      <c r="C7" s="607" t="n">
        <v>106.4</v>
      </c>
      <c r="D7" s="280" t="n">
        <v>101.4</v>
      </c>
    </row>
    <row r="8">
      <c r="A8" s="522" t="inlineStr">
        <is>
          <t>Февраль</t>
        </is>
      </c>
      <c r="B8" s="607" t="n">
        <v>102.3</v>
      </c>
      <c r="C8" s="607" t="n">
        <v>102.4</v>
      </c>
      <c r="D8" s="280" t="n">
        <v>102.3</v>
      </c>
    </row>
    <row r="9">
      <c r="A9" s="376" t="inlineStr">
        <is>
          <t>Март</t>
        </is>
      </c>
      <c r="B9" s="607" t="n">
        <v>95.7</v>
      </c>
      <c r="C9" s="607" t="n">
        <v>90.5</v>
      </c>
      <c r="D9" s="280" t="n">
        <v>97.40000000000001</v>
      </c>
    </row>
    <row r="10">
      <c r="A10" s="81" t="inlineStr">
        <is>
          <t>I квартал</t>
        </is>
      </c>
      <c r="B10" s="607" t="n">
        <v>100.43</v>
      </c>
      <c r="C10" s="607" t="n">
        <v>98.7</v>
      </c>
      <c r="D10" s="280" t="n">
        <v>100.98</v>
      </c>
    </row>
    <row r="11">
      <c r="A11" s="376" t="inlineStr">
        <is>
          <t>Апрель</t>
        </is>
      </c>
      <c r="B11" s="607" t="n">
        <v>99.5</v>
      </c>
      <c r="C11" s="607" t="n">
        <v>101.8</v>
      </c>
      <c r="D11" s="280" t="n">
        <v>98.8</v>
      </c>
    </row>
    <row r="12">
      <c r="A12" s="376" t="inlineStr">
        <is>
          <t>Май</t>
        </is>
      </c>
      <c r="B12" s="483" t="n">
        <v>102.1</v>
      </c>
      <c r="C12" s="483" t="n">
        <v>98.09999999999999</v>
      </c>
      <c r="D12" s="483" t="n">
        <v>103.4</v>
      </c>
    </row>
    <row r="13">
      <c r="A13" s="376" t="inlineStr">
        <is>
          <t>Июнь</t>
        </is>
      </c>
      <c r="B13" s="483" t="n">
        <v>98.5</v>
      </c>
      <c r="C13" s="483" t="n">
        <v>95.90000000000001</v>
      </c>
      <c r="D13" s="483" t="n">
        <v>99.3</v>
      </c>
    </row>
    <row r="14">
      <c r="A14" s="81" t="inlineStr">
        <is>
          <t>II квартал</t>
        </is>
      </c>
      <c r="B14" s="483" t="n">
        <v>100.1</v>
      </c>
      <c r="C14" s="467" t="n">
        <v>95.7</v>
      </c>
      <c r="D14" s="483" t="n">
        <v>101.4</v>
      </c>
    </row>
    <row r="15">
      <c r="A15" s="696" t="inlineStr">
        <is>
          <t>Июль</t>
        </is>
      </c>
      <c r="B15" s="483" t="n">
        <v>98.09999999999999</v>
      </c>
      <c r="C15" s="467" t="n">
        <v>94.40000000000001</v>
      </c>
      <c r="D15" s="483" t="n">
        <v>99.09999999999999</v>
      </c>
    </row>
    <row r="16">
      <c r="A16" s="376" t="inlineStr">
        <is>
          <t>Август</t>
        </is>
      </c>
      <c r="B16" s="483" t="n">
        <v>99</v>
      </c>
      <c r="C16" s="467" t="n">
        <v>94.8</v>
      </c>
      <c r="D16" s="483" t="n">
        <v>100.2</v>
      </c>
    </row>
    <row r="17">
      <c r="A17" s="128" t="inlineStr">
        <is>
          <t>2024 г.</t>
        </is>
      </c>
      <c r="B17" s="397" t="n"/>
      <c r="C17" s="397" t="n"/>
      <c r="D17" s="397" t="n"/>
    </row>
    <row r="18">
      <c r="A18" s="376" t="inlineStr">
        <is>
          <t>Январь</t>
        </is>
      </c>
      <c r="B18" s="607" t="n">
        <v>104</v>
      </c>
      <c r="C18" s="607" t="n">
        <v>110.8</v>
      </c>
      <c r="D18" s="398" t="n">
        <v>102.3</v>
      </c>
    </row>
    <row r="19">
      <c r="A19" s="696" t="inlineStr">
        <is>
          <t>Февраль</t>
        </is>
      </c>
      <c r="B19" s="607" t="n">
        <v>98.2</v>
      </c>
      <c r="C19" s="607" t="n">
        <v>107.9</v>
      </c>
      <c r="D19" s="280" t="n">
        <v>95.59999999999999</v>
      </c>
    </row>
    <row r="20">
      <c r="A20" s="376" t="inlineStr">
        <is>
          <t>Март</t>
        </is>
      </c>
      <c r="B20" s="607" t="n">
        <v>95.2</v>
      </c>
      <c r="C20" s="607" t="n">
        <v>85</v>
      </c>
      <c r="D20" s="280" t="n">
        <v>98.2</v>
      </c>
    </row>
    <row r="21">
      <c r="A21" s="81" t="inlineStr">
        <is>
          <t>I квартал</t>
        </is>
      </c>
      <c r="B21" s="607" t="n">
        <v>97.09999999999999</v>
      </c>
      <c r="C21" s="607" t="n">
        <v>101.6</v>
      </c>
      <c r="D21" s="280" t="n">
        <v>96.09999999999999</v>
      </c>
    </row>
    <row r="22">
      <c r="A22" s="376" t="inlineStr">
        <is>
          <t>Апрель</t>
        </is>
      </c>
      <c r="B22" s="607" t="n">
        <v>93.90000000000001</v>
      </c>
      <c r="C22" s="607" t="n">
        <v>99.40000000000001</v>
      </c>
      <c r="D22" s="280" t="n">
        <v>92.59999999999999</v>
      </c>
    </row>
    <row r="23">
      <c r="A23" s="376" t="inlineStr">
        <is>
          <t>Май</t>
        </is>
      </c>
      <c r="B23" s="607" t="n">
        <v>95.8</v>
      </c>
      <c r="C23" s="607" t="n">
        <v>89.7</v>
      </c>
      <c r="D23" s="280" t="n">
        <v>97.40000000000001</v>
      </c>
    </row>
    <row r="24">
      <c r="A24" s="376" t="inlineStr">
        <is>
          <t>Июнь</t>
        </is>
      </c>
      <c r="B24" s="483" t="n">
        <v>98.90000000000001</v>
      </c>
      <c r="C24" s="483" t="n">
        <v>92.2</v>
      </c>
      <c r="D24" s="616" t="n">
        <v>100.5</v>
      </c>
    </row>
    <row r="25">
      <c r="A25" s="81" t="inlineStr">
        <is>
          <t>II квартал</t>
        </is>
      </c>
      <c r="B25" s="483" t="n">
        <v>88.90000000000001</v>
      </c>
      <c r="C25" s="483" t="n">
        <v>82.3</v>
      </c>
      <c r="D25" s="616" t="n">
        <v>90.59999999999999</v>
      </c>
    </row>
    <row r="26">
      <c r="A26" s="696" t="inlineStr">
        <is>
          <t>Июль</t>
        </is>
      </c>
      <c r="B26" s="483" t="n">
        <v>102.2</v>
      </c>
      <c r="C26" s="483" t="n">
        <v>108.6</v>
      </c>
      <c r="D26" s="616" t="n">
        <v>100.8</v>
      </c>
    </row>
    <row r="27">
      <c r="A27" s="376" t="inlineStr">
        <is>
          <t>Август</t>
        </is>
      </c>
      <c r="B27" s="483" t="n">
        <v>95.7</v>
      </c>
      <c r="C27" s="483" t="n">
        <v>89.5</v>
      </c>
      <c r="D27" s="616" t="n">
        <v>97.3</v>
      </c>
    </row>
    <row r="28">
      <c r="A28" s="376" t="inlineStr">
        <is>
          <t>Сентябрь</t>
        </is>
      </c>
      <c r="B28" s="483" t="n">
        <v>100</v>
      </c>
      <c r="C28" s="483" t="n">
        <v>104.2</v>
      </c>
      <c r="D28" s="616" t="n">
        <v>99.09999999999999</v>
      </c>
    </row>
    <row r="29">
      <c r="A29" s="81" t="inlineStr">
        <is>
          <t>III квартал</t>
        </is>
      </c>
      <c r="B29" s="483" t="n">
        <v>97.90000000000001</v>
      </c>
      <c r="C29" s="483" t="n">
        <v>101.4</v>
      </c>
      <c r="D29" s="616" t="n">
        <v>97.09999999999999</v>
      </c>
    </row>
    <row r="30">
      <c r="A30" s="376" t="inlineStr">
        <is>
          <t>Октябрь</t>
        </is>
      </c>
      <c r="B30" s="483" t="n">
        <v>98.59999999999999</v>
      </c>
      <c r="C30" s="483" t="n">
        <v>96.5</v>
      </c>
      <c r="D30" s="616" t="n">
        <v>99.2</v>
      </c>
    </row>
    <row r="31">
      <c r="A31" s="376" t="inlineStr">
        <is>
          <t>Ноябрь</t>
        </is>
      </c>
      <c r="B31" s="483" t="n">
        <v>106.1</v>
      </c>
      <c r="C31" s="483" t="n">
        <v>123.2</v>
      </c>
      <c r="D31" s="616" t="n">
        <v>102.1</v>
      </c>
      <c r="E31" s="436" t="n"/>
    </row>
    <row r="32">
      <c r="A32" s="376" t="inlineStr">
        <is>
          <t>Декабрь</t>
        </is>
      </c>
      <c r="B32" s="483" t="n">
        <v>104</v>
      </c>
      <c r="C32" s="483" t="n">
        <v>111.1</v>
      </c>
      <c r="D32" s="616" t="n">
        <v>102</v>
      </c>
      <c r="E32" s="436" t="n"/>
    </row>
    <row r="33">
      <c r="A33" s="106" t="inlineStr">
        <is>
          <t>IV квартал</t>
        </is>
      </c>
      <c r="B33" s="484" t="n">
        <v>108.9</v>
      </c>
      <c r="C33" s="484" t="n">
        <v>132</v>
      </c>
      <c r="D33" s="312" t="n">
        <v>103.3</v>
      </c>
      <c r="E33" s="436" t="n"/>
    </row>
    <row r="35">
      <c r="A35" s="182" t="n"/>
    </row>
  </sheetData>
  <mergeCells count="5">
    <mergeCell ref="A1:D1"/>
    <mergeCell ref="B4:B5"/>
    <mergeCell ref="A4:A5"/>
    <mergeCell ref="A3:D3"/>
    <mergeCell ref="C4:D4"/>
  </mergeCells>
  <pageMargins left="0.7" right="0.7" top="0.75" bottom="0.75" header="0.3" footer="0.3"/>
  <pageSetup orientation="portrait" paperSize="9"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36.xml><?xml version="1.0" encoding="utf-8"?>
<worksheet xmlns="http://schemas.openxmlformats.org/spreadsheetml/2006/main">
  <sheetPr>
    <outlinePr summaryBelow="1" summaryRight="1"/>
    <pageSetUpPr fitToPage="1"/>
  </sheetPr>
  <dimension ref="A1:E35"/>
  <sheetViews>
    <sheetView topLeftCell="A7" zoomScale="80" zoomScaleNormal="80" workbookViewId="0">
      <selection activeCell="D6" sqref="D6"/>
    </sheetView>
  </sheetViews>
  <sheetFormatPr baseColWidth="8" defaultColWidth="8.88671875" defaultRowHeight="13.2"/>
  <cols>
    <col width="17.6640625" customWidth="1" style="216" min="1" max="1"/>
    <col width="17.44140625" customWidth="1" style="216" min="2" max="5"/>
    <col width="8.88671875" customWidth="1" style="216" min="6" max="16384"/>
  </cols>
  <sheetData>
    <row r="1" ht="33" customHeight="1" s="216">
      <c r="A1" s="705" t="inlineStr">
        <is>
          <t>Динамика индексов цен на продукцию (затраты, услуги) инвестиционного назначения по элементам технологической структуры</t>
        </is>
      </c>
    </row>
    <row r="2" ht="12.75" customHeight="1" s="216">
      <c r="A2" s="717" t="n"/>
    </row>
    <row r="3">
      <c r="A3" s="717" t="inlineStr">
        <is>
          <t>на конец периода, в процентах к предыдущему периоду</t>
        </is>
      </c>
    </row>
    <row r="4">
      <c r="A4" s="725" t="n"/>
      <c r="B4" s="644" t="inlineStr">
        <is>
          <t>Сводный индекс цен на продукцию (затраты, услуги) инвестиционного назначения</t>
        </is>
      </c>
      <c r="C4" s="672" t="inlineStr">
        <is>
          <t>В том числе индексы цен</t>
        </is>
      </c>
      <c r="D4" s="764" t="n"/>
      <c r="E4" s="755" t="n"/>
    </row>
    <row r="5" ht="69" customHeight="1" s="216">
      <c r="A5" s="522" t="n"/>
      <c r="B5" s="522" t="n"/>
      <c r="C5" s="649" t="inlineStr">
        <is>
          <t>производителей на строительную продукцию</t>
        </is>
      </c>
      <c r="D5" s="649" t="inlineStr">
        <is>
          <t>приобретения машин и оборудования инвестиционного назначения</t>
        </is>
      </c>
      <c r="E5" s="306" t="inlineStr">
        <is>
          <t>на прочую продукцию (затраты, услуги) инвестиционного назначения</t>
        </is>
      </c>
    </row>
    <row r="6">
      <c r="A6" s="257" t="inlineStr">
        <is>
          <t>2025 г.</t>
        </is>
      </c>
      <c r="B6" s="450" t="n"/>
      <c r="C6" s="450" t="n"/>
      <c r="D6" s="450" t="n"/>
      <c r="E6" s="450" t="n"/>
    </row>
    <row r="7" ht="14.25" customHeight="1" s="216">
      <c r="A7" s="376" t="inlineStr">
        <is>
          <t>Январь</t>
        </is>
      </c>
      <c r="B7" s="451" t="n">
        <v>99.90000000000001</v>
      </c>
      <c r="C7" s="452" t="n">
        <v>100.3</v>
      </c>
      <c r="D7" s="453" t="n">
        <v>99</v>
      </c>
      <c r="E7" s="452" t="n">
        <v>100.2</v>
      </c>
    </row>
    <row r="8">
      <c r="A8" s="376" t="inlineStr">
        <is>
          <t>Февраль</t>
        </is>
      </c>
      <c r="B8" s="451" t="n">
        <v>100</v>
      </c>
      <c r="C8" s="452" t="n">
        <v>100.1</v>
      </c>
      <c r="D8" s="454" t="n">
        <v>99.59999999999999</v>
      </c>
      <c r="E8" s="452" t="n">
        <v>100.3</v>
      </c>
    </row>
    <row r="9">
      <c r="A9" s="376" t="inlineStr">
        <is>
          <t>Март</t>
        </is>
      </c>
      <c r="B9" s="451" t="n">
        <v>99.59999999999999</v>
      </c>
      <c r="C9" s="455" t="n">
        <v>100.73</v>
      </c>
      <c r="D9" s="456" t="n">
        <v>98.59999999999999</v>
      </c>
      <c r="E9" s="455" t="n">
        <v>93.48</v>
      </c>
    </row>
    <row r="10" ht="15" customHeight="1" s="216">
      <c r="A10" s="81" t="inlineStr">
        <is>
          <t>I квартал</t>
        </is>
      </c>
      <c r="B10" s="451" t="n">
        <v>99.40000000000001</v>
      </c>
      <c r="C10" s="447" t="n">
        <v>101.2</v>
      </c>
      <c r="D10" s="447" t="n">
        <v>97.2</v>
      </c>
      <c r="E10" s="447" t="n">
        <v>94</v>
      </c>
    </row>
    <row r="11" ht="15" customHeight="1" s="216">
      <c r="A11" s="376" t="inlineStr">
        <is>
          <t>Апрель</t>
        </is>
      </c>
      <c r="B11" s="451" t="n">
        <v>96.7</v>
      </c>
      <c r="C11" s="447" t="n">
        <v>100.7</v>
      </c>
      <c r="D11" s="456" t="n">
        <v>88.3</v>
      </c>
      <c r="E11" s="455" t="n">
        <v>99.91</v>
      </c>
    </row>
    <row r="12" ht="15" customHeight="1" s="216">
      <c r="A12" s="376" t="inlineStr">
        <is>
          <t>Май</t>
        </is>
      </c>
      <c r="B12" s="451" t="n">
        <v>102.3</v>
      </c>
      <c r="C12" s="447" t="n">
        <v>100.9</v>
      </c>
      <c r="D12" s="456" t="n">
        <v>105.7</v>
      </c>
      <c r="E12" s="455" t="n">
        <v>100.4</v>
      </c>
    </row>
    <row r="13" ht="15" customHeight="1" s="216">
      <c r="A13" s="376" t="inlineStr">
        <is>
          <t>Июнь</t>
        </is>
      </c>
      <c r="B13" s="753" t="n">
        <v>105.2</v>
      </c>
      <c r="C13" s="753" t="n">
        <v>100.7</v>
      </c>
      <c r="D13" s="754" t="n">
        <v>115.8</v>
      </c>
      <c r="E13" s="753" t="n">
        <v>99.90000000000001</v>
      </c>
    </row>
    <row r="14" ht="15" customHeight="1" s="216">
      <c r="A14" s="81" t="inlineStr">
        <is>
          <t>II квартал</t>
        </is>
      </c>
      <c r="B14" s="753" t="n">
        <v>104.1</v>
      </c>
      <c r="C14" s="753" t="n">
        <v>102.4</v>
      </c>
      <c r="D14" s="754" t="n">
        <v>108.2</v>
      </c>
      <c r="E14" s="753" t="n">
        <v>100.2</v>
      </c>
    </row>
    <row r="15" ht="15" customHeight="1" s="216">
      <c r="A15" s="376" t="inlineStr">
        <is>
          <t>Июль</t>
        </is>
      </c>
      <c r="B15" s="753" t="n">
        <v>101.9</v>
      </c>
      <c r="C15" s="753" t="n">
        <v>100.3</v>
      </c>
      <c r="D15" s="754" t="n">
        <v>105.2</v>
      </c>
      <c r="E15" s="753" t="n">
        <v>100</v>
      </c>
    </row>
    <row r="16" ht="15" customHeight="1" s="216">
      <c r="A16" s="376" t="inlineStr">
        <is>
          <t>Август</t>
        </is>
      </c>
      <c r="B16" s="753" t="n">
        <v>99.7</v>
      </c>
      <c r="C16" s="753" t="n">
        <v>100.9</v>
      </c>
      <c r="D16" s="754" t="n">
        <v>97.59999999999999</v>
      </c>
      <c r="E16" s="753" t="n">
        <v>100</v>
      </c>
    </row>
    <row r="17">
      <c r="A17" s="128" t="inlineStr">
        <is>
          <t>2024 г.</t>
        </is>
      </c>
      <c r="B17" s="457" t="n"/>
      <c r="C17" s="457" t="n"/>
      <c r="D17" s="457" t="n"/>
      <c r="E17" s="457" t="n"/>
    </row>
    <row r="18">
      <c r="A18" s="376" t="inlineStr">
        <is>
          <t>Январь</t>
        </is>
      </c>
      <c r="B18" s="451" t="n">
        <v>98.90000000000001</v>
      </c>
      <c r="C18" s="447" t="n">
        <v>98.40000000000001</v>
      </c>
      <c r="D18" s="447" t="n">
        <v>99.59999999999999</v>
      </c>
      <c r="E18" s="447" t="n">
        <v>100</v>
      </c>
    </row>
    <row r="19">
      <c r="A19" s="376" t="inlineStr">
        <is>
          <t>Февраль</t>
        </is>
      </c>
      <c r="B19" s="451" t="n">
        <v>101.2</v>
      </c>
      <c r="C19" s="447" t="n">
        <v>100.2</v>
      </c>
      <c r="D19" s="447" t="n">
        <v>101.3</v>
      </c>
      <c r="E19" s="447" t="n">
        <v>108.5</v>
      </c>
    </row>
    <row r="20">
      <c r="A20" s="376" t="inlineStr">
        <is>
          <t>Март</t>
        </is>
      </c>
      <c r="B20" s="451" t="n">
        <v>100.2</v>
      </c>
      <c r="C20" s="447" t="n">
        <v>100.1</v>
      </c>
      <c r="D20" s="447" t="n">
        <v>100.4</v>
      </c>
      <c r="E20" s="447" t="n">
        <v>99.8</v>
      </c>
    </row>
    <row r="21">
      <c r="A21" s="81" t="inlineStr">
        <is>
          <t>I квартал</t>
        </is>
      </c>
      <c r="B21" s="451" t="n">
        <v>100.3</v>
      </c>
      <c r="C21" s="447" t="n">
        <v>98.7</v>
      </c>
      <c r="D21" s="447" t="n">
        <v>101.3</v>
      </c>
      <c r="E21" s="447" t="n">
        <v>108.2</v>
      </c>
    </row>
    <row r="22" ht="14.4" customHeight="1" s="216">
      <c r="A22" s="376" t="inlineStr">
        <is>
          <t>Апрель</t>
        </is>
      </c>
      <c r="B22" s="451" t="n">
        <v>100.5</v>
      </c>
      <c r="C22" s="447" t="n">
        <v>100.4</v>
      </c>
      <c r="D22" s="447" t="n">
        <v>101</v>
      </c>
      <c r="E22" s="447" t="n">
        <v>99.7</v>
      </c>
    </row>
    <row r="23" ht="12.75" customHeight="1" s="216">
      <c r="A23" s="376" t="inlineStr">
        <is>
          <t>Май</t>
        </is>
      </c>
      <c r="B23" s="458" t="n">
        <v>101.5</v>
      </c>
      <c r="C23" s="459" t="n">
        <v>100.3</v>
      </c>
      <c r="D23" s="459" t="n">
        <v>100.6</v>
      </c>
      <c r="E23" s="459" t="n">
        <v>113</v>
      </c>
    </row>
    <row r="24">
      <c r="A24" s="376" t="inlineStr">
        <is>
          <t>Июнь</t>
        </is>
      </c>
      <c r="B24" s="458" t="n">
        <v>100.5</v>
      </c>
      <c r="C24" s="459" t="n">
        <v>100.9</v>
      </c>
      <c r="D24" s="459" t="n">
        <v>99.8</v>
      </c>
      <c r="E24" s="459" t="n">
        <v>99.7</v>
      </c>
    </row>
    <row r="25">
      <c r="A25" s="81" t="inlineStr">
        <is>
          <t>II квартал</t>
        </is>
      </c>
      <c r="B25" s="458" t="n">
        <v>102.5</v>
      </c>
      <c r="C25" s="459" t="n">
        <v>101.6</v>
      </c>
      <c r="D25" s="459" t="n">
        <v>101.4</v>
      </c>
      <c r="E25" s="459" t="n">
        <v>112.4</v>
      </c>
    </row>
    <row r="26">
      <c r="A26" s="376" t="inlineStr">
        <is>
          <t>Июль</t>
        </is>
      </c>
      <c r="B26" s="458" t="n">
        <v>100.2</v>
      </c>
      <c r="C26" s="459" t="n">
        <v>100.4</v>
      </c>
      <c r="D26" s="459" t="n">
        <v>99.8</v>
      </c>
      <c r="E26" s="459" t="n">
        <v>100.1</v>
      </c>
    </row>
    <row r="27">
      <c r="A27" s="376" t="inlineStr">
        <is>
          <t>Август</t>
        </is>
      </c>
      <c r="B27" s="458" t="n">
        <v>100.4</v>
      </c>
      <c r="C27" s="459" t="n">
        <v>100.2</v>
      </c>
      <c r="D27" s="459" t="n">
        <v>101</v>
      </c>
      <c r="E27" s="459" t="n">
        <v>99.90000000000001</v>
      </c>
    </row>
    <row r="28">
      <c r="A28" s="376" t="inlineStr">
        <is>
          <t>Сентябрь</t>
        </is>
      </c>
      <c r="B28" s="458" t="n">
        <v>100.8</v>
      </c>
      <c r="C28" s="459" t="n">
        <v>100.5</v>
      </c>
      <c r="D28" s="459" t="n">
        <v>101.6</v>
      </c>
      <c r="E28" s="459" t="n">
        <v>100.2</v>
      </c>
    </row>
    <row r="29">
      <c r="A29" s="81" t="inlineStr">
        <is>
          <t>III квартал</t>
        </is>
      </c>
      <c r="B29" s="458" t="n">
        <v>101.5</v>
      </c>
      <c r="C29" s="459" t="n">
        <v>101.1</v>
      </c>
      <c r="D29" s="459" t="n">
        <v>102.4</v>
      </c>
      <c r="E29" s="459" t="n">
        <v>100.2</v>
      </c>
    </row>
    <row r="30">
      <c r="A30" s="376" t="inlineStr">
        <is>
          <t>Октябрь</t>
        </is>
      </c>
      <c r="B30" s="458" t="n">
        <v>100.6</v>
      </c>
      <c r="C30" s="459" t="n">
        <v>100.4</v>
      </c>
      <c r="D30" s="459" t="n">
        <v>101.2</v>
      </c>
      <c r="E30" s="459" t="n">
        <v>100.2</v>
      </c>
    </row>
    <row r="31">
      <c r="A31" s="376" t="inlineStr">
        <is>
          <t>Ноябрь</t>
        </is>
      </c>
      <c r="B31" s="458" t="n">
        <v>100.9</v>
      </c>
      <c r="C31" s="459" t="n">
        <v>100.5</v>
      </c>
      <c r="D31" s="459" t="n">
        <v>101.8</v>
      </c>
      <c r="E31" s="459" t="n">
        <v>100.3</v>
      </c>
    </row>
    <row r="32">
      <c r="A32" s="376" t="inlineStr">
        <is>
          <t>Декабрь</t>
        </is>
      </c>
      <c r="B32" s="458" t="n">
        <v>101.2</v>
      </c>
      <c r="C32" s="459" t="n">
        <v>101.5</v>
      </c>
      <c r="D32" s="459" t="n">
        <v>100.9</v>
      </c>
      <c r="E32" s="459" t="n">
        <v>100.4</v>
      </c>
    </row>
    <row r="33">
      <c r="A33" s="87" t="inlineStr">
        <is>
          <t>IV квартал</t>
        </is>
      </c>
      <c r="B33" s="460" t="n">
        <v>102.7</v>
      </c>
      <c r="C33" s="460" t="n">
        <v>102.4</v>
      </c>
      <c r="D33" s="460" t="n">
        <v>103.9</v>
      </c>
      <c r="E33" s="460" t="n">
        <v>101</v>
      </c>
    </row>
    <row r="35" ht="13.8" customHeight="1" s="216">
      <c r="A35" s="461" t="n"/>
    </row>
  </sheetData>
  <mergeCells count="5">
    <mergeCell ref="B4:B5"/>
    <mergeCell ref="A4:A5"/>
    <mergeCell ref="C4:E4"/>
    <mergeCell ref="A1:E1"/>
    <mergeCell ref="A3:E3"/>
  </mergeCells>
  <pageMargins left="0.7" right="0.7" top="0.75" bottom="0.75" header="0.3" footer="0.3"/>
  <pageSetup orientation="portrait" paperSize="9"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colBreaks count="1" manualBreakCount="1">
    <brk id="4" min="0" max="1048575" man="1"/>
  </colBreaks>
</worksheet>
</file>

<file path=xl/worksheets/sheet37.xml><?xml version="1.0" encoding="utf-8"?>
<worksheet xmlns="http://schemas.openxmlformats.org/spreadsheetml/2006/main">
  <sheetPr>
    <outlinePr summaryBelow="1" summaryRight="1"/>
    <pageSetUpPr fitToPage="1"/>
  </sheetPr>
  <dimension ref="A1:E33"/>
  <sheetViews>
    <sheetView zoomScale="80" zoomScaleNormal="80" workbookViewId="0">
      <selection activeCell="D6" sqref="D6"/>
    </sheetView>
  </sheetViews>
  <sheetFormatPr baseColWidth="8" defaultColWidth="8.88671875" defaultRowHeight="13.2"/>
  <cols>
    <col width="22.109375" customWidth="1" style="216" min="1" max="1"/>
    <col width="17.5546875" customWidth="1" style="216" min="2" max="5"/>
    <col width="7.33203125" customWidth="1" style="216" min="6" max="6"/>
    <col width="8.88671875" customWidth="1" style="216" min="7" max="16384"/>
  </cols>
  <sheetData>
    <row r="1" ht="13.8" customHeight="1" s="216">
      <c r="A1" s="705" t="inlineStr">
        <is>
          <t xml:space="preserve">Динамика индексов тарифов на грузовые перевозки отдельными видами транспорта </t>
        </is>
      </c>
    </row>
    <row r="2">
      <c r="A2" s="717" t="n"/>
    </row>
    <row r="3">
      <c r="A3" s="715" t="inlineStr">
        <is>
          <t>на конец периода, в процентах к предыдущему периоду</t>
        </is>
      </c>
      <c r="B3" s="756" t="n"/>
      <c r="C3" s="756" t="n"/>
      <c r="D3" s="756" t="n"/>
      <c r="E3" s="756" t="n"/>
    </row>
    <row r="4">
      <c r="A4" s="767" t="n"/>
      <c r="B4" s="672" t="inlineStr">
        <is>
          <t>Всего</t>
        </is>
      </c>
      <c r="C4" s="728" t="inlineStr">
        <is>
          <t>В том числе транспорт</t>
        </is>
      </c>
      <c r="D4" s="764" t="n"/>
      <c r="E4" s="755" t="n"/>
    </row>
    <row r="5" ht="26.4" customHeight="1" s="216">
      <c r="A5" s="758" t="n"/>
      <c r="B5" s="758" t="n"/>
      <c r="C5" s="649" t="inlineStr">
        <is>
          <t>автомобильный</t>
        </is>
      </c>
      <c r="D5" s="306" t="inlineStr">
        <is>
          <t xml:space="preserve">трубопроводный </t>
        </is>
      </c>
      <c r="E5" s="644" t="inlineStr">
        <is>
          <t>внутренний водный</t>
        </is>
      </c>
    </row>
    <row r="6" s="216">
      <c r="A6" s="121" t="inlineStr">
        <is>
          <t>2025 г.</t>
        </is>
      </c>
      <c r="B6" s="257" t="n"/>
      <c r="C6" s="257" t="n"/>
      <c r="D6" s="257" t="n"/>
      <c r="E6" s="257" t="n"/>
    </row>
    <row r="7" s="216">
      <c r="A7" s="376" t="inlineStr">
        <is>
          <t>Январь</t>
        </is>
      </c>
      <c r="B7" s="525" t="n">
        <v>109.3</v>
      </c>
      <c r="C7" s="228" t="n">
        <v>103.4</v>
      </c>
      <c r="D7" s="228" t="n">
        <v>109.9</v>
      </c>
      <c r="E7" s="485" t="n">
        <v>100</v>
      </c>
    </row>
    <row r="8" s="216">
      <c r="A8" s="376" t="inlineStr">
        <is>
          <t>Февраль</t>
        </is>
      </c>
      <c r="B8" s="525" t="n">
        <v>100.2</v>
      </c>
      <c r="C8" s="228" t="n">
        <v>102.8</v>
      </c>
      <c r="D8" s="228" t="n">
        <v>100</v>
      </c>
      <c r="E8" s="485" t="n">
        <v>100</v>
      </c>
    </row>
    <row r="9" s="216">
      <c r="A9" s="522" t="inlineStr">
        <is>
          <t>Март</t>
        </is>
      </c>
      <c r="B9" s="525" t="n">
        <v>100</v>
      </c>
      <c r="C9" s="228" t="n">
        <v>100.7</v>
      </c>
      <c r="D9" s="228" t="n">
        <v>100</v>
      </c>
      <c r="E9" s="485" t="n">
        <v>100</v>
      </c>
    </row>
    <row r="10" s="216">
      <c r="A10" s="105" t="inlineStr">
        <is>
          <t>I квартал</t>
        </is>
      </c>
      <c r="B10" s="525" t="n">
        <v>109.5</v>
      </c>
      <c r="C10" s="228" t="n">
        <v>107.1</v>
      </c>
      <c r="D10" s="228" t="n">
        <v>109.9</v>
      </c>
      <c r="E10" s="485" t="n">
        <v>100</v>
      </c>
    </row>
    <row r="11" s="216">
      <c r="A11" s="522" t="inlineStr">
        <is>
          <t>Апрель</t>
        </is>
      </c>
      <c r="B11" s="525" t="n">
        <v>100</v>
      </c>
      <c r="C11" s="228" t="n">
        <v>100.7</v>
      </c>
      <c r="D11" s="228" t="n">
        <v>100</v>
      </c>
      <c r="E11" s="485" t="n">
        <v>100</v>
      </c>
    </row>
    <row r="12" s="216">
      <c r="A12" s="522" t="inlineStr">
        <is>
          <t>Май</t>
        </is>
      </c>
      <c r="B12" s="525" t="n">
        <v>100.2</v>
      </c>
      <c r="C12" s="525" t="n">
        <v>103</v>
      </c>
      <c r="D12" s="392" t="n">
        <v>100</v>
      </c>
      <c r="E12" s="485" t="n">
        <v>101.2</v>
      </c>
    </row>
    <row r="13" s="216">
      <c r="A13" s="522" t="inlineStr">
        <is>
          <t>Июнь</t>
        </is>
      </c>
      <c r="B13" s="525" t="n">
        <v>100.2</v>
      </c>
      <c r="C13" s="525" t="n">
        <v>99.90000000000001</v>
      </c>
      <c r="D13" s="392" t="n">
        <v>100</v>
      </c>
      <c r="E13" s="485" t="n">
        <v>108.9</v>
      </c>
    </row>
    <row r="14" s="216">
      <c r="A14" s="105" t="inlineStr">
        <is>
          <t>II квартал</t>
        </is>
      </c>
      <c r="B14" s="525" t="n">
        <v>100.4</v>
      </c>
      <c r="C14" s="525" t="n">
        <v>103.6</v>
      </c>
      <c r="D14" s="392" t="n">
        <v>100</v>
      </c>
      <c r="E14" s="485" t="n">
        <v>110.2</v>
      </c>
    </row>
    <row r="15" s="216">
      <c r="A15" s="522" t="inlineStr">
        <is>
          <t>Июль</t>
        </is>
      </c>
      <c r="B15" s="525" t="n">
        <v>100</v>
      </c>
      <c r="C15" s="525" t="n">
        <v>100.8</v>
      </c>
      <c r="D15" s="392" t="n">
        <v>100</v>
      </c>
      <c r="E15" s="485" t="n">
        <v>100</v>
      </c>
    </row>
    <row r="16" s="216">
      <c r="A16" s="522" t="inlineStr">
        <is>
          <t>Август</t>
        </is>
      </c>
      <c r="B16" s="525" t="n">
        <v>99.90000000000001</v>
      </c>
      <c r="C16" s="525" t="n">
        <v>98.59999999999999</v>
      </c>
      <c r="D16" s="392" t="n">
        <v>100</v>
      </c>
      <c r="E16" s="485" t="n">
        <v>100</v>
      </c>
    </row>
    <row r="17">
      <c r="A17" s="125" t="inlineStr">
        <is>
          <t>2024 г.</t>
        </is>
      </c>
      <c r="B17" s="128" t="n"/>
      <c r="C17" s="128" t="n"/>
      <c r="D17" s="128" t="n"/>
      <c r="E17" s="128" t="n"/>
    </row>
    <row r="18">
      <c r="A18" s="376" t="inlineStr">
        <is>
          <t>Январь</t>
        </is>
      </c>
      <c r="B18" s="525" t="n">
        <v>106.8</v>
      </c>
      <c r="C18" s="228" t="n">
        <v>103.6</v>
      </c>
      <c r="D18" s="228" t="n">
        <v>107.2</v>
      </c>
      <c r="E18" s="485" t="n">
        <v>100</v>
      </c>
    </row>
    <row r="19">
      <c r="A19" s="376" t="inlineStr">
        <is>
          <t>Февраль</t>
        </is>
      </c>
      <c r="B19" s="525" t="n">
        <v>100.1</v>
      </c>
      <c r="C19" s="228" t="n">
        <v>103.1</v>
      </c>
      <c r="D19" s="228" t="n">
        <v>100</v>
      </c>
      <c r="E19" s="485" t="n">
        <v>100</v>
      </c>
    </row>
    <row r="20">
      <c r="A20" s="522" t="inlineStr">
        <is>
          <t>Март</t>
        </is>
      </c>
      <c r="B20" s="525" t="n">
        <v>100</v>
      </c>
      <c r="C20" s="228" t="n">
        <v>100</v>
      </c>
      <c r="D20" s="228" t="n">
        <v>100</v>
      </c>
      <c r="E20" s="485" t="n">
        <v>100</v>
      </c>
    </row>
    <row r="21">
      <c r="A21" s="105" t="inlineStr">
        <is>
          <t>I квартал</t>
        </is>
      </c>
      <c r="B21" s="525" t="n">
        <v>106.9</v>
      </c>
      <c r="C21" s="228" t="n">
        <v>106.8</v>
      </c>
      <c r="D21" s="228" t="n">
        <v>107.2</v>
      </c>
      <c r="E21" s="485" t="n">
        <v>100</v>
      </c>
    </row>
    <row r="22">
      <c r="A22" s="522" t="inlineStr">
        <is>
          <t>Апрель</t>
        </is>
      </c>
      <c r="B22" s="525" t="n">
        <v>100</v>
      </c>
      <c r="C22" s="228" t="n">
        <v>100.1</v>
      </c>
      <c r="D22" s="228" t="n">
        <v>100</v>
      </c>
      <c r="E22" s="485" t="n">
        <v>100</v>
      </c>
    </row>
    <row r="23">
      <c r="A23" s="522" t="inlineStr">
        <is>
          <t>Май</t>
        </is>
      </c>
      <c r="B23" s="525" t="n">
        <v>100</v>
      </c>
      <c r="C23" s="228" t="n">
        <v>99.7</v>
      </c>
      <c r="D23" s="228" t="n">
        <v>100</v>
      </c>
      <c r="E23" s="485" t="n">
        <v>100.3</v>
      </c>
    </row>
    <row r="24">
      <c r="A24" s="522" t="inlineStr">
        <is>
          <t>Июнь</t>
        </is>
      </c>
      <c r="B24" s="525" t="n">
        <v>100</v>
      </c>
      <c r="C24" s="228" t="n">
        <v>100</v>
      </c>
      <c r="D24" s="228" t="n">
        <v>100</v>
      </c>
      <c r="E24" s="485" t="n">
        <v>100</v>
      </c>
    </row>
    <row r="25">
      <c r="A25" s="105" t="inlineStr">
        <is>
          <t>II квартал</t>
        </is>
      </c>
      <c r="B25" s="525" t="n">
        <v>100</v>
      </c>
      <c r="C25" s="228" t="n">
        <v>99.8</v>
      </c>
      <c r="D25" s="228" t="n">
        <v>100</v>
      </c>
      <c r="E25" s="485" t="n">
        <v>100.3</v>
      </c>
    </row>
    <row r="26">
      <c r="A26" s="522" t="inlineStr">
        <is>
          <t>Июль</t>
        </is>
      </c>
      <c r="B26" s="525" t="n">
        <v>100.3</v>
      </c>
      <c r="C26" s="228" t="n">
        <v>109.9</v>
      </c>
      <c r="D26" s="228" t="n">
        <v>100</v>
      </c>
      <c r="E26" s="485" t="n">
        <v>100</v>
      </c>
    </row>
    <row r="27">
      <c r="A27" s="522" t="inlineStr">
        <is>
          <t>Август</t>
        </is>
      </c>
      <c r="B27" s="525" t="n">
        <v>100</v>
      </c>
      <c r="C27" s="228" t="n">
        <v>100</v>
      </c>
      <c r="D27" s="228" t="n">
        <v>100</v>
      </c>
      <c r="E27" s="485" t="n">
        <v>100</v>
      </c>
    </row>
    <row r="28">
      <c r="A28" s="522" t="inlineStr">
        <is>
          <t>Сентябрь</t>
        </is>
      </c>
      <c r="B28" s="525" t="n">
        <v>100</v>
      </c>
      <c r="C28" s="228" t="n">
        <v>100</v>
      </c>
      <c r="D28" s="228" t="n">
        <v>100</v>
      </c>
      <c r="E28" s="485" t="n">
        <v>100</v>
      </c>
    </row>
    <row r="29">
      <c r="A29" s="105" t="inlineStr">
        <is>
          <t>III квартал</t>
        </is>
      </c>
      <c r="B29" s="525" t="n">
        <v>100.3</v>
      </c>
      <c r="C29" s="228" t="n">
        <v>109.9</v>
      </c>
      <c r="D29" s="228" t="n">
        <v>100</v>
      </c>
      <c r="E29" s="485" t="n">
        <v>100</v>
      </c>
    </row>
    <row r="30">
      <c r="A30" s="522" t="inlineStr">
        <is>
          <t>Октябрь</t>
        </is>
      </c>
      <c r="B30" s="525" t="n">
        <v>100</v>
      </c>
      <c r="C30" s="228" t="n">
        <v>100</v>
      </c>
      <c r="D30" s="228" t="n">
        <v>100</v>
      </c>
      <c r="E30" s="485" t="n">
        <v>100</v>
      </c>
    </row>
    <row r="31">
      <c r="A31" s="522" t="inlineStr">
        <is>
          <t>Ноябрь</t>
        </is>
      </c>
      <c r="B31" s="525" t="n">
        <v>100</v>
      </c>
      <c r="C31" s="228" t="n">
        <v>100.1</v>
      </c>
      <c r="D31" s="228" t="n">
        <v>100</v>
      </c>
      <c r="E31" s="485" t="n">
        <v>100</v>
      </c>
    </row>
    <row r="32">
      <c r="A32" s="522" t="inlineStr">
        <is>
          <t>Декабрь</t>
        </is>
      </c>
      <c r="B32" s="525" t="n">
        <v>100</v>
      </c>
      <c r="C32" s="228" t="n">
        <v>100</v>
      </c>
      <c r="D32" s="228" t="n">
        <v>100</v>
      </c>
      <c r="E32" s="485" t="n">
        <v>100</v>
      </c>
    </row>
    <row r="33">
      <c r="A33" s="106" t="inlineStr">
        <is>
          <t>IV квартал</t>
        </is>
      </c>
      <c r="B33" s="309" t="n">
        <v>100</v>
      </c>
      <c r="C33" s="309" t="n">
        <v>100.1</v>
      </c>
      <c r="D33" s="309" t="n">
        <v>100</v>
      </c>
      <c r="E33" s="279" t="n">
        <v>100</v>
      </c>
    </row>
  </sheetData>
  <mergeCells count="5">
    <mergeCell ref="B4:B5"/>
    <mergeCell ref="A4:A5"/>
    <mergeCell ref="C4:E4"/>
    <mergeCell ref="A1:E1"/>
    <mergeCell ref="A3:E3"/>
  </mergeCells>
  <pageMargins left="0.7" right="0.7" top="0.75" bottom="0.75" header="0.3" footer="0.3"/>
  <pageSetup orientation="portrait" paperSize="9" scale="96"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38.xml><?xml version="1.0" encoding="utf-8"?>
<worksheet xmlns="http://schemas.openxmlformats.org/spreadsheetml/2006/main">
  <sheetPr>
    <outlinePr summaryBelow="1" summaryRight="1"/>
    <pageSetUpPr fitToPage="1"/>
  </sheetPr>
  <dimension ref="A1:E22"/>
  <sheetViews>
    <sheetView zoomScale="80" zoomScaleNormal="80" workbookViewId="0">
      <selection activeCell="H20" sqref="H20"/>
    </sheetView>
  </sheetViews>
  <sheetFormatPr baseColWidth="8" defaultRowHeight="13.2"/>
  <cols>
    <col width="33.44140625" customWidth="1" style="216" min="1" max="1"/>
    <col width="15.6640625" customWidth="1" style="216" min="2" max="5"/>
    <col width="10.21875" customWidth="1" style="216" min="6" max="6"/>
  </cols>
  <sheetData>
    <row r="1" ht="13.8" customHeight="1" s="216">
      <c r="A1" s="733" t="inlineStr">
        <is>
          <t>V. СОСТОЯНИЕ ПЛАТЕЖЕЙ  И РАСЧЕТОВ В ОРГАНИЗАЦИЯХ</t>
        </is>
      </c>
    </row>
    <row r="2" ht="13.8" customHeight="1" s="216">
      <c r="A2" s="734" t="inlineStr">
        <is>
          <t xml:space="preserve">(без субъектов малого предпринимательства) </t>
        </is>
      </c>
    </row>
    <row r="3">
      <c r="A3" s="436" t="n"/>
      <c r="B3" s="436" t="n"/>
      <c r="C3" s="436" t="n"/>
      <c r="D3" s="436" t="n"/>
      <c r="E3" s="436" t="n"/>
    </row>
    <row r="4" ht="25.2" customHeight="1" s="216">
      <c r="A4" s="718" t="inlineStr">
        <is>
          <t>Просроченная кредиторская задолженность организаций по видам экономической деятельности в июле 2025 года</t>
        </is>
      </c>
    </row>
    <row r="5">
      <c r="A5" s="42" t="n"/>
    </row>
    <row r="6">
      <c r="A6" s="695" t="inlineStr">
        <is>
          <t>на конец месяца, млн рублей</t>
        </is>
      </c>
    </row>
    <row r="7">
      <c r="A7" s="144" t="n"/>
      <c r="B7" s="728" t="inlineStr">
        <is>
          <t>Просроченная кредиторская                   задолженность – всего</t>
        </is>
      </c>
      <c r="C7" s="673" t="inlineStr">
        <is>
          <t>Из нее</t>
        </is>
      </c>
      <c r="D7" s="764" t="n"/>
      <c r="E7" s="755" t="n"/>
    </row>
    <row r="8" ht="52.8" customHeight="1" s="216">
      <c r="A8" s="758" t="n"/>
      <c r="B8" s="762" t="n"/>
      <c r="C8" s="688" t="inlineStr">
        <is>
          <t>поставщикам</t>
        </is>
      </c>
      <c r="D8" s="732" t="inlineStr">
        <is>
          <t>в бюджет</t>
        </is>
      </c>
      <c r="E8" s="739" t="inlineStr">
        <is>
          <t>по платежам в государственные внебюджетные фонды</t>
        </is>
      </c>
    </row>
    <row r="9">
      <c r="A9" s="236" t="inlineStr">
        <is>
          <t>Всего</t>
        </is>
      </c>
      <c r="B9" s="524" t="n">
        <v>71086.3</v>
      </c>
      <c r="C9" s="524" t="n">
        <v>63572.9</v>
      </c>
      <c r="D9" s="524" t="n">
        <v>101.1</v>
      </c>
      <c r="E9" s="524" t="n">
        <v>34.4</v>
      </c>
    </row>
    <row r="10" ht="26.4" customHeight="1" s="216">
      <c r="A10" s="243" t="inlineStr">
        <is>
          <t>в том числе по видам экономической деятельности:</t>
        </is>
      </c>
      <c r="B10" s="525" t="n"/>
      <c r="C10" s="526" t="n"/>
      <c r="D10" s="527" t="n"/>
      <c r="E10" s="527" t="n"/>
    </row>
    <row r="11" ht="28.2" customHeight="1" s="216">
      <c r="A11" s="271" t="inlineStr">
        <is>
          <t>сельское, лесное хозяйство, охота, рыболовство и рыбоводство</t>
        </is>
      </c>
      <c r="B11" s="525" t="inlineStr">
        <is>
          <t>…</t>
        </is>
      </c>
      <c r="C11" s="526" t="inlineStr">
        <is>
          <t>…</t>
        </is>
      </c>
      <c r="D11" s="528" t="inlineStr">
        <is>
          <t>-</t>
        </is>
      </c>
      <c r="E11" s="528" t="inlineStr">
        <is>
          <t>-</t>
        </is>
      </c>
    </row>
    <row r="12">
      <c r="A12" s="271" t="inlineStr">
        <is>
          <t>добыча полезных ископаемых</t>
        </is>
      </c>
      <c r="B12" s="525" t="n">
        <v>49321</v>
      </c>
      <c r="C12" s="526" t="n">
        <v>49059.8</v>
      </c>
      <c r="D12" s="528" t="inlineStr">
        <is>
          <t>-</t>
        </is>
      </c>
      <c r="E12" s="528" t="inlineStr">
        <is>
          <t>-</t>
        </is>
      </c>
    </row>
    <row r="13">
      <c r="A13" s="271" t="inlineStr">
        <is>
          <t>обрабатывающие производства</t>
        </is>
      </c>
      <c r="B13" s="525" t="n">
        <v>11269.2</v>
      </c>
      <c r="C13" s="526" t="n">
        <v>5355.3</v>
      </c>
      <c r="D13" s="528" t="inlineStr">
        <is>
          <t>-</t>
        </is>
      </c>
      <c r="E13" s="528" t="inlineStr">
        <is>
          <t>-</t>
        </is>
      </c>
    </row>
    <row r="14" ht="39.6" customHeight="1" s="216">
      <c r="A14" s="271" t="inlineStr">
        <is>
          <t>обеспечение электрической энергией, газом и паром; кондиционирование воздуха</t>
        </is>
      </c>
      <c r="B14" s="525" t="n">
        <v>70.2</v>
      </c>
      <c r="C14" s="526" t="n">
        <v>51.5</v>
      </c>
      <c r="D14" s="528" t="inlineStr">
        <is>
          <t>-</t>
        </is>
      </c>
      <c r="E14" s="528" t="inlineStr">
        <is>
          <t>-</t>
        </is>
      </c>
    </row>
    <row r="15" ht="52.8" customHeight="1" s="216">
      <c r="A15" s="271" t="inlineStr">
        <is>
          <t>водоснабжение; водоотведение, организация сбора и утилизации отходов, деятельность по ликвидации загрязнений</t>
        </is>
      </c>
      <c r="B15" s="525" t="inlineStr">
        <is>
          <t>…</t>
        </is>
      </c>
      <c r="C15" s="526" t="inlineStr">
        <is>
          <t>…</t>
        </is>
      </c>
      <c r="D15" s="528" t="inlineStr">
        <is>
          <t>-</t>
        </is>
      </c>
      <c r="E15" s="528" t="inlineStr">
        <is>
          <t>-</t>
        </is>
      </c>
    </row>
    <row r="16">
      <c r="A16" s="271" t="inlineStr">
        <is>
          <t>строительство</t>
        </is>
      </c>
      <c r="B16" s="525" t="n">
        <v>372</v>
      </c>
      <c r="C16" s="526" t="n">
        <v>62.4</v>
      </c>
      <c r="D16" s="528" t="n">
        <v>101.1</v>
      </c>
      <c r="E16" s="528" t="n">
        <v>0.1</v>
      </c>
    </row>
    <row r="17" ht="39.6" customHeight="1" s="216">
      <c r="A17" s="100" t="inlineStr">
        <is>
          <t>торговля оптовая и розничная; ремонт автотранспортных средств и мотоциклов</t>
        </is>
      </c>
      <c r="B17" s="525" t="inlineStr">
        <is>
          <t>…</t>
        </is>
      </c>
      <c r="C17" s="526" t="inlineStr">
        <is>
          <t>…</t>
        </is>
      </c>
      <c r="D17" s="528" t="inlineStr">
        <is>
          <t>-</t>
        </is>
      </c>
      <c r="E17" s="528" t="inlineStr">
        <is>
          <t>-</t>
        </is>
      </c>
    </row>
    <row r="18">
      <c r="A18" s="271" t="inlineStr">
        <is>
          <t>транспортировка и хранение</t>
        </is>
      </c>
      <c r="B18" s="525" t="n">
        <v>577.1</v>
      </c>
      <c r="C18" s="526" t="n">
        <v>328.2</v>
      </c>
      <c r="D18" s="528" t="inlineStr">
        <is>
          <t>-</t>
        </is>
      </c>
      <c r="E18" s="528" t="n">
        <v>34.3</v>
      </c>
    </row>
    <row r="19" ht="26.4" customHeight="1" s="216">
      <c r="A19" s="271" t="inlineStr">
        <is>
          <t>деятельность в области информации и связи</t>
        </is>
      </c>
      <c r="B19" s="525" t="inlineStr">
        <is>
          <t>…</t>
        </is>
      </c>
      <c r="C19" s="526" t="inlineStr">
        <is>
          <t>…</t>
        </is>
      </c>
      <c r="D19" s="528" t="inlineStr">
        <is>
          <t>-</t>
        </is>
      </c>
      <c r="E19" s="528" t="inlineStr">
        <is>
          <t>-</t>
        </is>
      </c>
    </row>
    <row r="20" ht="26.4" customHeight="1" s="216">
      <c r="A20" s="271" t="inlineStr">
        <is>
          <t>деятельность профессиональная, научная и техническая</t>
        </is>
      </c>
      <c r="B20" s="525" t="n">
        <v>9117.1</v>
      </c>
      <c r="C20" s="526" t="n">
        <v>8528.299999999999</v>
      </c>
      <c r="D20" s="528" t="inlineStr">
        <is>
          <t>-</t>
        </is>
      </c>
      <c r="E20" s="528" t="inlineStr">
        <is>
          <t>-</t>
        </is>
      </c>
    </row>
    <row r="21" s="216">
      <c r="A21" s="468" t="inlineStr">
        <is>
          <t>образование</t>
        </is>
      </c>
      <c r="B21" s="525" t="inlineStr">
        <is>
          <t>…</t>
        </is>
      </c>
      <c r="C21" s="529" t="inlineStr">
        <is>
          <t>-</t>
        </is>
      </c>
      <c r="D21" s="528" t="inlineStr">
        <is>
          <t>-</t>
        </is>
      </c>
      <c r="E21" s="528" t="inlineStr">
        <is>
          <t>-</t>
        </is>
      </c>
    </row>
    <row r="22" ht="39.6" customHeight="1" s="216">
      <c r="A22" s="469" t="inlineStr">
        <is>
          <t>деятельность в области здравоохранения и социальных услуг</t>
        </is>
      </c>
      <c r="B22" s="530" t="inlineStr">
        <is>
          <t>…</t>
        </is>
      </c>
      <c r="C22" s="531" t="inlineStr">
        <is>
          <t>-</t>
        </is>
      </c>
      <c r="D22" s="532" t="inlineStr">
        <is>
          <t>-</t>
        </is>
      </c>
      <c r="E22" s="532" t="inlineStr">
        <is>
          <t>-</t>
        </is>
      </c>
    </row>
  </sheetData>
  <mergeCells count="7">
    <mergeCell ref="A4:E4"/>
    <mergeCell ref="A2:E2"/>
    <mergeCell ref="B7:B8"/>
    <mergeCell ref="A7:A8"/>
    <mergeCell ref="A1:E1"/>
    <mergeCell ref="C7:E7"/>
    <mergeCell ref="A6:E6"/>
  </mergeCells>
  <conditionalFormatting sqref="A20:A23">
    <cfRule type="duplicateValues" priority="3" dxfId="0"/>
  </conditionalFormatting>
  <conditionalFormatting sqref="A10:A19">
    <cfRule type="duplicateValues" priority="5" dxfId="0"/>
  </conditionalFormatting>
  <pageMargins left="0.7" right="0.7" top="0.75" bottom="0.75" header="0.3" footer="0.3"/>
  <pageSetup orientation="portrait" paperSize="9" scale="92"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39.xml><?xml version="1.0" encoding="utf-8"?>
<worksheet xmlns="http://schemas.openxmlformats.org/spreadsheetml/2006/main">
  <sheetPr>
    <outlinePr summaryBelow="1" summaryRight="1"/>
    <pageSetUpPr/>
  </sheetPr>
  <dimension ref="A1:C23"/>
  <sheetViews>
    <sheetView zoomScale="80" zoomScaleNormal="80" workbookViewId="0">
      <selection activeCell="I15" sqref="I15"/>
    </sheetView>
  </sheetViews>
  <sheetFormatPr baseColWidth="8" defaultRowHeight="13.2"/>
  <cols>
    <col width="37.109375" customWidth="1" style="216" min="1" max="1"/>
    <col width="23.77734375" customWidth="1" style="216" min="2" max="3"/>
  </cols>
  <sheetData>
    <row r="1" ht="34.8" customHeight="1" s="216">
      <c r="A1" s="718" t="inlineStr">
        <is>
          <t>Просроченная дебиторская задолженность организаций по видам экономической деятельности в июле 2025 года</t>
        </is>
      </c>
    </row>
    <row r="2">
      <c r="A2" s="42" t="n"/>
    </row>
    <row r="3">
      <c r="A3" s="695" t="inlineStr">
        <is>
          <t>на конец месяца, млн рублей</t>
        </is>
      </c>
    </row>
    <row r="4" ht="39.6" customHeight="1" s="216">
      <c r="A4" s="144" t="n"/>
      <c r="B4" s="672" t="inlineStr">
        <is>
          <t>Просроченная дебиторская задолженность – всего</t>
        </is>
      </c>
      <c r="C4" s="672" t="inlineStr">
        <is>
          <t>Из нее покупателей</t>
        </is>
      </c>
    </row>
    <row r="5">
      <c r="A5" s="315" t="inlineStr">
        <is>
          <t>Всего</t>
        </is>
      </c>
      <c r="B5" s="520" t="n">
        <v>145202.3</v>
      </c>
      <c r="C5" s="520" t="n">
        <v>135069.9</v>
      </c>
    </row>
    <row r="6" ht="26.4" customHeight="1" s="216">
      <c r="A6" s="243" t="inlineStr">
        <is>
          <t>в том числе по видам экономической деятельности:</t>
        </is>
      </c>
      <c r="B6" s="483" t="n"/>
      <c r="C6" s="472" t="n"/>
    </row>
    <row r="7" ht="26.4" customHeight="1" s="216">
      <c r="A7" s="271" t="inlineStr">
        <is>
          <t>сельское, лесное хозяйство, охота, рыболовство и рыбоводство</t>
        </is>
      </c>
      <c r="B7" s="473" t="n">
        <v>104.8</v>
      </c>
      <c r="C7" s="473" t="n">
        <v>95.3</v>
      </c>
    </row>
    <row r="8">
      <c r="A8" s="271" t="inlineStr">
        <is>
          <t>добыча полезных ископаемых</t>
        </is>
      </c>
      <c r="B8" s="473" t="n">
        <v>111607.4</v>
      </c>
      <c r="C8" s="473" t="n">
        <v>111379.8</v>
      </c>
    </row>
    <row r="9">
      <c r="A9" s="271" t="inlineStr">
        <is>
          <t>обрабатывающие производства</t>
        </is>
      </c>
      <c r="B9" s="473" t="n">
        <v>18074.5</v>
      </c>
      <c r="C9" s="473" t="n">
        <v>9036.9</v>
      </c>
    </row>
    <row r="10" ht="39.6" customHeight="1" s="216">
      <c r="A10" s="271" t="inlineStr">
        <is>
          <t>обеспечение электрической энергией, газом и паром; кондиционирование воздуха</t>
        </is>
      </c>
      <c r="B10" s="473" t="n">
        <v>1357.2</v>
      </c>
      <c r="C10" s="473" t="n">
        <v>1197.1</v>
      </c>
    </row>
    <row r="11" ht="52.8" customHeight="1" s="216">
      <c r="A11" s="271" t="inlineStr">
        <is>
          <t>водоснабжение; водоотведение, организация сбора и утилизации отходов, деятельность по ликвидации загрязнений</t>
        </is>
      </c>
      <c r="B11" s="473" t="n">
        <v>520.7</v>
      </c>
      <c r="C11" s="473" t="n">
        <v>506.1</v>
      </c>
    </row>
    <row r="12">
      <c r="A12" s="271" t="inlineStr">
        <is>
          <t>строительство</t>
        </is>
      </c>
      <c r="B12" s="473" t="n">
        <v>1939.3</v>
      </c>
      <c r="C12" s="473" t="n">
        <v>1939.3</v>
      </c>
    </row>
    <row r="13" ht="30" customHeight="1" s="216">
      <c r="A13" s="100" t="inlineStr">
        <is>
          <t>торговля оптовая и розничная; ремонт автотранспортных средств и мотоциклов</t>
        </is>
      </c>
      <c r="B13" s="473" t="n">
        <v>1153.7</v>
      </c>
      <c r="C13" s="473" t="n">
        <v>1153.7</v>
      </c>
    </row>
    <row r="14">
      <c r="A14" s="271" t="inlineStr">
        <is>
          <t>транспортировка и хранение</t>
        </is>
      </c>
      <c r="B14" s="473" t="n">
        <v>759.3</v>
      </c>
      <c r="C14" s="473" t="n">
        <v>626.2</v>
      </c>
    </row>
    <row r="15" ht="26.4" customHeight="1" s="216">
      <c r="A15" s="271" t="inlineStr">
        <is>
          <t>деятельность в области информации и связи</t>
        </is>
      </c>
      <c r="B15" s="473" t="n">
        <v>189.7</v>
      </c>
      <c r="C15" s="473" t="n">
        <v>186.6</v>
      </c>
    </row>
    <row r="16">
      <c r="A16" s="271" t="inlineStr">
        <is>
          <t>деятельность финансовая и страховая</t>
        </is>
      </c>
      <c r="B16" s="474" t="inlineStr">
        <is>
          <t>…</t>
        </is>
      </c>
      <c r="C16" s="475" t="inlineStr">
        <is>
          <t>…</t>
        </is>
      </c>
    </row>
    <row r="17" ht="26.4" customHeight="1" s="216">
      <c r="A17" s="271" t="inlineStr">
        <is>
          <t>деятельность по операциям с недвижимым имуществом</t>
        </is>
      </c>
      <c r="B17" s="473" t="n">
        <v>45.3</v>
      </c>
      <c r="C17" s="473" t="n">
        <v>45.3</v>
      </c>
    </row>
    <row r="18" ht="26.4" customHeight="1" s="216">
      <c r="A18" s="271" t="inlineStr">
        <is>
          <t>деятельность профессиональная, научная и техническая</t>
        </is>
      </c>
      <c r="B18" s="473" t="n">
        <v>8735</v>
      </c>
      <c r="C18" s="473" t="n">
        <v>8195</v>
      </c>
    </row>
    <row r="19" ht="27.6" customHeight="1" s="216">
      <c r="A19" s="78" t="inlineStr">
        <is>
          <t>деятельность административная и сопутствующие дополнительные услуги</t>
        </is>
      </c>
      <c r="B19" s="473" t="n">
        <v>618.8</v>
      </c>
      <c r="C19" s="473" t="n">
        <v>618.8</v>
      </c>
    </row>
    <row r="20">
      <c r="A20" s="78" t="inlineStr">
        <is>
          <t>образование</t>
        </is>
      </c>
      <c r="B20" s="476" t="n">
        <v>10.1</v>
      </c>
      <c r="C20" s="476" t="n">
        <v>10.1</v>
      </c>
    </row>
    <row r="21" ht="26.4" customHeight="1" s="216">
      <c r="A21" s="78" t="inlineStr">
        <is>
          <t>деятельность в области здравоохранения и социальных услуг</t>
        </is>
      </c>
      <c r="B21" s="476" t="inlineStr">
        <is>
          <t>…</t>
        </is>
      </c>
      <c r="C21" s="476" t="inlineStr">
        <is>
          <t>…</t>
        </is>
      </c>
    </row>
    <row r="22" ht="39.6" customHeight="1" s="216">
      <c r="A22" s="78" t="inlineStr">
        <is>
          <t>деятельность в области культуры, спорта, организации досуга и развлечений</t>
        </is>
      </c>
      <c r="B22" s="476" t="inlineStr">
        <is>
          <t>…</t>
        </is>
      </c>
      <c r="C22" s="476" t="inlineStr">
        <is>
          <t>…</t>
        </is>
      </c>
    </row>
    <row r="23">
      <c r="A23" s="272" t="inlineStr">
        <is>
          <t>предоставление прочих видов услуг</t>
        </is>
      </c>
      <c r="B23" s="477" t="inlineStr">
        <is>
          <t>…</t>
        </is>
      </c>
      <c r="C23" s="477" t="inlineStr">
        <is>
          <t>…</t>
        </is>
      </c>
    </row>
  </sheetData>
  <mergeCells count="2">
    <mergeCell ref="A1:C1"/>
    <mergeCell ref="A3:C3"/>
  </mergeCells>
  <conditionalFormatting sqref="A19:A23">
    <cfRule type="duplicateValues" priority="1" dxfId="0"/>
  </conditionalFormatting>
  <conditionalFormatting sqref="A6:A18">
    <cfRule type="duplicateValues" priority="2" dxfId="0"/>
  </conditionalFormatting>
  <pageMargins left="0.7" right="0.7" top="0.75" bottom="0.75" header="0.3" footer="0.3"/>
  <pageSetup orientation="portrait" paperSize="9"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40.xml><?xml version="1.0" encoding="utf-8"?>
<worksheet xmlns="http://schemas.openxmlformats.org/spreadsheetml/2006/main">
  <sheetPr>
    <outlinePr summaryBelow="1" summaryRight="1"/>
    <pageSetUpPr fitToPage="1"/>
  </sheetPr>
  <dimension ref="A1:F40"/>
  <sheetViews>
    <sheetView zoomScale="80" zoomScaleNormal="80" workbookViewId="0">
      <selection activeCell="J18" sqref="J18"/>
    </sheetView>
  </sheetViews>
  <sheetFormatPr baseColWidth="8" defaultRowHeight="13.2"/>
  <cols>
    <col width="19.5546875" customWidth="1" style="216" min="1" max="1"/>
    <col width="15.88671875" customWidth="1" style="216" min="2" max="2"/>
    <col width="14.109375" customWidth="1" style="216" min="3" max="6"/>
  </cols>
  <sheetData>
    <row r="1" ht="13.8" customHeight="1" s="216">
      <c r="A1" s="733" t="inlineStr">
        <is>
          <t>VI. УРОВЕНЬ ЖИЗНИ НАСЕЛЕНИЯ</t>
        </is>
      </c>
    </row>
    <row r="3" ht="13.8" customHeight="1" s="216">
      <c r="A3" s="733" t="inlineStr">
        <is>
          <t>ЗАРАБОТНАЯ ПЛАТА</t>
        </is>
      </c>
    </row>
    <row r="5" ht="29.4" customHeight="1" s="216">
      <c r="A5" s="705" t="inlineStr">
        <is>
          <t xml:space="preserve">Динамика среднемесячной номинальной и реальной начисленной заработной платы одного работника </t>
        </is>
      </c>
    </row>
    <row r="6">
      <c r="A6" s="43" t="n"/>
    </row>
    <row r="7" ht="30" customHeight="1" s="216">
      <c r="A7" s="145" t="n"/>
      <c r="B7" s="673" t="inlineStr">
        <is>
          <t>Среднемесячная  номинальная  начисленная    заработная плата одного работника, рублей</t>
        </is>
      </c>
      <c r="C7" s="673" t="inlineStr">
        <is>
          <t>В % к</t>
        </is>
      </c>
      <c r="D7" s="755" t="n"/>
      <c r="E7" s="673" t="inlineStr">
        <is>
          <t>Реальная начисленная   заработная плата в % к</t>
        </is>
      </c>
      <c r="F7" s="755" t="n"/>
    </row>
    <row r="8" ht="66" customHeight="1" s="216">
      <c r="A8" s="758" t="n"/>
      <c r="B8" s="758" t="n"/>
      <c r="C8" s="666" t="inlineStr">
        <is>
          <t>предыдущему периоду</t>
        </is>
      </c>
      <c r="D8" s="680" t="inlineStr">
        <is>
          <t>соответ-ствующему периоду предыдущего года</t>
        </is>
      </c>
      <c r="E8" s="680" t="inlineStr">
        <is>
          <t>предыдущему периоду</t>
        </is>
      </c>
      <c r="F8" s="672" t="inlineStr">
        <is>
          <t>соответ-ствующему периоду предыдущего года</t>
        </is>
      </c>
    </row>
    <row r="9">
      <c r="A9" s="170" t="inlineStr">
        <is>
          <t>2025 г.</t>
        </is>
      </c>
      <c r="B9" s="169" t="n"/>
      <c r="C9" s="169" t="n"/>
      <c r="D9" s="169" t="n"/>
      <c r="E9" s="121" t="n"/>
      <c r="F9" s="121" t="n"/>
    </row>
    <row r="10">
      <c r="A10" s="101" t="inlineStr">
        <is>
          <t>Январь</t>
        </is>
      </c>
      <c r="B10" s="164" t="n">
        <v>82674</v>
      </c>
      <c r="C10" s="165" t="n">
        <v>67.90000000000001</v>
      </c>
      <c r="D10" s="165" t="n">
        <v>116</v>
      </c>
      <c r="E10" s="80" t="n">
        <v>67.3</v>
      </c>
      <c r="F10" s="80" t="n">
        <v>107.7</v>
      </c>
    </row>
    <row r="11">
      <c r="A11" s="523" t="inlineStr">
        <is>
          <t>Февраль</t>
        </is>
      </c>
      <c r="B11" s="47" t="n">
        <v>86588</v>
      </c>
      <c r="C11" s="40" t="n">
        <v>104.2</v>
      </c>
      <c r="D11" s="40" t="n">
        <v>108.8</v>
      </c>
      <c r="E11" s="40" t="n">
        <v>103.1</v>
      </c>
      <c r="F11" s="40" t="n">
        <v>100.6</v>
      </c>
    </row>
    <row r="12">
      <c r="A12" s="379" t="inlineStr">
        <is>
          <t>Март</t>
        </is>
      </c>
      <c r="B12" s="381" t="n">
        <v>89386</v>
      </c>
      <c r="C12" s="382" t="n">
        <v>103.2</v>
      </c>
      <c r="D12" s="382" t="n">
        <v>105.2</v>
      </c>
      <c r="E12" s="40" t="n">
        <v>102.3</v>
      </c>
      <c r="F12" s="40" t="n">
        <v>96.8</v>
      </c>
    </row>
    <row r="13">
      <c r="A13" s="136" t="inlineStr">
        <is>
          <t>I квартал</t>
        </is>
      </c>
      <c r="B13" s="164" t="n">
        <v>86368</v>
      </c>
      <c r="C13" s="165" t="n">
        <v>91.7</v>
      </c>
      <c r="D13" s="165" t="n">
        <v>109.9</v>
      </c>
      <c r="E13" s="80" t="n">
        <v>88.90000000000001</v>
      </c>
      <c r="F13" s="80" t="n">
        <v>101.6</v>
      </c>
    </row>
    <row r="14">
      <c r="A14" s="567" t="inlineStr">
        <is>
          <t>Апрель</t>
        </is>
      </c>
      <c r="B14" s="164" t="n">
        <v>87502</v>
      </c>
      <c r="C14" s="165" t="n">
        <v>97.59999999999999</v>
      </c>
      <c r="D14" s="165" t="n">
        <v>111.4</v>
      </c>
      <c r="E14" s="80" t="n">
        <v>97.3</v>
      </c>
      <c r="F14" s="80" t="n">
        <v>103.1</v>
      </c>
    </row>
    <row r="15">
      <c r="A15" s="379" t="inlineStr">
        <is>
          <t>Май</t>
        </is>
      </c>
      <c r="B15" s="164" t="n">
        <v>94330</v>
      </c>
      <c r="C15" s="165" t="n">
        <v>107.8</v>
      </c>
      <c r="D15" s="165" t="n">
        <v>113.3</v>
      </c>
      <c r="E15" s="80" t="n">
        <v>107.1</v>
      </c>
      <c r="F15" s="80" t="n">
        <v>103.6</v>
      </c>
    </row>
    <row r="16">
      <c r="A16" s="567" t="inlineStr">
        <is>
          <t>Июнь</t>
        </is>
      </c>
      <c r="B16" s="164" t="n">
        <v>96094</v>
      </c>
      <c r="C16" s="165" t="n">
        <v>101.8</v>
      </c>
      <c r="D16" s="165" t="n">
        <v>113.8</v>
      </c>
      <c r="E16" s="80" t="n">
        <v>101.7</v>
      </c>
      <c r="F16" s="80" t="n">
        <v>104.2</v>
      </c>
    </row>
    <row r="17">
      <c r="A17" s="67" t="inlineStr">
        <is>
          <t>II квартал</t>
        </is>
      </c>
      <c r="B17" s="164" t="n">
        <v>92664</v>
      </c>
      <c r="C17" s="165" t="n">
        <v>107.2</v>
      </c>
      <c r="D17" s="165" t="n">
        <v>112.9</v>
      </c>
      <c r="E17" s="80" t="n">
        <v>105.4</v>
      </c>
      <c r="F17" s="80" t="n">
        <v>103.7</v>
      </c>
    </row>
    <row r="18">
      <c r="A18" s="67" t="inlineStr">
        <is>
          <t>Январь-июнь</t>
        </is>
      </c>
      <c r="B18" s="164" t="n">
        <v>89561</v>
      </c>
      <c r="C18" s="165" t="n"/>
      <c r="D18" s="165" t="n">
        <v>111.5</v>
      </c>
      <c r="E18" s="80" t="n"/>
      <c r="F18" s="80" t="n">
        <v>102.7</v>
      </c>
    </row>
    <row r="19">
      <c r="A19" s="567" t="inlineStr">
        <is>
          <t>Июль</t>
        </is>
      </c>
      <c r="B19" s="164" t="n">
        <v>93419</v>
      </c>
      <c r="C19" s="165" t="n">
        <v>96.5</v>
      </c>
      <c r="D19" s="165" t="n">
        <v>113.2</v>
      </c>
      <c r="E19" s="80" t="n">
        <v>95.59999999999999</v>
      </c>
      <c r="F19" s="80" t="n">
        <v>103.8</v>
      </c>
    </row>
    <row r="20">
      <c r="A20" s="67" t="inlineStr">
        <is>
          <t>Январь-июль</t>
        </is>
      </c>
      <c r="B20" s="164" t="n">
        <v>90213</v>
      </c>
      <c r="C20" s="165" t="n"/>
      <c r="D20" s="165" t="n">
        <v>111.8</v>
      </c>
      <c r="E20" s="80" t="n"/>
      <c r="F20" s="80" t="n">
        <v>102.9</v>
      </c>
    </row>
    <row r="21">
      <c r="A21" s="168" t="inlineStr">
        <is>
          <t>2024 г.</t>
        </is>
      </c>
      <c r="B21" s="163" t="n"/>
      <c r="C21" s="163" t="n"/>
      <c r="D21" s="163" t="n"/>
      <c r="E21" s="125" t="n"/>
      <c r="F21" s="125" t="n"/>
    </row>
    <row r="22">
      <c r="A22" s="101" t="inlineStr">
        <is>
          <t>Январь</t>
        </is>
      </c>
      <c r="B22" s="164" t="n">
        <v>70132</v>
      </c>
      <c r="C22" s="165" t="n">
        <v>74.90000000000001</v>
      </c>
      <c r="D22" s="165" t="n">
        <v>116.1</v>
      </c>
      <c r="E22" s="80" t="n">
        <v>74.2</v>
      </c>
      <c r="F22" s="80" t="n">
        <v>110.1</v>
      </c>
    </row>
    <row r="23">
      <c r="A23" s="523" t="inlineStr">
        <is>
          <t>Февраль</t>
        </is>
      </c>
      <c r="B23" s="164" t="n">
        <v>77525</v>
      </c>
      <c r="C23" s="165" t="n">
        <v>109.8</v>
      </c>
      <c r="D23" s="165" t="n">
        <v>117.4</v>
      </c>
      <c r="E23" s="80" t="n">
        <v>109.1</v>
      </c>
      <c r="F23" s="80" t="n">
        <v>110.7</v>
      </c>
    </row>
    <row r="24">
      <c r="A24" s="101" t="inlineStr">
        <is>
          <t>Март</t>
        </is>
      </c>
      <c r="B24" s="164" t="n">
        <v>83402</v>
      </c>
      <c r="C24" s="165" t="n">
        <v>107.6</v>
      </c>
      <c r="D24" s="165" t="n">
        <v>125.5</v>
      </c>
      <c r="E24" s="80" t="n">
        <v>107.2</v>
      </c>
      <c r="F24" s="80" t="n">
        <v>117.9</v>
      </c>
    </row>
    <row r="25">
      <c r="A25" s="136" t="inlineStr">
        <is>
          <t>I квартал</t>
        </is>
      </c>
      <c r="B25" s="164" t="n">
        <v>77175</v>
      </c>
      <c r="C25" s="165" t="n">
        <v>99.5</v>
      </c>
      <c r="D25" s="165" t="n">
        <v>120</v>
      </c>
      <c r="E25" s="80" t="n">
        <v>96.7</v>
      </c>
      <c r="F25" s="80" t="n">
        <v>113.2</v>
      </c>
    </row>
    <row r="26">
      <c r="A26" s="567" t="inlineStr">
        <is>
          <t>Апрель</t>
        </is>
      </c>
      <c r="B26" s="164" t="n">
        <v>77522</v>
      </c>
      <c r="C26" s="165" t="n">
        <v>92.3</v>
      </c>
      <c r="D26" s="165" t="n">
        <v>116.1</v>
      </c>
      <c r="E26" s="80" t="n">
        <v>91.5</v>
      </c>
      <c r="F26" s="80" t="n">
        <v>108.2</v>
      </c>
    </row>
    <row r="27">
      <c r="A27" s="101" t="inlineStr">
        <is>
          <t>Май</t>
        </is>
      </c>
      <c r="B27" s="47" t="n">
        <v>82881</v>
      </c>
      <c r="C27" s="40" t="n">
        <v>106.9</v>
      </c>
      <c r="D27" s="40" t="n">
        <v>114.3</v>
      </c>
      <c r="E27" s="40" t="n">
        <v>107.4</v>
      </c>
      <c r="F27" s="40" t="n">
        <v>107</v>
      </c>
    </row>
    <row r="28">
      <c r="A28" s="567" t="inlineStr">
        <is>
          <t>Июнь</t>
        </is>
      </c>
      <c r="B28" s="242" t="n">
        <v>83514</v>
      </c>
      <c r="C28" s="241" t="n">
        <v>101.2</v>
      </c>
      <c r="D28" s="241" t="n">
        <v>111.9</v>
      </c>
      <c r="E28" s="399" t="n">
        <v>101</v>
      </c>
      <c r="F28" s="399" t="n">
        <v>104.7</v>
      </c>
    </row>
    <row r="29">
      <c r="A29" s="67" t="inlineStr">
        <is>
          <t>II квартал</t>
        </is>
      </c>
      <c r="B29" s="242" t="n">
        <v>81188</v>
      </c>
      <c r="C29" s="241" t="n">
        <v>105</v>
      </c>
      <c r="D29" s="241" t="n">
        <v>113.9</v>
      </c>
      <c r="E29" s="399" t="n">
        <v>103.9</v>
      </c>
      <c r="F29" s="399" t="n">
        <v>106.4</v>
      </c>
    </row>
    <row r="30">
      <c r="A30" s="67" t="inlineStr">
        <is>
          <t>Январь-июнь</t>
        </is>
      </c>
      <c r="B30" s="242" t="n">
        <v>79271</v>
      </c>
      <c r="C30" s="241" t="n"/>
      <c r="D30" s="241" t="n">
        <v>116.9</v>
      </c>
      <c r="E30" s="399" t="n"/>
      <c r="F30" s="399" t="n">
        <v>109.8</v>
      </c>
    </row>
    <row r="31">
      <c r="A31" s="567" t="inlineStr">
        <is>
          <t>Июль</t>
        </is>
      </c>
      <c r="B31" s="242" t="n">
        <v>81555</v>
      </c>
      <c r="C31" s="241" t="n">
        <v>96.8</v>
      </c>
      <c r="D31" s="241" t="n">
        <v>108.9</v>
      </c>
      <c r="E31" s="399" t="n">
        <v>95.8</v>
      </c>
      <c r="F31" s="399" t="n">
        <v>101.3</v>
      </c>
    </row>
    <row r="32">
      <c r="A32" s="379" t="inlineStr">
        <is>
          <t>Август</t>
        </is>
      </c>
      <c r="B32" s="242" t="n">
        <v>79472</v>
      </c>
      <c r="C32" s="241" t="n">
        <v>97.7</v>
      </c>
      <c r="D32" s="241" t="n">
        <v>115.7</v>
      </c>
      <c r="E32" s="399" t="n">
        <v>97.59999999999999</v>
      </c>
      <c r="F32" s="399" t="n">
        <v>107.2</v>
      </c>
    </row>
    <row r="33">
      <c r="A33" s="567" t="inlineStr">
        <is>
          <t>Сентябрь</t>
        </is>
      </c>
      <c r="B33" s="242" t="n">
        <v>83012</v>
      </c>
      <c r="C33" s="241" t="n">
        <v>104.4</v>
      </c>
      <c r="D33" s="241" t="n">
        <v>121.3</v>
      </c>
      <c r="E33" s="399" t="n">
        <v>103.9</v>
      </c>
      <c r="F33" s="399" t="n">
        <v>112.3</v>
      </c>
    </row>
    <row r="34">
      <c r="A34" s="67" t="inlineStr">
        <is>
          <t>III квартал</t>
        </is>
      </c>
      <c r="B34" s="242" t="n">
        <v>81272</v>
      </c>
      <c r="C34" s="241" t="n">
        <v>99.8</v>
      </c>
      <c r="D34" s="241" t="n">
        <v>115</v>
      </c>
      <c r="E34" s="399" t="n">
        <v>98.59999999999999</v>
      </c>
      <c r="F34" s="399" t="n">
        <v>106.6</v>
      </c>
    </row>
    <row r="35">
      <c r="A35" s="67" t="inlineStr">
        <is>
          <t>Январь-сентябрь</t>
        </is>
      </c>
      <c r="B35" s="242" t="n">
        <v>80020</v>
      </c>
      <c r="C35" s="241" t="n"/>
      <c r="D35" s="241" t="n">
        <v>116.4</v>
      </c>
      <c r="E35" s="399" t="n"/>
      <c r="F35" s="399" t="n">
        <v>108.8</v>
      </c>
    </row>
    <row r="36">
      <c r="A36" s="101" t="inlineStr">
        <is>
          <t>Октябрь</t>
        </is>
      </c>
      <c r="B36" s="242" t="n">
        <v>82231</v>
      </c>
      <c r="C36" s="241" t="n">
        <v>98.5</v>
      </c>
      <c r="D36" s="241" t="n">
        <v>114.5</v>
      </c>
      <c r="E36" s="399" t="n">
        <v>97.59999999999999</v>
      </c>
      <c r="F36" s="399" t="n">
        <v>105.8</v>
      </c>
    </row>
    <row r="37">
      <c r="A37" s="567" t="inlineStr">
        <is>
          <t>Ноябрь</t>
        </is>
      </c>
      <c r="B37" s="47" t="n">
        <v>78316</v>
      </c>
      <c r="C37" s="40" t="n">
        <v>95.09999999999999</v>
      </c>
      <c r="D37" s="40" t="n">
        <v>113.4</v>
      </c>
      <c r="E37" s="40" t="n">
        <v>93.90000000000001</v>
      </c>
      <c r="F37" s="40" t="n">
        <v>105.2</v>
      </c>
    </row>
    <row r="38">
      <c r="A38" s="567" t="inlineStr">
        <is>
          <t>Декабрь</t>
        </is>
      </c>
      <c r="B38" s="185" t="n">
        <v>119673</v>
      </c>
      <c r="C38" s="186" t="n">
        <v>153</v>
      </c>
      <c r="D38" s="187" t="n">
        <v>126.9</v>
      </c>
      <c r="E38" s="332" t="n">
        <v>151.3</v>
      </c>
      <c r="F38" s="188" t="n">
        <v>117.8</v>
      </c>
    </row>
    <row r="39">
      <c r="A39" s="81" t="inlineStr">
        <is>
          <t>IV квартал</t>
        </is>
      </c>
      <c r="B39" s="185" t="n">
        <v>93433</v>
      </c>
      <c r="C39" s="186" t="n">
        <v>114.7</v>
      </c>
      <c r="D39" s="187" t="n">
        <v>119.2</v>
      </c>
      <c r="E39" s="333" t="n">
        <v>111.9</v>
      </c>
      <c r="F39" s="188" t="n">
        <v>110.5</v>
      </c>
    </row>
    <row r="40">
      <c r="A40" s="217" t="inlineStr">
        <is>
          <t>Январь-декабрь</t>
        </is>
      </c>
      <c r="B40" s="218" t="n">
        <v>83417</v>
      </c>
      <c r="C40" s="219" t="n"/>
      <c r="D40" s="220" t="n">
        <v>117.2</v>
      </c>
      <c r="E40" s="334" t="n"/>
      <c r="F40" s="221" t="n">
        <v>109.3</v>
      </c>
    </row>
  </sheetData>
  <mergeCells count="7">
    <mergeCell ref="C7:D7"/>
    <mergeCell ref="E7:F7"/>
    <mergeCell ref="A1:F1"/>
    <mergeCell ref="A5:F5"/>
    <mergeCell ref="A7:A8"/>
    <mergeCell ref="B7:B8"/>
    <mergeCell ref="A3:F3"/>
  </mergeCells>
  <pageMargins left="0.7" right="0.7" top="0.75" bottom="0.75" header="0.3" footer="0.3"/>
  <pageSetup orientation="portrait" paperSize="9" scale="97" fitToHeight="0" verticalDpi="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41.xml><?xml version="1.0" encoding="utf-8"?>
<worksheet xmlns="http://schemas.openxmlformats.org/spreadsheetml/2006/main">
  <sheetPr>
    <outlinePr summaryBelow="1" summaryRight="1"/>
    <pageSetUpPr fitToPage="1"/>
  </sheetPr>
  <dimension ref="A1:G58"/>
  <sheetViews>
    <sheetView zoomScale="80" zoomScaleNormal="80" zoomScalePageLayoutView="80" workbookViewId="0">
      <selection activeCell="D6" sqref="D6"/>
    </sheetView>
  </sheetViews>
  <sheetFormatPr baseColWidth="8" defaultRowHeight="13.2"/>
  <cols>
    <col width="36" customWidth="1" style="216" min="1" max="1"/>
    <col width="13" customWidth="1" style="339" min="2" max="2"/>
    <col width="13" customWidth="1" style="216" min="3" max="6"/>
    <col width="14.6640625" customWidth="1" style="216" min="7" max="7"/>
  </cols>
  <sheetData>
    <row r="1" ht="35.4" customHeight="1" s="216">
      <c r="A1" s="705" t="inlineStr">
        <is>
          <t>Среднемесячная номинальная начисленная заработная плата (без выплат социального характера) одного работника по видам экономической деятельности</t>
        </is>
      </c>
    </row>
    <row r="2" ht="13.8" customHeight="1" s="216">
      <c r="A2" s="110" t="n"/>
    </row>
    <row r="3" ht="13.2" customHeight="1" s="216">
      <c r="A3" s="145" t="n"/>
      <c r="B3" s="672" t="inlineStr">
        <is>
          <t>Июль 2025 г.</t>
        </is>
      </c>
      <c r="C3" s="764" t="n"/>
      <c r="D3" s="755" t="n"/>
      <c r="E3" s="672" t="inlineStr">
        <is>
          <t>Январь-июль 2025 г.</t>
        </is>
      </c>
      <c r="F3" s="764" t="n"/>
      <c r="G3" s="755" t="n"/>
    </row>
    <row r="4">
      <c r="A4" s="522" t="n"/>
      <c r="B4" s="673" t="inlineStr">
        <is>
          <t>рублей</t>
        </is>
      </c>
      <c r="C4" s="673" t="inlineStr">
        <is>
          <t xml:space="preserve">в % к </t>
        </is>
      </c>
      <c r="D4" s="755" t="n"/>
      <c r="E4" s="673" t="inlineStr">
        <is>
          <t>рублей</t>
        </is>
      </c>
      <c r="F4" s="673" t="inlineStr">
        <is>
          <t xml:space="preserve">в % к </t>
        </is>
      </c>
      <c r="G4" s="755" t="n"/>
    </row>
    <row r="5" ht="79.2" customHeight="1" s="216">
      <c r="A5" s="758" t="n"/>
      <c r="B5" s="758" t="n"/>
      <c r="C5" s="730" t="inlineStr">
        <is>
          <t>предыдущему месяцу</t>
        </is>
      </c>
      <c r="D5" s="739" t="inlineStr">
        <is>
          <t>соответ-ствующему месяцу предыдущего года</t>
        </is>
      </c>
      <c r="E5" s="758" t="n"/>
      <c r="F5" s="730" t="inlineStr">
        <is>
          <t>соответ-ствующему периоду предыдущего года</t>
        </is>
      </c>
      <c r="G5" s="739" t="inlineStr">
        <is>
          <t>средне-региональному уровню среднемесячной заработной платы</t>
        </is>
      </c>
    </row>
    <row r="6">
      <c r="A6" s="142" t="inlineStr">
        <is>
          <t>Всего</t>
        </is>
      </c>
      <c r="B6" s="533" t="n">
        <v>93419</v>
      </c>
      <c r="C6" s="534" t="n">
        <v>96.5</v>
      </c>
      <c r="D6" s="626" t="n">
        <v>113.2</v>
      </c>
      <c r="E6" s="627" t="n">
        <v>90213</v>
      </c>
      <c r="F6" s="540" t="n">
        <v>111.8</v>
      </c>
      <c r="G6" s="534" t="n">
        <v>100</v>
      </c>
    </row>
    <row r="7" ht="26.4" customHeight="1" s="216">
      <c r="A7" s="166" t="inlineStr">
        <is>
          <t>в том числе по видам экономической деятельности:</t>
        </is>
      </c>
      <c r="B7" s="598" t="n"/>
      <c r="C7" s="576" t="n"/>
      <c r="D7" s="628" t="n"/>
      <c r="E7" s="629" t="n"/>
      <c r="F7" s="575" t="n"/>
      <c r="G7" s="576" t="n"/>
    </row>
    <row r="8" ht="26.4" customHeight="1" s="216">
      <c r="A8" s="199" t="inlineStr">
        <is>
          <t>сельское, лесное хозяйство, охота, рыболовство и рыбоводство</t>
        </is>
      </c>
      <c r="B8" s="598" t="n">
        <v>68840</v>
      </c>
      <c r="C8" s="576" t="n">
        <v>99.3</v>
      </c>
      <c r="D8" s="628" t="n">
        <v>117.3</v>
      </c>
      <c r="E8" s="629" t="n">
        <v>62120</v>
      </c>
      <c r="F8" s="575" t="n">
        <v>123</v>
      </c>
      <c r="G8" s="576" t="n">
        <v>68.90000000000001</v>
      </c>
    </row>
    <row r="9" ht="52.8" customHeight="1" s="216">
      <c r="A9" s="46" t="inlineStr">
        <is>
          <t>растениеводство и животноводство, охота и предоставление соответствующих услуг в этих областях</t>
        </is>
      </c>
      <c r="B9" s="598" t="n">
        <v>66241</v>
      </c>
      <c r="C9" s="576" t="n">
        <v>95.7</v>
      </c>
      <c r="D9" s="628" t="n">
        <v>116.5</v>
      </c>
      <c r="E9" s="629" t="n">
        <v>62615</v>
      </c>
      <c r="F9" s="575" t="n">
        <v>123.1</v>
      </c>
      <c r="G9" s="576" t="n">
        <v>69.40000000000001</v>
      </c>
    </row>
    <row r="10">
      <c r="A10" s="166" t="inlineStr">
        <is>
          <t>лесоводство и лесозаготовки</t>
        </is>
      </c>
      <c r="B10" s="598" t="n">
        <v>85991</v>
      </c>
      <c r="C10" s="576" t="n">
        <v>120.3</v>
      </c>
      <c r="D10" s="628" t="n">
        <v>123.6</v>
      </c>
      <c r="E10" s="629" t="n">
        <v>58811</v>
      </c>
      <c r="F10" s="575" t="n">
        <v>124.2</v>
      </c>
      <c r="G10" s="576" t="n">
        <v>65.2</v>
      </c>
    </row>
    <row r="11">
      <c r="A11" s="166" t="inlineStr">
        <is>
          <t>рыболовство и рыбоводство</t>
        </is>
      </c>
      <c r="B11" s="598" t="n">
        <v>64069</v>
      </c>
      <c r="C11" s="576" t="n">
        <v>109.1</v>
      </c>
      <c r="D11" s="628" t="n">
        <v>97.09999999999999</v>
      </c>
      <c r="E11" s="629" t="n">
        <v>63408</v>
      </c>
      <c r="F11" s="575" t="n">
        <v>111.7</v>
      </c>
      <c r="G11" s="576" t="n">
        <v>70.3</v>
      </c>
    </row>
    <row r="12">
      <c r="A12" s="78" t="inlineStr">
        <is>
          <t>добыча полезных ископаемых</t>
        </is>
      </c>
      <c r="B12" s="598" t="n">
        <v>188012</v>
      </c>
      <c r="C12" s="576" t="n">
        <v>101.1</v>
      </c>
      <c r="D12" s="628" t="n">
        <v>103.7</v>
      </c>
      <c r="E12" s="629" t="n">
        <v>198224</v>
      </c>
      <c r="F12" s="575" t="n">
        <v>98</v>
      </c>
      <c r="G12" s="576" t="inlineStr">
        <is>
          <t>2,2р</t>
        </is>
      </c>
    </row>
    <row r="13">
      <c r="A13" s="65" t="inlineStr">
        <is>
          <t>добыча нефти и природного газа</t>
        </is>
      </c>
      <c r="B13" s="598" t="n">
        <v>201682</v>
      </c>
      <c r="C13" s="576" t="n">
        <v>99.7</v>
      </c>
      <c r="D13" s="628" t="n">
        <v>105.9</v>
      </c>
      <c r="E13" s="629" t="n">
        <v>213312</v>
      </c>
      <c r="F13" s="575" t="n">
        <v>96.09999999999999</v>
      </c>
      <c r="G13" s="576" t="inlineStr">
        <is>
          <t>2,4р</t>
        </is>
      </c>
    </row>
    <row r="14" ht="26.4" customHeight="1" s="216">
      <c r="A14" s="65" t="inlineStr">
        <is>
          <t>предоставление услуг в области добычи полезных ископаемых</t>
        </is>
      </c>
      <c r="B14" s="598" t="n">
        <v>183222</v>
      </c>
      <c r="C14" s="576" t="n">
        <v>103.2</v>
      </c>
      <c r="D14" s="628" t="n">
        <v>102.9</v>
      </c>
      <c r="E14" s="629" t="n">
        <v>191502</v>
      </c>
      <c r="F14" s="575" t="n">
        <v>101.3</v>
      </c>
      <c r="G14" s="576" t="inlineStr">
        <is>
          <t>2,1р</t>
        </is>
      </c>
    </row>
    <row r="15">
      <c r="A15" s="78" t="inlineStr">
        <is>
          <t>обрабатывающие производства</t>
        </is>
      </c>
      <c r="B15" s="598" t="n">
        <v>115631</v>
      </c>
      <c r="C15" s="576" t="n">
        <v>119</v>
      </c>
      <c r="D15" s="628" t="n">
        <v>117.1</v>
      </c>
      <c r="E15" s="629" t="n">
        <v>101179</v>
      </c>
      <c r="F15" s="575" t="n">
        <v>113</v>
      </c>
      <c r="G15" s="576" t="n">
        <v>112.2</v>
      </c>
    </row>
    <row r="16">
      <c r="A16" s="166" t="inlineStr">
        <is>
          <t>производство пищевых продуктов</t>
        </is>
      </c>
      <c r="B16" s="598" t="n">
        <v>63828</v>
      </c>
      <c r="C16" s="576" t="n">
        <v>99.8</v>
      </c>
      <c r="D16" s="628" t="n">
        <v>122.9</v>
      </c>
      <c r="E16" s="629" t="n">
        <v>61502</v>
      </c>
      <c r="F16" s="575" t="n">
        <v>123.6</v>
      </c>
      <c r="G16" s="576" t="n">
        <v>68.2</v>
      </c>
    </row>
    <row r="17">
      <c r="A17" s="166" t="inlineStr">
        <is>
          <t>производство напитков</t>
        </is>
      </c>
      <c r="B17" s="598" t="n">
        <v>68074</v>
      </c>
      <c r="C17" s="576" t="n">
        <v>91.90000000000001</v>
      </c>
      <c r="D17" s="628" t="n">
        <v>120.7</v>
      </c>
      <c r="E17" s="629" t="n">
        <v>66251</v>
      </c>
      <c r="F17" s="575" t="n">
        <v>123.6</v>
      </c>
      <c r="G17" s="576" t="n">
        <v>73.40000000000001</v>
      </c>
    </row>
    <row r="18">
      <c r="A18" s="166" t="inlineStr">
        <is>
          <t>производство текстильных изделий</t>
        </is>
      </c>
      <c r="B18" s="598" t="n">
        <v>19310</v>
      </c>
      <c r="C18" s="576" t="n">
        <v>99.7</v>
      </c>
      <c r="D18" s="628" t="n">
        <v>97</v>
      </c>
      <c r="E18" s="629" t="n">
        <v>18065</v>
      </c>
      <c r="F18" s="575" t="n">
        <v>81</v>
      </c>
      <c r="G18" s="576" t="n">
        <v>20</v>
      </c>
    </row>
    <row r="19" ht="66" customHeight="1" s="216">
      <c r="A19" s="195" t="inlineStr">
        <is>
          <t>обработка древесины и производство изделий из дерева и пробки, кроме мебели, производство изделий из соломки и материалов для плетения</t>
        </is>
      </c>
      <c r="B19" s="598" t="n">
        <v>42397</v>
      </c>
      <c r="C19" s="576" t="n">
        <v>106</v>
      </c>
      <c r="D19" s="628" t="n">
        <v>94.90000000000001</v>
      </c>
      <c r="E19" s="629" t="n">
        <v>50193</v>
      </c>
      <c r="F19" s="575" t="n">
        <v>112.5</v>
      </c>
      <c r="G19" s="576" t="n">
        <v>55.6</v>
      </c>
    </row>
    <row r="20" ht="26.4" customHeight="1" s="216">
      <c r="A20" s="166" t="inlineStr">
        <is>
          <t>производство бумаги и бумажных изделий</t>
        </is>
      </c>
      <c r="B20" s="598" t="n">
        <v>91669</v>
      </c>
      <c r="C20" s="576" t="n">
        <v>95.2</v>
      </c>
      <c r="D20" s="628" t="n">
        <v>119.7</v>
      </c>
      <c r="E20" s="629" t="n">
        <v>93403</v>
      </c>
      <c r="F20" s="575" t="n">
        <v>115.2</v>
      </c>
      <c r="G20" s="576" t="n">
        <v>103.5</v>
      </c>
    </row>
    <row r="21" ht="24.6" customHeight="1" s="216">
      <c r="A21" s="166" t="inlineStr">
        <is>
          <t>деятельность полиграфическая и копирование носителей информации</t>
        </is>
      </c>
      <c r="B21" s="598" t="n">
        <v>39528</v>
      </c>
      <c r="C21" s="576" t="n">
        <v>105.1</v>
      </c>
      <c r="D21" s="628" t="n">
        <v>109.4</v>
      </c>
      <c r="E21" s="629" t="n">
        <v>36061</v>
      </c>
      <c r="F21" s="575" t="n">
        <v>111</v>
      </c>
      <c r="G21" s="576" t="n">
        <v>40</v>
      </c>
    </row>
    <row r="22" ht="26.4" customHeight="1" s="216">
      <c r="A22" s="166" t="inlineStr">
        <is>
          <t>производство кокса и нефтепродуктов</t>
        </is>
      </c>
      <c r="B22" s="598" t="n">
        <v>133370</v>
      </c>
      <c r="C22" s="576" t="n">
        <v>97.59999999999999</v>
      </c>
      <c r="D22" s="628" t="n">
        <v>123.8</v>
      </c>
      <c r="E22" s="629" t="n">
        <v>129408</v>
      </c>
      <c r="F22" s="575" t="n">
        <v>116.5</v>
      </c>
      <c r="G22" s="576" t="n">
        <v>143.4</v>
      </c>
    </row>
    <row r="23" ht="26.4" customHeight="1" s="216">
      <c r="A23" s="166" t="inlineStr">
        <is>
          <t>производство химических веществ и химических продуктов</t>
        </is>
      </c>
      <c r="B23" s="598" t="n">
        <v>353959</v>
      </c>
      <c r="C23" s="576" t="n">
        <v>182.9</v>
      </c>
      <c r="D23" s="628" t="n">
        <v>138.7</v>
      </c>
      <c r="E23" s="629" t="n">
        <v>221075</v>
      </c>
      <c r="F23" s="575" t="n">
        <v>116</v>
      </c>
      <c r="G23" s="576" t="inlineStr">
        <is>
          <t>2,5р</t>
        </is>
      </c>
    </row>
    <row r="24" ht="42.6" customHeight="1" s="216">
      <c r="A24" s="166" t="inlineStr">
        <is>
          <t>производство лекарственных средств и материалов, применяемых в медицинских целях и ветеринарии</t>
        </is>
      </c>
      <c r="B24" s="598" t="n">
        <v>77337</v>
      </c>
      <c r="C24" s="576" t="n">
        <v>112.3</v>
      </c>
      <c r="D24" s="628" t="n">
        <v>103.1</v>
      </c>
      <c r="E24" s="629" t="n">
        <v>71289</v>
      </c>
      <c r="F24" s="575" t="n">
        <v>112.3</v>
      </c>
      <c r="G24" s="576" t="n">
        <v>79</v>
      </c>
    </row>
    <row r="25" ht="26.4" customFormat="1" customHeight="1" s="184">
      <c r="A25" s="195" t="inlineStr">
        <is>
          <t>производство резиновых и пластмассовых изделий</t>
        </is>
      </c>
      <c r="B25" s="598" t="n">
        <v>81925</v>
      </c>
      <c r="C25" s="586" t="n">
        <v>106.3</v>
      </c>
      <c r="D25" s="590" t="n">
        <v>131</v>
      </c>
      <c r="E25" s="630" t="n">
        <v>77636</v>
      </c>
      <c r="F25" s="542" t="n">
        <v>128.2</v>
      </c>
      <c r="G25" s="576" t="n">
        <v>86.09999999999999</v>
      </c>
    </row>
    <row r="26" ht="39.6" customHeight="1" s="216">
      <c r="A26" s="166" t="inlineStr">
        <is>
          <t>производство прочей неметаллической минеральной продукции</t>
        </is>
      </c>
      <c r="B26" s="598" t="n">
        <v>95443</v>
      </c>
      <c r="C26" s="576" t="n">
        <v>108.7</v>
      </c>
      <c r="D26" s="628" t="n">
        <v>117.2</v>
      </c>
      <c r="E26" s="629" t="n">
        <v>85516</v>
      </c>
      <c r="F26" s="575" t="n">
        <v>116.2</v>
      </c>
      <c r="G26" s="586" t="n">
        <v>94.8</v>
      </c>
    </row>
    <row r="27">
      <c r="A27" s="166" t="inlineStr">
        <is>
          <t xml:space="preserve">производство металлургическое </t>
        </is>
      </c>
      <c r="B27" s="598" t="n">
        <v>136170</v>
      </c>
      <c r="C27" s="576" t="n">
        <v>113.2</v>
      </c>
      <c r="D27" s="628" t="n">
        <v>76.09999999999999</v>
      </c>
      <c r="E27" s="629" t="n">
        <v>115902</v>
      </c>
      <c r="F27" s="575" t="n">
        <v>110.2</v>
      </c>
      <c r="G27" s="576" t="n">
        <v>128.5</v>
      </c>
    </row>
    <row r="28" ht="39.6" customHeight="1" s="216">
      <c r="A28" s="166" t="inlineStr">
        <is>
          <t>производство готовых металлических изделий, кроме машин и оборудования</t>
        </is>
      </c>
      <c r="B28" s="598" t="n">
        <v>80062</v>
      </c>
      <c r="C28" s="576" t="n">
        <v>102.8</v>
      </c>
      <c r="D28" s="628" t="n">
        <v>101.2</v>
      </c>
      <c r="E28" s="629" t="n">
        <v>81245</v>
      </c>
      <c r="F28" s="575" t="n">
        <v>103.4</v>
      </c>
      <c r="G28" s="576" t="n">
        <v>90.09999999999999</v>
      </c>
    </row>
    <row r="29" ht="26.4" customHeight="1" s="216">
      <c r="A29" s="166" t="inlineStr">
        <is>
          <t>производство компьютеров, электронных и оптических изделий</t>
        </is>
      </c>
      <c r="B29" s="598" t="n">
        <v>120529</v>
      </c>
      <c r="C29" s="576" t="n">
        <v>118.9</v>
      </c>
      <c r="D29" s="628" t="n">
        <v>120.2</v>
      </c>
      <c r="E29" s="629" t="n">
        <v>107475</v>
      </c>
      <c r="F29" s="575" t="n">
        <v>115.3</v>
      </c>
      <c r="G29" s="576" t="n">
        <v>119.1</v>
      </c>
    </row>
    <row r="30" ht="26.4" customHeight="1" s="216">
      <c r="A30" s="166" t="inlineStr">
        <is>
          <t>производство электрического оборудования</t>
        </is>
      </c>
      <c r="B30" s="598" t="n">
        <v>114726</v>
      </c>
      <c r="C30" s="576" t="n">
        <v>105.6</v>
      </c>
      <c r="D30" s="628" t="n">
        <v>108.6</v>
      </c>
      <c r="E30" s="629" t="n">
        <v>105511</v>
      </c>
      <c r="F30" s="575" t="n">
        <v>102</v>
      </c>
      <c r="G30" s="576" t="n">
        <v>117</v>
      </c>
    </row>
    <row r="31" ht="39.6" customHeight="1" s="216">
      <c r="A31" s="166" t="inlineStr">
        <is>
          <t>производство машин и оборудования, не включенных в другие группировки</t>
        </is>
      </c>
      <c r="B31" s="598" t="n">
        <v>157672</v>
      </c>
      <c r="C31" s="576" t="n">
        <v>106.5</v>
      </c>
      <c r="D31" s="628" t="n">
        <v>111.4</v>
      </c>
      <c r="E31" s="629" t="n">
        <v>166127</v>
      </c>
      <c r="F31" s="575" t="n">
        <v>103</v>
      </c>
      <c r="G31" s="576" t="n">
        <v>184.1</v>
      </c>
    </row>
    <row r="32" ht="26.4" customHeight="1" s="216">
      <c r="A32" s="166" t="inlineStr">
        <is>
          <t>производство автотранспортных средств, прицепов и полуприцепов</t>
        </is>
      </c>
      <c r="B32" s="598" t="n">
        <v>53945</v>
      </c>
      <c r="C32" s="576" t="n">
        <v>88</v>
      </c>
      <c r="D32" s="628" t="n">
        <v>86.90000000000001</v>
      </c>
      <c r="E32" s="629" t="n">
        <v>67037</v>
      </c>
      <c r="F32" s="575" t="n">
        <v>115.3</v>
      </c>
      <c r="G32" s="576" t="n">
        <v>74.3</v>
      </c>
    </row>
    <row r="33" ht="26.4" customHeight="1" s="216">
      <c r="A33" s="166" t="inlineStr">
        <is>
          <t>производство прочих транспортных средств и оборудования</t>
        </is>
      </c>
      <c r="B33" s="598" t="n">
        <v>78904</v>
      </c>
      <c r="C33" s="576" t="n">
        <v>116.3</v>
      </c>
      <c r="D33" s="628" t="n">
        <v>108.9</v>
      </c>
      <c r="E33" s="629" t="n">
        <v>65526</v>
      </c>
      <c r="F33" s="575" t="n">
        <v>113.4</v>
      </c>
      <c r="G33" s="576" t="n">
        <v>72.59999999999999</v>
      </c>
    </row>
    <row r="34">
      <c r="A34" s="166" t="inlineStr">
        <is>
          <t>производство мебели</t>
        </is>
      </c>
      <c r="B34" s="598" t="n">
        <v>27607</v>
      </c>
      <c r="C34" s="576" t="n">
        <v>107.7</v>
      </c>
      <c r="D34" s="628" t="n">
        <v>92.8</v>
      </c>
      <c r="E34" s="629" t="n">
        <v>27973</v>
      </c>
      <c r="F34" s="575" t="n">
        <v>114.5</v>
      </c>
      <c r="G34" s="576" t="n">
        <v>31</v>
      </c>
    </row>
    <row r="35" ht="26.4" customHeight="1" s="216">
      <c r="A35" s="166" t="inlineStr">
        <is>
          <t>ремонт и монтаж машин и оборудования</t>
        </is>
      </c>
      <c r="B35" s="598" t="n">
        <v>104904</v>
      </c>
      <c r="C35" s="576" t="n">
        <v>109.2</v>
      </c>
      <c r="D35" s="628" t="n">
        <v>114</v>
      </c>
      <c r="E35" s="629" t="n">
        <v>98264</v>
      </c>
      <c r="F35" s="575" t="n">
        <v>113.7</v>
      </c>
      <c r="G35" s="576" t="n">
        <v>108.9</v>
      </c>
    </row>
    <row r="36" ht="39.6" customHeight="1" s="216">
      <c r="A36" s="78" t="inlineStr">
        <is>
          <t>обеспечение электрической энергией, газом и паром; кондиционирование воздуха</t>
        </is>
      </c>
      <c r="B36" s="598" t="n">
        <v>107882</v>
      </c>
      <c r="C36" s="576" t="n">
        <v>94.3</v>
      </c>
      <c r="D36" s="628" t="n">
        <v>122</v>
      </c>
      <c r="E36" s="629" t="n">
        <v>97938</v>
      </c>
      <c r="F36" s="575" t="n">
        <v>118</v>
      </c>
      <c r="G36" s="576" t="n">
        <v>108.6</v>
      </c>
    </row>
    <row r="37" ht="52.8" customHeight="1" s="216">
      <c r="A37" s="78" t="inlineStr">
        <is>
          <t>водоснабжение; водоотведение, организация сбора и утилизации отходов, деятельность по ликвидации загрязнений</t>
        </is>
      </c>
      <c r="B37" s="598" t="n">
        <v>83807</v>
      </c>
      <c r="C37" s="576" t="n">
        <v>112.8</v>
      </c>
      <c r="D37" s="628" t="n">
        <v>119.7</v>
      </c>
      <c r="E37" s="629" t="n">
        <v>77616</v>
      </c>
      <c r="F37" s="575" t="n">
        <v>116.4</v>
      </c>
      <c r="G37" s="576" t="n">
        <v>86</v>
      </c>
    </row>
    <row r="38">
      <c r="A38" s="78" t="inlineStr">
        <is>
          <t>строительство</t>
        </is>
      </c>
      <c r="B38" s="598" t="n">
        <v>102003</v>
      </c>
      <c r="C38" s="576" t="n">
        <v>111.4</v>
      </c>
      <c r="D38" s="628" t="n">
        <v>116.5</v>
      </c>
      <c r="E38" s="629" t="n">
        <v>87907</v>
      </c>
      <c r="F38" s="575" t="n">
        <v>115.4</v>
      </c>
      <c r="G38" s="576" t="n">
        <v>97.40000000000001</v>
      </c>
    </row>
    <row r="39" ht="39.6" customHeight="1" s="216">
      <c r="A39" s="78" t="inlineStr">
        <is>
          <t>торговля оптовая и розничная; ремонт автотранспортных средств и мотоциклов</t>
        </is>
      </c>
      <c r="B39" s="598" t="n">
        <v>64920</v>
      </c>
      <c r="C39" s="576" t="n">
        <v>102.6</v>
      </c>
      <c r="D39" s="628" t="n">
        <v>114.4</v>
      </c>
      <c r="E39" s="629" t="n">
        <v>62871</v>
      </c>
      <c r="F39" s="575" t="n">
        <v>113.3</v>
      </c>
      <c r="G39" s="576" t="n">
        <v>69.7</v>
      </c>
    </row>
    <row r="40" ht="39.6" customHeight="1" s="216">
      <c r="A40" s="166" t="inlineStr">
        <is>
          <t>торговля оптовая, кроме оптовой торговли автотранспортными средствами и мотоциклами</t>
        </is>
      </c>
      <c r="B40" s="598" t="n">
        <v>67042</v>
      </c>
      <c r="C40" s="576" t="n">
        <v>106.2</v>
      </c>
      <c r="D40" s="628" t="n">
        <v>121.4</v>
      </c>
      <c r="E40" s="629" t="n">
        <v>62624</v>
      </c>
      <c r="F40" s="575" t="n">
        <v>115.8</v>
      </c>
      <c r="G40" s="576" t="n">
        <v>69.40000000000001</v>
      </c>
    </row>
    <row r="41" ht="39.6" customHeight="1" s="216">
      <c r="A41" s="166" t="inlineStr">
        <is>
          <t>торговля розничная, кроме торговли автотранспортными средствами и мотоциклами</t>
        </is>
      </c>
      <c r="B41" s="598" t="n">
        <v>61172</v>
      </c>
      <c r="C41" s="576" t="n">
        <v>99.7</v>
      </c>
      <c r="D41" s="628" t="n">
        <v>113.2</v>
      </c>
      <c r="E41" s="629" t="n">
        <v>60946</v>
      </c>
      <c r="F41" s="575" t="n">
        <v>114.2</v>
      </c>
      <c r="G41" s="576" t="n">
        <v>67.59999999999999</v>
      </c>
    </row>
    <row r="42">
      <c r="A42" s="78" t="inlineStr">
        <is>
          <t>транспортировка и хранение</t>
        </is>
      </c>
      <c r="B42" s="598" t="n">
        <v>108292</v>
      </c>
      <c r="C42" s="576" t="n">
        <v>106.4</v>
      </c>
      <c r="D42" s="628" t="n">
        <v>115.7</v>
      </c>
      <c r="E42" s="629" t="n">
        <v>104488</v>
      </c>
      <c r="F42" s="575" t="n">
        <v>118.1</v>
      </c>
      <c r="G42" s="576" t="n">
        <v>115.8</v>
      </c>
    </row>
    <row r="43" ht="26.4" customHeight="1" s="216">
      <c r="A43" s="166" t="inlineStr">
        <is>
          <t>деятельность сухопутного и трубопроводного транспорта</t>
        </is>
      </c>
      <c r="B43" s="598" t="n">
        <v>107067</v>
      </c>
      <c r="C43" s="576" t="n">
        <v>101.1</v>
      </c>
      <c r="D43" s="628" t="n">
        <v>119.2</v>
      </c>
      <c r="E43" s="629" t="n">
        <v>109702</v>
      </c>
      <c r="F43" s="575" t="n">
        <v>120.2</v>
      </c>
      <c r="G43" s="576" t="n">
        <v>121.6</v>
      </c>
    </row>
    <row r="44">
      <c r="A44" s="166" t="inlineStr">
        <is>
          <t>деятельность водного транспорта</t>
        </is>
      </c>
      <c r="B44" s="598" t="n">
        <v>111309</v>
      </c>
      <c r="C44" s="576" t="n">
        <v>124.2</v>
      </c>
      <c r="D44" s="628" t="n">
        <v>116.5</v>
      </c>
      <c r="E44" s="629" t="n">
        <v>69725</v>
      </c>
      <c r="F44" s="575" t="n">
        <v>119.6</v>
      </c>
      <c r="G44" s="576" t="n">
        <v>77.3</v>
      </c>
    </row>
    <row r="45" ht="26.4" customHeight="1" s="216">
      <c r="A45" s="166" t="inlineStr">
        <is>
          <t>деятельность воздушного и космического транспорта</t>
        </is>
      </c>
      <c r="B45" s="598" t="n">
        <v>182455</v>
      </c>
      <c r="C45" s="576" t="n">
        <v>118.8</v>
      </c>
      <c r="D45" s="628" t="n">
        <v>109.6</v>
      </c>
      <c r="E45" s="629" t="n">
        <v>174515</v>
      </c>
      <c r="F45" s="575" t="n">
        <v>113.3</v>
      </c>
      <c r="G45" s="576" t="n">
        <v>193.4</v>
      </c>
    </row>
    <row r="46" ht="39.6" customHeight="1" s="216">
      <c r="A46" s="166" t="inlineStr">
        <is>
          <t>складское хозяйство и вспомогательная транспортная деятельность</t>
        </is>
      </c>
      <c r="B46" s="598" t="n">
        <v>105566</v>
      </c>
      <c r="C46" s="576" t="n">
        <v>111.7</v>
      </c>
      <c r="D46" s="628" t="n">
        <v>109.5</v>
      </c>
      <c r="E46" s="629" t="n">
        <v>94193</v>
      </c>
      <c r="F46" s="575" t="n">
        <v>113.1</v>
      </c>
      <c r="G46" s="576" t="n">
        <v>104.4</v>
      </c>
    </row>
    <row r="47" ht="26.4" customHeight="1" s="216">
      <c r="A47" s="166" t="inlineStr">
        <is>
          <t>деятельность почтовой связи и курьерская деятельность</t>
        </is>
      </c>
      <c r="B47" s="598" t="n">
        <v>47177</v>
      </c>
      <c r="C47" s="576" t="n">
        <v>106.4</v>
      </c>
      <c r="D47" s="628" t="n">
        <v>106.7</v>
      </c>
      <c r="E47" s="629" t="n">
        <v>45210</v>
      </c>
      <c r="F47" s="575" t="n">
        <v>111.7</v>
      </c>
      <c r="G47" s="576" t="n">
        <v>50.1</v>
      </c>
    </row>
    <row r="48" ht="26.4" customHeight="1" s="216">
      <c r="A48" s="78" t="inlineStr">
        <is>
          <t>деятельность гостиниц и предприятий общественного питания</t>
        </is>
      </c>
      <c r="B48" s="598" t="n">
        <v>46794</v>
      </c>
      <c r="C48" s="576" t="n">
        <v>103.2</v>
      </c>
      <c r="D48" s="628" t="n">
        <v>117.2</v>
      </c>
      <c r="E48" s="629" t="n">
        <v>47298</v>
      </c>
      <c r="F48" s="575" t="n">
        <v>117.3</v>
      </c>
      <c r="G48" s="576" t="n">
        <v>52.4</v>
      </c>
    </row>
    <row r="49" ht="26.4" customHeight="1" s="216">
      <c r="A49" s="78" t="inlineStr">
        <is>
          <t>деятельность в области информации и связи</t>
        </is>
      </c>
      <c r="B49" s="598" t="n">
        <v>110151</v>
      </c>
      <c r="C49" s="576" t="n">
        <v>98</v>
      </c>
      <c r="D49" s="628" t="n">
        <v>114.3</v>
      </c>
      <c r="E49" s="629" t="n">
        <v>107316</v>
      </c>
      <c r="F49" s="575" t="n">
        <v>114.8</v>
      </c>
      <c r="G49" s="576" t="n">
        <v>119</v>
      </c>
    </row>
    <row r="50" ht="26.4" customHeight="1" s="216">
      <c r="A50" s="78" t="inlineStr">
        <is>
          <t>деятельность финансовая и страховая</t>
        </is>
      </c>
      <c r="B50" s="598" t="n">
        <v>127874</v>
      </c>
      <c r="C50" s="576" t="n">
        <v>113.6</v>
      </c>
      <c r="D50" s="628" t="n">
        <v>108.5</v>
      </c>
      <c r="E50" s="629" t="n">
        <v>118030</v>
      </c>
      <c r="F50" s="575" t="n">
        <v>109.2</v>
      </c>
      <c r="G50" s="576" t="n">
        <v>130.8</v>
      </c>
    </row>
    <row r="51" ht="26.4" customHeight="1" s="216">
      <c r="A51" s="78" t="inlineStr">
        <is>
          <t>деятельность по операциям с недвижимым имуществом</t>
        </is>
      </c>
      <c r="B51" s="598" t="n">
        <v>66732</v>
      </c>
      <c r="C51" s="576" t="n">
        <v>107.4</v>
      </c>
      <c r="D51" s="628" t="n">
        <v>115.8</v>
      </c>
      <c r="E51" s="629" t="n">
        <v>61285</v>
      </c>
      <c r="F51" s="575" t="n">
        <v>114.8</v>
      </c>
      <c r="G51" s="576" t="n">
        <v>67.90000000000001</v>
      </c>
    </row>
    <row r="52" ht="26.4" customHeight="1" s="216">
      <c r="A52" s="78" t="inlineStr">
        <is>
          <t>деятельность профессиональная, научная и техническая</t>
        </is>
      </c>
      <c r="B52" s="598" t="n">
        <v>147504</v>
      </c>
      <c r="C52" s="576" t="n">
        <v>95</v>
      </c>
      <c r="D52" s="628" t="n">
        <v>117.6</v>
      </c>
      <c r="E52" s="629" t="n">
        <v>138322</v>
      </c>
      <c r="F52" s="575" t="n">
        <v>102.1</v>
      </c>
      <c r="G52" s="576" t="n">
        <v>153.3</v>
      </c>
    </row>
    <row r="53" ht="20.4" customHeight="1" s="216">
      <c r="A53" s="166" t="inlineStr">
        <is>
          <t>научные исследования и разработки</t>
        </is>
      </c>
      <c r="B53" s="598" t="n">
        <v>165265</v>
      </c>
      <c r="C53" s="576" t="n">
        <v>91.59999999999999</v>
      </c>
      <c r="D53" s="628" t="n">
        <v>110.5</v>
      </c>
      <c r="E53" s="629" t="n">
        <v>158741</v>
      </c>
      <c r="F53" s="575" t="n">
        <v>94.2</v>
      </c>
      <c r="G53" s="576" t="n">
        <v>176</v>
      </c>
    </row>
    <row r="54" ht="39.6" customHeight="1" s="216">
      <c r="A54" s="78" t="inlineStr">
        <is>
          <t>деятельность административная и сопутствующие дополнительные услуги</t>
        </is>
      </c>
      <c r="B54" s="598" t="n">
        <v>55953</v>
      </c>
      <c r="C54" s="576" t="n">
        <v>99.8</v>
      </c>
      <c r="D54" s="628" t="n">
        <v>112.7</v>
      </c>
      <c r="E54" s="629" t="n">
        <v>54240</v>
      </c>
      <c r="F54" s="575" t="n">
        <v>118.3</v>
      </c>
      <c r="G54" s="576" t="n">
        <v>60.1</v>
      </c>
    </row>
    <row r="55" ht="39.6" customHeight="1" s="216">
      <c r="A55" s="78" t="inlineStr">
        <is>
          <t>государственное управление и обеспечение военной безопасности; социальное обеспечение</t>
        </is>
      </c>
      <c r="B55" s="598" t="n">
        <v>89828</v>
      </c>
      <c r="C55" s="576" t="n">
        <v>91.2</v>
      </c>
      <c r="D55" s="628" t="n">
        <v>115.3</v>
      </c>
      <c r="E55" s="629" t="n">
        <v>81066</v>
      </c>
      <c r="F55" s="575" t="n">
        <v>111</v>
      </c>
      <c r="G55" s="576" t="n">
        <v>89.90000000000001</v>
      </c>
    </row>
    <row r="56">
      <c r="A56" s="78" t="inlineStr">
        <is>
          <t>образование</t>
        </is>
      </c>
      <c r="B56" s="598" t="n">
        <v>57107</v>
      </c>
      <c r="C56" s="576" t="n">
        <v>52.4</v>
      </c>
      <c r="D56" s="628" t="n">
        <v>112.8</v>
      </c>
      <c r="E56" s="629" t="n">
        <v>74689</v>
      </c>
      <c r="F56" s="575" t="n">
        <v>116.4</v>
      </c>
      <c r="G56" s="576" t="n">
        <v>82.8</v>
      </c>
    </row>
    <row r="57" ht="26.4" customHeight="1" s="216">
      <c r="A57" s="78" t="inlineStr">
        <is>
          <t>деятельность в области здравоохранения и социальных услуг</t>
        </is>
      </c>
      <c r="B57" s="598" t="n">
        <v>84097</v>
      </c>
      <c r="C57" s="576" t="n">
        <v>96.90000000000001</v>
      </c>
      <c r="D57" s="628" t="n">
        <v>110.2</v>
      </c>
      <c r="E57" s="629" t="n">
        <v>82557</v>
      </c>
      <c r="F57" s="575" t="n">
        <v>115.6</v>
      </c>
      <c r="G57" s="576" t="n">
        <v>91.5</v>
      </c>
    </row>
    <row r="58" ht="39.6" customHeight="1" s="216">
      <c r="A58" s="79" t="inlineStr">
        <is>
          <t>деятельность в области культуры, спорта, организации досуга и развлечений</t>
        </is>
      </c>
      <c r="B58" s="539" t="n">
        <v>67174</v>
      </c>
      <c r="C58" s="488" t="n">
        <v>102.8</v>
      </c>
      <c r="D58" s="631" t="n">
        <v>121.8</v>
      </c>
      <c r="E58" s="632" t="n">
        <v>68970</v>
      </c>
      <c r="F58" s="603" t="n">
        <v>117.6</v>
      </c>
      <c r="G58" s="488" t="n">
        <v>76.5</v>
      </c>
    </row>
  </sheetData>
  <mergeCells count="8">
    <mergeCell ref="F4:G4"/>
    <mergeCell ref="B3:D3"/>
    <mergeCell ref="A1:G1"/>
    <mergeCell ref="B4:B5"/>
    <mergeCell ref="E4:E5"/>
    <mergeCell ref="A3:A5"/>
    <mergeCell ref="E3:G3"/>
    <mergeCell ref="C4:D4"/>
  </mergeCells>
  <pageMargins left="0.7" right="0.7" top="0.75" bottom="0.75" header="0.3" footer="0.3"/>
  <pageSetup orientation="portrait" paperSize="9" scale="77"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42.xml><?xml version="1.0" encoding="utf-8"?>
<worksheet xmlns="http://schemas.openxmlformats.org/spreadsheetml/2006/main">
  <sheetPr>
    <outlinePr summaryBelow="1" summaryRight="1"/>
    <pageSetUpPr fitToPage="1"/>
  </sheetPr>
  <dimension ref="A1:H31"/>
  <sheetViews>
    <sheetView zoomScale="80" zoomScaleNormal="80" zoomScalePageLayoutView="80" workbookViewId="0">
      <selection activeCell="D5" sqref="D5:E7"/>
    </sheetView>
  </sheetViews>
  <sheetFormatPr baseColWidth="8" defaultColWidth="9" defaultRowHeight="13.2"/>
  <cols>
    <col width="18.33203125" customWidth="1" style="216" min="1" max="1"/>
    <col width="16.33203125" customWidth="1" style="216" min="2" max="5"/>
    <col width="14.33203125" customWidth="1" style="216" min="6" max="7"/>
    <col width="16.33203125" customWidth="1" style="216" min="8" max="8"/>
  </cols>
  <sheetData>
    <row r="1" ht="30" customHeight="1" s="216">
      <c r="A1" s="705" t="inlineStr">
        <is>
          <t>Динамика просроченной задолженности по заработной плате организаций
 (без субъектов малого предпринимательства)</t>
        </is>
      </c>
    </row>
    <row r="2">
      <c r="A2" s="44" t="n"/>
    </row>
    <row r="3">
      <c r="A3" s="695" t="inlineStr">
        <is>
          <t>на начало месяца</t>
        </is>
      </c>
    </row>
    <row r="4" ht="14.4" customHeight="1" s="216">
      <c r="A4" s="144" t="n"/>
      <c r="B4" s="672" t="inlineStr">
        <is>
          <t>Просроченная задолженность по заработной плате</t>
        </is>
      </c>
      <c r="C4" s="760" t="n"/>
      <c r="D4" s="673" t="inlineStr">
        <is>
          <t>В том числе задолженность</t>
        </is>
      </c>
      <c r="E4" s="764" t="n"/>
      <c r="F4" s="764" t="n"/>
      <c r="G4" s="755" t="n"/>
      <c r="H4" s="672" t="inlineStr">
        <is>
          <t>Численность работников,   перед которыми имеется задолженность по заработной плате, тыс. человек</t>
        </is>
      </c>
    </row>
    <row r="5" ht="14.4" customHeight="1" s="216">
      <c r="A5" s="522" t="n"/>
      <c r="B5" s="761" t="n"/>
      <c r="C5" s="762" t="n"/>
      <c r="D5" s="672" t="inlineStr">
        <is>
          <t xml:space="preserve">из-за несвоевременного получения  денежных средств из бюджетов   всех уровней </t>
        </is>
      </c>
      <c r="E5" s="760" t="n"/>
      <c r="F5" s="672" t="inlineStr">
        <is>
          <t>из-за отсутствия               собственных                           средств</t>
        </is>
      </c>
      <c r="G5" s="760" t="n"/>
      <c r="H5" s="522" t="n"/>
    </row>
    <row r="6">
      <c r="A6" s="522" t="n"/>
      <c r="B6" s="673" t="inlineStr">
        <is>
          <t>млн рублей</t>
        </is>
      </c>
      <c r="C6" s="672" t="inlineStr">
        <is>
          <t>в % к предыдущему месяцу</t>
        </is>
      </c>
      <c r="D6" s="380" t="n"/>
      <c r="E6" s="768" t="n"/>
      <c r="F6" s="380" t="n"/>
      <c r="G6" s="768" t="n"/>
      <c r="H6" s="522" t="n"/>
    </row>
    <row r="7">
      <c r="A7" s="522" t="n"/>
      <c r="B7" s="522" t="n"/>
      <c r="C7" s="522" t="n"/>
      <c r="D7" s="761" t="n"/>
      <c r="E7" s="762" t="n"/>
      <c r="F7" s="761" t="n"/>
      <c r="G7" s="762" t="n"/>
      <c r="H7" s="522" t="n"/>
    </row>
    <row r="8" ht="49.2" customHeight="1" s="216">
      <c r="A8" s="758" t="n"/>
      <c r="B8" s="758" t="n"/>
      <c r="C8" s="758" t="n"/>
      <c r="D8" s="688" t="inlineStr">
        <is>
          <t>млн рублей</t>
        </is>
      </c>
      <c r="E8" s="732" t="inlineStr">
        <is>
          <t>в % к предыдущему месяцу</t>
        </is>
      </c>
      <c r="F8" s="688" t="inlineStr">
        <is>
          <t>млн рублей</t>
        </is>
      </c>
      <c r="G8" s="732" t="inlineStr">
        <is>
          <t>в % к предыдущему месяцу</t>
        </is>
      </c>
      <c r="H8" s="758" t="n"/>
    </row>
    <row r="9">
      <c r="A9" s="257" t="inlineStr">
        <is>
          <t>2025 г.</t>
        </is>
      </c>
      <c r="B9" s="142" t="n"/>
      <c r="C9" s="142" t="n"/>
      <c r="D9" s="142" t="n"/>
      <c r="E9" s="142" t="n"/>
      <c r="F9" s="142" t="n"/>
      <c r="G9" s="142" t="n"/>
      <c r="H9" s="146" t="n"/>
    </row>
    <row r="10">
      <c r="A10" s="70" t="inlineStr">
        <is>
          <t>Январь</t>
        </is>
      </c>
      <c r="B10" s="149" t="inlineStr">
        <is>
          <t>-</t>
        </is>
      </c>
      <c r="C10" s="149" t="inlineStr">
        <is>
          <t>-</t>
        </is>
      </c>
      <c r="D10" s="149" t="inlineStr">
        <is>
          <t>-</t>
        </is>
      </c>
      <c r="E10" s="149" t="inlineStr">
        <is>
          <t>-</t>
        </is>
      </c>
      <c r="F10" s="149" t="inlineStr">
        <is>
          <t>-</t>
        </is>
      </c>
      <c r="G10" s="149" t="inlineStr">
        <is>
          <t>-</t>
        </is>
      </c>
      <c r="H10" s="149" t="inlineStr">
        <is>
          <t>-</t>
        </is>
      </c>
    </row>
    <row r="11">
      <c r="A11" s="70" t="inlineStr">
        <is>
          <t>Февраль</t>
        </is>
      </c>
      <c r="B11" s="149" t="inlineStr">
        <is>
          <t>-</t>
        </is>
      </c>
      <c r="C11" s="149" t="inlineStr">
        <is>
          <t>-</t>
        </is>
      </c>
      <c r="D11" s="149" t="inlineStr">
        <is>
          <t>-</t>
        </is>
      </c>
      <c r="E11" s="149" t="inlineStr">
        <is>
          <t>-</t>
        </is>
      </c>
      <c r="F11" s="149" t="inlineStr">
        <is>
          <t>-</t>
        </is>
      </c>
      <c r="G11" s="149" t="inlineStr">
        <is>
          <t>-</t>
        </is>
      </c>
      <c r="H11" s="149" t="inlineStr">
        <is>
          <t>-</t>
        </is>
      </c>
    </row>
    <row r="12">
      <c r="A12" s="70" t="inlineStr">
        <is>
          <t>Март</t>
        </is>
      </c>
      <c r="B12" s="149" t="inlineStr">
        <is>
          <t>-</t>
        </is>
      </c>
      <c r="C12" s="149" t="inlineStr">
        <is>
          <t>-</t>
        </is>
      </c>
      <c r="D12" s="149" t="inlineStr">
        <is>
          <t>-</t>
        </is>
      </c>
      <c r="E12" s="149" t="inlineStr">
        <is>
          <t>-</t>
        </is>
      </c>
      <c r="F12" s="149" t="inlineStr">
        <is>
          <t>-</t>
        </is>
      </c>
      <c r="G12" s="149" t="inlineStr">
        <is>
          <t>-</t>
        </is>
      </c>
      <c r="H12" s="149" t="inlineStr">
        <is>
          <t>-</t>
        </is>
      </c>
    </row>
    <row r="13">
      <c r="A13" s="70" t="inlineStr">
        <is>
          <t>Апрель</t>
        </is>
      </c>
      <c r="B13" s="149" t="inlineStr">
        <is>
          <t>-</t>
        </is>
      </c>
      <c r="C13" s="149" t="inlineStr">
        <is>
          <t>-</t>
        </is>
      </c>
      <c r="D13" s="149" t="inlineStr">
        <is>
          <t>-</t>
        </is>
      </c>
      <c r="E13" s="149" t="inlineStr">
        <is>
          <t>-</t>
        </is>
      </c>
      <c r="F13" s="149" t="inlineStr">
        <is>
          <t>-</t>
        </is>
      </c>
      <c r="G13" s="149" t="inlineStr">
        <is>
          <t>-</t>
        </is>
      </c>
      <c r="H13" s="149" t="inlineStr">
        <is>
          <t>-</t>
        </is>
      </c>
    </row>
    <row r="14">
      <c r="A14" s="70" t="inlineStr">
        <is>
          <t>Май</t>
        </is>
      </c>
      <c r="B14" s="149" t="inlineStr">
        <is>
          <t>-</t>
        </is>
      </c>
      <c r="C14" s="149" t="inlineStr">
        <is>
          <t>-</t>
        </is>
      </c>
      <c r="D14" s="149" t="inlineStr">
        <is>
          <t>-</t>
        </is>
      </c>
      <c r="E14" s="149" t="inlineStr">
        <is>
          <t>-</t>
        </is>
      </c>
      <c r="F14" s="149" t="inlineStr">
        <is>
          <t>-</t>
        </is>
      </c>
      <c r="G14" s="149" t="inlineStr">
        <is>
          <t>-</t>
        </is>
      </c>
      <c r="H14" s="149" t="inlineStr">
        <is>
          <t>-</t>
        </is>
      </c>
    </row>
    <row r="15">
      <c r="A15" s="70" t="inlineStr">
        <is>
          <t>Июнь</t>
        </is>
      </c>
      <c r="B15" s="149" t="inlineStr">
        <is>
          <t>-</t>
        </is>
      </c>
      <c r="C15" s="149" t="inlineStr">
        <is>
          <t>-</t>
        </is>
      </c>
      <c r="D15" s="149" t="inlineStr">
        <is>
          <t>-</t>
        </is>
      </c>
      <c r="E15" s="149" t="inlineStr">
        <is>
          <t>-</t>
        </is>
      </c>
      <c r="F15" s="149" t="inlineStr">
        <is>
          <t>-</t>
        </is>
      </c>
      <c r="G15" s="149" t="inlineStr">
        <is>
          <t>-</t>
        </is>
      </c>
      <c r="H15" s="149" t="inlineStr">
        <is>
          <t>-</t>
        </is>
      </c>
    </row>
    <row r="16">
      <c r="A16" s="70" t="inlineStr">
        <is>
          <t>Июль</t>
        </is>
      </c>
      <c r="B16" s="149" t="inlineStr">
        <is>
          <t>-</t>
        </is>
      </c>
      <c r="C16" s="149" t="inlineStr">
        <is>
          <t>-</t>
        </is>
      </c>
      <c r="D16" s="149" t="inlineStr">
        <is>
          <t>-</t>
        </is>
      </c>
      <c r="E16" s="149" t="inlineStr">
        <is>
          <t>-</t>
        </is>
      </c>
      <c r="F16" s="149" t="inlineStr">
        <is>
          <t>-</t>
        </is>
      </c>
      <c r="G16" s="149" t="inlineStr">
        <is>
          <t>-</t>
        </is>
      </c>
      <c r="H16" s="149" t="inlineStr">
        <is>
          <t>-</t>
        </is>
      </c>
    </row>
    <row r="17">
      <c r="A17" s="70" t="inlineStr">
        <is>
          <t>Август</t>
        </is>
      </c>
      <c r="B17" s="149" t="inlineStr">
        <is>
          <t>-</t>
        </is>
      </c>
      <c r="C17" s="149" t="inlineStr">
        <is>
          <t>-</t>
        </is>
      </c>
      <c r="D17" s="149" t="inlineStr">
        <is>
          <t>-</t>
        </is>
      </c>
      <c r="E17" s="149" t="inlineStr">
        <is>
          <t>-</t>
        </is>
      </c>
      <c r="F17" s="149" t="inlineStr">
        <is>
          <t>-</t>
        </is>
      </c>
      <c r="G17" s="149" t="inlineStr">
        <is>
          <t>-</t>
        </is>
      </c>
      <c r="H17" s="149" t="inlineStr">
        <is>
          <t>-</t>
        </is>
      </c>
    </row>
    <row r="18">
      <c r="A18" s="70" t="inlineStr">
        <is>
          <t>Сентябрь</t>
        </is>
      </c>
      <c r="B18" s="149" t="inlineStr">
        <is>
          <t>-</t>
        </is>
      </c>
      <c r="C18" s="149" t="inlineStr">
        <is>
          <t>-</t>
        </is>
      </c>
      <c r="D18" s="149" t="inlineStr">
        <is>
          <t>-</t>
        </is>
      </c>
      <c r="E18" s="149" t="inlineStr">
        <is>
          <t>-</t>
        </is>
      </c>
      <c r="F18" s="149" t="inlineStr">
        <is>
          <t>-</t>
        </is>
      </c>
      <c r="G18" s="149" t="inlineStr">
        <is>
          <t>-</t>
        </is>
      </c>
      <c r="H18" s="149" t="inlineStr">
        <is>
          <t>-</t>
        </is>
      </c>
    </row>
    <row r="19">
      <c r="A19" s="128" t="inlineStr">
        <is>
          <t>2024 г.</t>
        </is>
      </c>
      <c r="B19" s="77" t="n"/>
      <c r="C19" s="77" t="n"/>
      <c r="D19" s="77" t="n"/>
      <c r="E19" s="77" t="n"/>
      <c r="F19" s="77" t="n"/>
      <c r="G19" s="77" t="n"/>
      <c r="H19" s="148" t="n"/>
    </row>
    <row r="20">
      <c r="A20" s="70" t="inlineStr">
        <is>
          <t>Январь</t>
        </is>
      </c>
      <c r="B20" s="149" t="inlineStr">
        <is>
          <t>-</t>
        </is>
      </c>
      <c r="C20" s="149" t="inlineStr">
        <is>
          <t>-</t>
        </is>
      </c>
      <c r="D20" s="149" t="inlineStr">
        <is>
          <t>-</t>
        </is>
      </c>
      <c r="E20" s="149" t="inlineStr">
        <is>
          <t>-</t>
        </is>
      </c>
      <c r="F20" s="149" t="inlineStr">
        <is>
          <t>-</t>
        </is>
      </c>
      <c r="G20" s="149" t="inlineStr">
        <is>
          <t>-</t>
        </is>
      </c>
      <c r="H20" s="149" t="inlineStr">
        <is>
          <t>-</t>
        </is>
      </c>
    </row>
    <row r="21">
      <c r="A21" s="70" t="inlineStr">
        <is>
          <t>Февраль</t>
        </is>
      </c>
      <c r="B21" s="149" t="inlineStr">
        <is>
          <t>-</t>
        </is>
      </c>
      <c r="C21" s="149" t="inlineStr">
        <is>
          <t>-</t>
        </is>
      </c>
      <c r="D21" s="149" t="inlineStr">
        <is>
          <t>-</t>
        </is>
      </c>
      <c r="E21" s="149" t="inlineStr">
        <is>
          <t>-</t>
        </is>
      </c>
      <c r="F21" s="149" t="inlineStr">
        <is>
          <t>-</t>
        </is>
      </c>
      <c r="G21" s="149" t="inlineStr">
        <is>
          <t>-</t>
        </is>
      </c>
      <c r="H21" s="149" t="inlineStr">
        <is>
          <t>-</t>
        </is>
      </c>
    </row>
    <row r="22">
      <c r="A22" s="70" t="inlineStr">
        <is>
          <t>Март</t>
        </is>
      </c>
      <c r="B22" s="476" t="inlineStr">
        <is>
          <t>-</t>
        </is>
      </c>
      <c r="C22" s="476" t="inlineStr">
        <is>
          <t>-</t>
        </is>
      </c>
      <c r="D22" s="476" t="inlineStr">
        <is>
          <t>-</t>
        </is>
      </c>
      <c r="E22" s="476" t="inlineStr">
        <is>
          <t>-</t>
        </is>
      </c>
      <c r="F22" s="476" t="inlineStr">
        <is>
          <t>-</t>
        </is>
      </c>
      <c r="G22" s="476" t="inlineStr">
        <is>
          <t>-</t>
        </is>
      </c>
      <c r="H22" s="476" t="inlineStr">
        <is>
          <t>-</t>
        </is>
      </c>
    </row>
    <row r="23">
      <c r="A23" s="70" t="inlineStr">
        <is>
          <t>Апрель</t>
        </is>
      </c>
      <c r="B23" s="149" t="inlineStr">
        <is>
          <t>-</t>
        </is>
      </c>
      <c r="C23" s="149" t="inlineStr">
        <is>
          <t>-</t>
        </is>
      </c>
      <c r="D23" s="149" t="inlineStr">
        <is>
          <t>-</t>
        </is>
      </c>
      <c r="E23" s="149" t="inlineStr">
        <is>
          <t>-</t>
        </is>
      </c>
      <c r="F23" s="149" t="inlineStr">
        <is>
          <t>-</t>
        </is>
      </c>
      <c r="G23" s="149" t="inlineStr">
        <is>
          <t>-</t>
        </is>
      </c>
      <c r="H23" s="149" t="inlineStr">
        <is>
          <t>-</t>
        </is>
      </c>
    </row>
    <row r="24">
      <c r="A24" s="70" t="inlineStr">
        <is>
          <t>Май</t>
        </is>
      </c>
      <c r="B24" s="149" t="inlineStr">
        <is>
          <t>-</t>
        </is>
      </c>
      <c r="C24" s="149" t="inlineStr">
        <is>
          <t>-</t>
        </is>
      </c>
      <c r="D24" s="149" t="inlineStr">
        <is>
          <t>-</t>
        </is>
      </c>
      <c r="E24" s="149" t="inlineStr">
        <is>
          <t>-</t>
        </is>
      </c>
      <c r="F24" s="149" t="inlineStr">
        <is>
          <t>-</t>
        </is>
      </c>
      <c r="G24" s="149" t="inlineStr">
        <is>
          <t>-</t>
        </is>
      </c>
      <c r="H24" s="149" t="inlineStr">
        <is>
          <t>-</t>
        </is>
      </c>
    </row>
    <row r="25">
      <c r="A25" s="70" t="inlineStr">
        <is>
          <t>Июнь</t>
        </is>
      </c>
      <c r="B25" s="476" t="inlineStr">
        <is>
          <t>-</t>
        </is>
      </c>
      <c r="C25" s="476" t="inlineStr">
        <is>
          <t>-</t>
        </is>
      </c>
      <c r="D25" s="476" t="inlineStr">
        <is>
          <t>-</t>
        </is>
      </c>
      <c r="E25" s="476" t="inlineStr">
        <is>
          <t>-</t>
        </is>
      </c>
      <c r="F25" s="476" t="inlineStr">
        <is>
          <t>-</t>
        </is>
      </c>
      <c r="G25" s="476" t="inlineStr">
        <is>
          <t>-</t>
        </is>
      </c>
      <c r="H25" s="476" t="inlineStr">
        <is>
          <t>-</t>
        </is>
      </c>
    </row>
    <row r="26">
      <c r="A26" s="70" t="inlineStr">
        <is>
          <t>Июль</t>
        </is>
      </c>
      <c r="B26" s="149" t="inlineStr">
        <is>
          <t>-</t>
        </is>
      </c>
      <c r="C26" s="149" t="inlineStr">
        <is>
          <t>-</t>
        </is>
      </c>
      <c r="D26" s="149" t="inlineStr">
        <is>
          <t>-</t>
        </is>
      </c>
      <c r="E26" s="149" t="inlineStr">
        <is>
          <t>-</t>
        </is>
      </c>
      <c r="F26" s="149" t="inlineStr">
        <is>
          <t>-</t>
        </is>
      </c>
      <c r="G26" s="149" t="inlineStr">
        <is>
          <t>-</t>
        </is>
      </c>
      <c r="H26" s="149" t="inlineStr">
        <is>
          <t>-</t>
        </is>
      </c>
    </row>
    <row r="27">
      <c r="A27" s="70" t="inlineStr">
        <is>
          <t>Август</t>
        </is>
      </c>
      <c r="B27" s="149" t="inlineStr">
        <is>
          <t>-</t>
        </is>
      </c>
      <c r="C27" s="149" t="inlineStr">
        <is>
          <t>-</t>
        </is>
      </c>
      <c r="D27" s="149" t="inlineStr">
        <is>
          <t>-</t>
        </is>
      </c>
      <c r="E27" s="149" t="inlineStr">
        <is>
          <t>-</t>
        </is>
      </c>
      <c r="F27" s="149" t="inlineStr">
        <is>
          <t>-</t>
        </is>
      </c>
      <c r="G27" s="149" t="inlineStr">
        <is>
          <t>-</t>
        </is>
      </c>
      <c r="H27" s="149" t="inlineStr">
        <is>
          <t>-</t>
        </is>
      </c>
    </row>
    <row r="28">
      <c r="A28" s="70" t="inlineStr">
        <is>
          <t>Сентябрь</t>
        </is>
      </c>
      <c r="B28" s="476" t="inlineStr">
        <is>
          <t>-</t>
        </is>
      </c>
      <c r="C28" s="476" t="inlineStr">
        <is>
          <t>-</t>
        </is>
      </c>
      <c r="D28" s="476" t="inlineStr">
        <is>
          <t>-</t>
        </is>
      </c>
      <c r="E28" s="476" t="inlineStr">
        <is>
          <t>-</t>
        </is>
      </c>
      <c r="F28" s="476" t="inlineStr">
        <is>
          <t>-</t>
        </is>
      </c>
      <c r="G28" s="476" t="inlineStr">
        <is>
          <t>-</t>
        </is>
      </c>
      <c r="H28" s="476" t="inlineStr">
        <is>
          <t>-</t>
        </is>
      </c>
    </row>
    <row r="29">
      <c r="A29" s="70" t="inlineStr">
        <is>
          <t>Октябрь</t>
        </is>
      </c>
      <c r="B29" s="149" t="inlineStr">
        <is>
          <t>-</t>
        </is>
      </c>
      <c r="C29" s="149" t="inlineStr">
        <is>
          <t>-</t>
        </is>
      </c>
      <c r="D29" s="149" t="inlineStr">
        <is>
          <t>-</t>
        </is>
      </c>
      <c r="E29" s="149" t="inlineStr">
        <is>
          <t>-</t>
        </is>
      </c>
      <c r="F29" s="149" t="inlineStr">
        <is>
          <t>-</t>
        </is>
      </c>
      <c r="G29" s="149" t="inlineStr">
        <is>
          <t>-</t>
        </is>
      </c>
      <c r="H29" s="149" t="inlineStr">
        <is>
          <t>-</t>
        </is>
      </c>
    </row>
    <row r="30">
      <c r="A30" s="70" t="inlineStr">
        <is>
          <t>Ноябрь</t>
        </is>
      </c>
      <c r="B30" s="149" t="inlineStr">
        <is>
          <t>-</t>
        </is>
      </c>
      <c r="C30" s="149" t="inlineStr">
        <is>
          <t>-</t>
        </is>
      </c>
      <c r="D30" s="149" t="inlineStr">
        <is>
          <t>-</t>
        </is>
      </c>
      <c r="E30" s="149" t="inlineStr">
        <is>
          <t>-</t>
        </is>
      </c>
      <c r="F30" s="149" t="inlineStr">
        <is>
          <t>-</t>
        </is>
      </c>
      <c r="G30" s="149" t="inlineStr">
        <is>
          <t>-</t>
        </is>
      </c>
      <c r="H30" s="149" t="inlineStr">
        <is>
          <t>-</t>
        </is>
      </c>
    </row>
    <row r="31">
      <c r="A31" s="143" t="inlineStr">
        <is>
          <t>Декабрь</t>
        </is>
      </c>
      <c r="B31" s="477" t="inlineStr">
        <is>
          <t>-</t>
        </is>
      </c>
      <c r="C31" s="477" t="inlineStr">
        <is>
          <t>-</t>
        </is>
      </c>
      <c r="D31" s="477" t="inlineStr">
        <is>
          <t>-</t>
        </is>
      </c>
      <c r="E31" s="477" t="inlineStr">
        <is>
          <t>-</t>
        </is>
      </c>
      <c r="F31" s="477" t="inlineStr">
        <is>
          <t>-</t>
        </is>
      </c>
      <c r="G31" s="477" t="inlineStr">
        <is>
          <t>-</t>
        </is>
      </c>
      <c r="H31" s="477" t="inlineStr">
        <is>
          <t>-</t>
        </is>
      </c>
    </row>
    <row r="57" ht="20.4" customHeight="1" s="216"/>
  </sheetData>
  <mergeCells count="10">
    <mergeCell ref="D5:E7"/>
    <mergeCell ref="A3:H3"/>
    <mergeCell ref="H4:H8"/>
    <mergeCell ref="B4:C5"/>
    <mergeCell ref="A4:A8"/>
    <mergeCell ref="F5:G7"/>
    <mergeCell ref="A1:H1"/>
    <mergeCell ref="C6:C8"/>
    <mergeCell ref="B6:B8"/>
    <mergeCell ref="D4:G4"/>
  </mergeCells>
  <pageMargins left="0.7" right="0.7" top="0.75" bottom="0.75" header="0.3" footer="0.3"/>
  <pageSetup orientation="portrait" paperSize="9" scale="69"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rowBreaks count="1" manualBreakCount="1">
    <brk id="35" min="0" max="6" man="1"/>
  </rowBreaks>
</worksheet>
</file>

<file path=xl/worksheets/sheet43.xml><?xml version="1.0" encoding="utf-8"?>
<worksheet xmlns="http://schemas.openxmlformats.org/spreadsheetml/2006/main">
  <sheetPr>
    <outlinePr summaryBelow="1" summaryRight="1"/>
    <pageSetUpPr fitToPage="1"/>
  </sheetPr>
  <dimension ref="A1:D10"/>
  <sheetViews>
    <sheetView zoomScale="80" zoomScaleNormal="80" workbookViewId="0">
      <selection activeCell="D6" sqref="D6"/>
    </sheetView>
  </sheetViews>
  <sheetFormatPr baseColWidth="8" defaultRowHeight="13.2"/>
  <cols>
    <col width="42.88671875" customWidth="1" style="216" min="1" max="1"/>
    <col width="20.77734375" customWidth="1" style="216" min="2" max="4"/>
    <col width="13.33203125" customWidth="1" style="216" min="5" max="6"/>
  </cols>
  <sheetData>
    <row r="1" ht="18" customHeight="1" s="216">
      <c r="A1" s="733" t="inlineStr">
        <is>
          <t>VII. ЗАНЯТОСТЬ И БЕЗРАБОТИЦА</t>
        </is>
      </c>
    </row>
    <row r="3" ht="27.6" customHeight="1" s="216">
      <c r="A3" s="705" t="inlineStr">
        <is>
          <t xml:space="preserve">Число замещенных рабочих мест в организациях 
(без субъектов малого предпринимательства) </t>
        </is>
      </c>
    </row>
    <row r="4">
      <c r="A4" s="670" t="n"/>
    </row>
    <row r="5" ht="39.6" customHeight="1" s="216">
      <c r="A5" s="145" t="n"/>
      <c r="B5" s="644" t="inlineStr">
        <is>
          <t>Июль 2025 г.</t>
        </is>
      </c>
      <c r="C5" s="644" t="inlineStr">
        <is>
          <t>В % к
предыдущему
месяцу</t>
        </is>
      </c>
      <c r="D5" s="644" t="inlineStr">
        <is>
          <t>Январь-июль
 2025 г.</t>
        </is>
      </c>
    </row>
    <row r="6">
      <c r="A6" s="142" t="inlineStr">
        <is>
          <t xml:space="preserve">Всего замещенных рабочих мест, тысяч </t>
        </is>
      </c>
      <c r="B6" s="544" t="n">
        <v>360.8</v>
      </c>
      <c r="C6" s="545" t="n">
        <v>99.8</v>
      </c>
      <c r="D6" s="546" t="n">
        <v>357.9</v>
      </c>
    </row>
    <row r="7">
      <c r="A7" s="166" t="inlineStr">
        <is>
          <t>в том числе:</t>
        </is>
      </c>
      <c r="B7" s="547" t="n"/>
      <c r="C7" s="548" t="n"/>
      <c r="D7" s="549" t="n"/>
    </row>
    <row r="8" ht="26.4" customHeight="1" s="216">
      <c r="A8" s="78" t="inlineStr">
        <is>
          <t>работниками списочного состава (без внешних совместителей)</t>
        </is>
      </c>
      <c r="B8" s="550" t="n">
        <v>343.9</v>
      </c>
      <c r="C8" s="551" t="n">
        <v>100</v>
      </c>
      <c r="D8" s="277" t="n">
        <v>341.7</v>
      </c>
    </row>
    <row r="9">
      <c r="A9" s="78" t="inlineStr">
        <is>
          <t xml:space="preserve">внешними совместителями </t>
        </is>
      </c>
      <c r="B9" s="550" t="n">
        <v>4.2</v>
      </c>
      <c r="C9" s="551" t="n">
        <v>91.40000000000001</v>
      </c>
      <c r="D9" s="277" t="n">
        <v>4.7</v>
      </c>
    </row>
    <row r="10" ht="26.4" customHeight="1" s="216">
      <c r="A10" s="111" t="inlineStr">
        <is>
          <t>работниками, выполнявшими работы по договорам гражданско-правового характера</t>
        </is>
      </c>
      <c r="B10" s="552" t="n">
        <v>12.6</v>
      </c>
      <c r="C10" s="553" t="n">
        <v>98.5</v>
      </c>
      <c r="D10" s="554" t="n">
        <v>11.6</v>
      </c>
    </row>
  </sheetData>
  <mergeCells count="2">
    <mergeCell ref="A1:D1"/>
    <mergeCell ref="A3:D3"/>
  </mergeCells>
  <pageMargins left="0.7" right="0.7" top="0.75" bottom="0.75" header="0.3" footer="0.3"/>
  <pageSetup orientation="portrait" paperSize="9" scale="84"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colBreaks count="1" manualBreakCount="1">
    <brk id="4" min="2" max="10" man="1"/>
  </colBreaks>
</worksheet>
</file>

<file path=xl/worksheets/sheet44.xml><?xml version="1.0" encoding="utf-8"?>
<worksheet xmlns="http://schemas.openxmlformats.org/spreadsheetml/2006/main">
  <sheetPr>
    <outlinePr summaryBelow="1" summaryRight="1"/>
    <pageSetUpPr/>
  </sheetPr>
  <dimension ref="A1:E29"/>
  <sheetViews>
    <sheetView zoomScale="80" zoomScaleNormal="80" workbookViewId="0">
      <selection activeCell="D6" sqref="D6:E6"/>
    </sheetView>
  </sheetViews>
  <sheetFormatPr baseColWidth="8" defaultRowHeight="13.2"/>
  <cols>
    <col width="19.6640625" customWidth="1" style="216" min="1" max="1"/>
    <col width="17" customWidth="1" style="216" min="2" max="5"/>
  </cols>
  <sheetData>
    <row r="1" ht="27.6" customHeight="1" s="216">
      <c r="A1" s="705" t="inlineStr">
        <is>
          <t xml:space="preserve">Динамика численности незанятых трудовой деятельностью граждан, зарегистрированных в органах службы занятости населения 
</t>
        </is>
      </c>
    </row>
    <row r="2">
      <c r="A2" s="752" t="inlineStr">
        <is>
          <t>(по данным Департамента труда и занятости населения Тюменской области)</t>
        </is>
      </c>
    </row>
    <row r="3">
      <c r="A3" s="36" t="n"/>
    </row>
    <row r="4">
      <c r="A4" s="699" t="inlineStr">
        <is>
          <t>на конец месяца</t>
        </is>
      </c>
      <c r="B4" s="756" t="n"/>
      <c r="C4" s="756" t="n"/>
      <c r="D4" s="756" t="n"/>
      <c r="E4" s="756" t="n"/>
    </row>
    <row r="5" ht="13.2" customHeight="1" s="216">
      <c r="A5" s="678" t="n"/>
      <c r="B5" s="750" t="inlineStr">
        <is>
          <t>Численность незанятых трудовой деятельностью граждан,            тыс. человек</t>
        </is>
      </c>
      <c r="C5" s="144" t="inlineStr">
        <is>
          <t>Из них безработных</t>
        </is>
      </c>
      <c r="D5" s="764" t="n"/>
      <c r="E5" s="755" t="n"/>
    </row>
    <row r="6" ht="13.2" customHeight="1" s="216">
      <c r="A6" s="522" t="n"/>
      <c r="B6" s="522" t="n"/>
      <c r="C6" s="644" t="inlineStr">
        <is>
          <t>тыс. человек</t>
        </is>
      </c>
      <c r="D6" s="144" t="inlineStr">
        <is>
          <t>в % к</t>
        </is>
      </c>
      <c r="E6" s="755" t="n"/>
    </row>
    <row r="7" ht="52.8" customHeight="1" s="216">
      <c r="A7" s="522" t="n"/>
      <c r="B7" s="522" t="n"/>
      <c r="C7" s="522" t="n"/>
      <c r="D7" s="645" t="inlineStr">
        <is>
          <t>предыдущему периоду</t>
        </is>
      </c>
      <c r="E7" s="151" t="inlineStr">
        <is>
          <t>соответствую-щему периоду предыдущего года</t>
        </is>
      </c>
    </row>
    <row r="8">
      <c r="A8" s="121" t="inlineStr">
        <is>
          <t>2025 г.</t>
        </is>
      </c>
      <c r="B8" s="129" t="n"/>
      <c r="C8" s="129" t="n"/>
      <c r="D8" s="129" t="n"/>
      <c r="E8" s="129" t="n"/>
    </row>
    <row r="9">
      <c r="A9" s="140" t="inlineStr">
        <is>
          <t>Январь</t>
        </is>
      </c>
      <c r="B9" s="34" t="n">
        <v>2.7</v>
      </c>
      <c r="C9" s="34" t="n">
        <v>2</v>
      </c>
      <c r="D9" s="34" t="n">
        <v>110.4</v>
      </c>
      <c r="E9" s="34" t="n">
        <v>86.5</v>
      </c>
    </row>
    <row r="10">
      <c r="A10" s="63" t="inlineStr">
        <is>
          <t>Февраль</t>
        </is>
      </c>
      <c r="B10" s="34" t="n">
        <v>3.2</v>
      </c>
      <c r="C10" s="34" t="n">
        <v>2.2</v>
      </c>
      <c r="D10" s="34" t="n">
        <v>110.1</v>
      </c>
      <c r="E10" s="34" t="n">
        <v>91.7</v>
      </c>
    </row>
    <row r="11">
      <c r="A11" s="140" t="inlineStr">
        <is>
          <t>Март</t>
        </is>
      </c>
      <c r="B11" s="34" t="n">
        <v>3.2</v>
      </c>
      <c r="C11" s="34" t="n">
        <v>2.1</v>
      </c>
      <c r="D11" s="34" t="n">
        <v>96.8</v>
      </c>
      <c r="E11" s="34" t="n">
        <v>91.8</v>
      </c>
    </row>
    <row r="12">
      <c r="A12" s="140" t="inlineStr">
        <is>
          <t>Апрель</t>
        </is>
      </c>
      <c r="B12" s="34" t="n">
        <v>3.2</v>
      </c>
      <c r="C12" s="34" t="n">
        <v>2.1</v>
      </c>
      <c r="D12" s="34" t="n">
        <v>99.59999999999999</v>
      </c>
      <c r="E12" s="34" t="n">
        <v>95.7</v>
      </c>
    </row>
    <row r="13">
      <c r="A13" s="138" t="inlineStr">
        <is>
          <t>Май</t>
        </is>
      </c>
      <c r="B13" s="34" t="n">
        <v>3.5</v>
      </c>
      <c r="C13" s="34" t="n">
        <v>2.2</v>
      </c>
      <c r="D13" s="34" t="n">
        <v>105.2</v>
      </c>
      <c r="E13" s="34" t="n">
        <v>108.1</v>
      </c>
    </row>
    <row r="14">
      <c r="A14" s="140" t="inlineStr">
        <is>
          <t>Июнь</t>
        </is>
      </c>
      <c r="B14" s="34" t="n">
        <v>3.6</v>
      </c>
      <c r="C14" s="34" t="n">
        <v>2.3</v>
      </c>
      <c r="D14" s="34" t="n">
        <v>101.3</v>
      </c>
      <c r="E14" s="34" t="n">
        <v>112.9</v>
      </c>
    </row>
    <row r="15">
      <c r="A15" s="140" t="inlineStr">
        <is>
          <t>Июль</t>
        </is>
      </c>
      <c r="B15" s="34" t="n">
        <v>3.8</v>
      </c>
      <c r="C15" s="34" t="n">
        <v>2.4</v>
      </c>
      <c r="D15" s="34" t="n">
        <v>107.8</v>
      </c>
      <c r="E15" s="34" t="n">
        <v>115.2</v>
      </c>
    </row>
    <row r="16">
      <c r="A16" s="140" t="inlineStr">
        <is>
          <t>Август</t>
        </is>
      </c>
      <c r="B16" s="34" t="n">
        <v>4</v>
      </c>
      <c r="C16" s="34" t="n">
        <v>2.5</v>
      </c>
      <c r="D16" s="34" t="n">
        <v>104.1</v>
      </c>
      <c r="E16" s="34" t="n">
        <v>122.1</v>
      </c>
    </row>
    <row r="17">
      <c r="A17" s="125" t="inlineStr">
        <is>
          <t>2024 г.</t>
        </is>
      </c>
      <c r="B17" s="130" t="n"/>
      <c r="C17" s="130" t="n"/>
      <c r="D17" s="130" t="n"/>
      <c r="E17" s="130" t="n"/>
    </row>
    <row r="18">
      <c r="A18" s="140" t="inlineStr">
        <is>
          <t>Январь</t>
        </is>
      </c>
      <c r="B18" s="34" t="n">
        <v>3.6</v>
      </c>
      <c r="C18" s="34" t="n">
        <v>2.3</v>
      </c>
      <c r="D18" s="34" t="n">
        <v>105</v>
      </c>
      <c r="E18" s="34" t="n">
        <v>73.40000000000001</v>
      </c>
    </row>
    <row r="19">
      <c r="A19" s="63" t="inlineStr">
        <is>
          <t>Февраль</t>
        </is>
      </c>
      <c r="B19" s="69" t="n">
        <v>3.6</v>
      </c>
      <c r="C19" s="69" t="n">
        <v>2.4</v>
      </c>
      <c r="D19" s="69" t="n">
        <v>103.8</v>
      </c>
      <c r="E19" s="69" t="n">
        <v>76.7</v>
      </c>
    </row>
    <row r="20">
      <c r="A20" s="140" t="inlineStr">
        <is>
          <t>Март</t>
        </is>
      </c>
      <c r="B20" s="69" t="n">
        <v>3.4</v>
      </c>
      <c r="C20" s="69" t="n">
        <v>2.3</v>
      </c>
      <c r="D20" s="69" t="n">
        <v>96.8</v>
      </c>
      <c r="E20" s="69" t="n">
        <v>76.5</v>
      </c>
    </row>
    <row r="21">
      <c r="A21" s="140" t="inlineStr">
        <is>
          <t>Апрель</t>
        </is>
      </c>
      <c r="B21" s="69" t="n">
        <v>3.2</v>
      </c>
      <c r="C21" s="69" t="n">
        <v>2.2</v>
      </c>
      <c r="D21" s="69" t="n">
        <v>95.5</v>
      </c>
      <c r="E21" s="69" t="n">
        <v>76.5</v>
      </c>
    </row>
    <row r="22">
      <c r="A22" s="140" t="inlineStr">
        <is>
          <t>Май</t>
        </is>
      </c>
      <c r="B22" s="69" t="n">
        <v>3</v>
      </c>
      <c r="C22" s="69" t="n">
        <v>2.1</v>
      </c>
      <c r="D22" s="69" t="n">
        <v>93.09999999999999</v>
      </c>
      <c r="E22" s="69" t="n">
        <v>73.09999999999999</v>
      </c>
    </row>
    <row r="23">
      <c r="A23" s="140" t="inlineStr">
        <is>
          <t>Июнь</t>
        </is>
      </c>
      <c r="B23" s="69" t="n">
        <v>2.9</v>
      </c>
      <c r="C23" s="69" t="n">
        <v>2</v>
      </c>
      <c r="D23" s="69" t="n">
        <v>97</v>
      </c>
      <c r="E23" s="69" t="n">
        <v>74.8</v>
      </c>
    </row>
    <row r="24">
      <c r="A24" s="140" t="inlineStr">
        <is>
          <t>Июль</t>
        </is>
      </c>
      <c r="B24" s="69" t="n">
        <v>3.1</v>
      </c>
      <c r="C24" s="69" t="n">
        <v>2.1</v>
      </c>
      <c r="D24" s="69" t="n">
        <v>105.6</v>
      </c>
      <c r="E24" s="69" t="n">
        <v>82.8</v>
      </c>
    </row>
    <row r="25">
      <c r="A25" s="140" t="inlineStr">
        <is>
          <t>Август</t>
        </is>
      </c>
      <c r="B25" s="69" t="n">
        <v>3.2</v>
      </c>
      <c r="C25" s="69" t="n">
        <v>2.1</v>
      </c>
      <c r="D25" s="69" t="n">
        <v>98.2</v>
      </c>
      <c r="E25" s="69" t="n">
        <v>83.59999999999999</v>
      </c>
    </row>
    <row r="26">
      <c r="A26" s="140" t="inlineStr">
        <is>
          <t>Сентябрь</t>
        </is>
      </c>
      <c r="B26" s="69" t="n">
        <v>3</v>
      </c>
      <c r="C26" s="69" t="n">
        <v>1.8</v>
      </c>
      <c r="D26" s="69" t="n">
        <v>88.90000000000001</v>
      </c>
      <c r="E26" s="69" t="n">
        <v>80.40000000000001</v>
      </c>
    </row>
    <row r="27">
      <c r="A27" s="138" t="inlineStr">
        <is>
          <t>Октябрь</t>
        </is>
      </c>
      <c r="B27" s="69" t="n">
        <v>2.7</v>
      </c>
      <c r="C27" s="69" t="n">
        <v>1.8</v>
      </c>
      <c r="D27" s="69" t="n">
        <v>97.59999999999999</v>
      </c>
      <c r="E27" s="69" t="n">
        <v>80.8</v>
      </c>
    </row>
    <row r="28">
      <c r="A28" s="140" t="inlineStr">
        <is>
          <t>Ноябрь</t>
        </is>
      </c>
      <c r="B28" s="69" t="n">
        <v>2.7</v>
      </c>
      <c r="C28" s="69" t="n">
        <v>1.8</v>
      </c>
      <c r="D28" s="69" t="n">
        <v>98.90000000000001</v>
      </c>
      <c r="E28" s="69" t="n">
        <v>78.3</v>
      </c>
    </row>
    <row r="29">
      <c r="A29" s="153" t="inlineStr">
        <is>
          <t>Декабрь</t>
        </is>
      </c>
      <c r="B29" s="313" t="n">
        <v>2.5</v>
      </c>
      <c r="C29" s="313" t="n">
        <v>1.8</v>
      </c>
      <c r="D29" s="313" t="n">
        <v>101.6</v>
      </c>
      <c r="E29" s="313" t="n">
        <v>82.3</v>
      </c>
    </row>
  </sheetData>
  <mergeCells count="8">
    <mergeCell ref="D6:E6"/>
    <mergeCell ref="A4:E4"/>
    <mergeCell ref="C5:E5"/>
    <mergeCell ref="A2:E2"/>
    <mergeCell ref="A1:E1"/>
    <mergeCell ref="A5:A7"/>
    <mergeCell ref="C6:C7"/>
    <mergeCell ref="B5:B7"/>
  </mergeCells>
  <pageMargins left="0.7" right="0.7" top="0.75" bottom="0.75" header="0.3" footer="0.3"/>
  <pageSetup orientation="portrait" paperSize="9" verticalDpi="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xl/worksheets/sheet45.xml><?xml version="1.0" encoding="utf-8"?>
<worksheet xmlns="http://schemas.openxmlformats.org/spreadsheetml/2006/main">
  <sheetPr>
    <outlinePr summaryBelow="1" summaryRight="1"/>
    <pageSetUpPr/>
  </sheetPr>
  <dimension ref="A1:A108"/>
  <sheetViews>
    <sheetView zoomScale="80" zoomScaleNormal="80" workbookViewId="0">
      <selection activeCell="D6" sqref="D6"/>
    </sheetView>
  </sheetViews>
  <sheetFormatPr baseColWidth="8" defaultRowHeight="13.2"/>
  <cols>
    <col width="89.33203125" customWidth="1" style="162" min="1" max="1"/>
  </cols>
  <sheetData>
    <row r="1" ht="13.8" customHeight="1" s="216">
      <c r="A1" s="733" t="inlineStr">
        <is>
          <t>VIII. МЕТОДОЛОГИЧЕСКИЕ ПОЯСНЕНИЯ</t>
        </is>
      </c>
    </row>
    <row r="3">
      <c r="A3" s="383" t="inlineStr">
        <is>
          <t>ПРОМЫШЛЕННОЕ ПРОИЗВОДСТВО</t>
        </is>
      </c>
    </row>
    <row r="4" ht="132" customHeight="1" s="216">
      <c r="A4" s="384" t="inlineStr">
        <is>
          <t xml:space="preserve">Индекс производства – относительный показатель, характеризующий изменение масштабов производства в сравниваемых периодах. Различают индивидуальные и сводные индексы производства. Индивидуальные индексы отражают изменение выпуска одного продукта и исчисляются как отношение объемов производства данного вида продукта в натурально-вещественном выражении в сравниваемых периодах. Сводный индекс производства характеризует совокупные изменения производства всех видов продукции и отражает изменение создаваемой в процессе производства стоимости в результате изменения только физического объема производимой продукции. Для исчисления сводного индекса производства индивидуальные индексы по конкретным видам продукции поэтапно агрегируются в индексы по группам, подклассам, классам, разделам ОКВЭД 2. </t>
        </is>
      </c>
    </row>
    <row r="5" ht="66" customHeight="1" s="216">
      <c r="A5" s="384" t="inlineStr">
        <is>
          <t xml:space="preserve">Индекс промышленного производства – агрегированный индекс производства по видам экономической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t>
        </is>
      </c>
    </row>
    <row r="6" ht="26.4" customHeight="1" s="216">
      <c r="A6" s="383" t="inlineStr">
        <is>
          <t xml:space="preserve">Индекс промышленного производства исчисляется на основе данных о динамике производства важнейших товаров-представителей (в натуральном или стоимостном выражении). </t>
        </is>
      </c>
    </row>
    <row r="7" ht="26.4" customHeight="1" s="216">
      <c r="A7" s="383" t="inlineStr">
        <is>
          <t>Для расчета индекса промышленного производства в качестве весов использована структура валовой добавленной стоимости по видам экономической деятельности базисного 2018 года.</t>
        </is>
      </c>
    </row>
    <row r="8" ht="52.8" customHeight="1" s="216">
      <c r="A8" s="384" t="inlineStr">
        <is>
          <t xml:space="preserve">Объем отгруженных товаров собственного производства, выполненных работ и услуг собственными силами – стоимость отгруженных или отпущенных в порядке продажи, а также прямого обмена (по договору мены) всех товаров собственного производства, работ и услуг, выполненных (оказанных) собственными силами. </t>
        </is>
      </c>
    </row>
    <row r="9" ht="52.8" customHeight="1" s="216">
      <c r="A9" s="383" t="inlineStr">
        <is>
          <t>Объем отгруженных товаров представляет собой стоимость товаров, которые произведены данным юридическим лицом и фактически отгружены (переданы) в отчетном периоде на сторону (другим юридическим и физическим лицам), включая товары, сданные по акту заказчику на месте, независимо от того, поступили деньги на счет продавца или нет.</t>
        </is>
      </c>
    </row>
    <row r="10" ht="26.4" customHeight="1" s="216">
      <c r="A10" s="383" t="inlineStr">
        <is>
          <t xml:space="preserve">Объем работ и услуг, выполненных собственными силами, представляет собой стоимость работ и услуг, оказанных (выполненных) организацией другим юридическим и физическим лицам. </t>
        </is>
      </c>
    </row>
    <row r="11" ht="39.6" customHeight="1" s="216">
      <c r="A11" s="383" t="inlineStr">
        <is>
          <t xml:space="preserve">Группировки по видам экономической деятельности представляют собой совокупность соответствующих фактических видов экономической деятельности, осуществляемых организациями, независимо от их основного вида деятельности. </t>
        </is>
      </c>
    </row>
    <row r="12" ht="52.8" customHeight="1" s="216">
      <c r="A12" s="383" t="inlineStr">
        <is>
          <t>Формирование официальной статистической информации по объему отгруженных товаров собственного производства, выполненных работ и услуг собственными силами осуществляется в соответствии с Общероссийским классификатором видов экономической деятельности (ОК 029-2014 (КДЕС Ред. 2)) (ОКВЭД 2).</t>
        </is>
      </c>
    </row>
    <row r="13" ht="26.4" customHeight="1" s="216">
      <c r="A13" s="383" t="inlineStr">
        <is>
          <t xml:space="preserve">Данные приводятся в фактических отпускных ценах без налога на добавленную стоимость, акцизов и других аналогичных обязательных платежей. </t>
        </is>
      </c>
    </row>
    <row r="14" ht="66" customHeight="1" s="216">
      <c r="A14" s="384" t="inlineStr">
        <is>
          <t>Производство продукции в натуральном выражении приводится по валовому выпуску, т.е. включая продукцию, израсходованную на производственные нужды внутри данной организации и выработанную из давальческого сырья. Давальческое сырье – это сырье, принадлежащее заказчику и переданное на переработку другим организациям для производства из него продукции в соответствии с заключенными договорами.</t>
        </is>
      </c>
    </row>
    <row r="15" ht="39.6" customHeight="1" s="216">
      <c r="A15" s="383" t="inlineStr">
        <is>
          <t>Формирование официальной статистической информации по продукции осуществляется в соответствии с Общероссийским классификатором продукции по видам экономической деятельности</t>
        </is>
      </c>
    </row>
    <row r="16">
      <c r="A16" s="383" t="inlineStr">
        <is>
          <t>ОК 034-2014 (КПЕС 2008) (ОКПД 2).</t>
        </is>
      </c>
    </row>
    <row r="17">
      <c r="A17" s="383" t="n"/>
    </row>
    <row r="18">
      <c r="A18" s="383" t="inlineStr">
        <is>
          <t xml:space="preserve">СЕЛЬСКОЕ ХОЗЯЙСТВО </t>
        </is>
      </c>
    </row>
    <row r="19" ht="136.2" customHeight="1" s="216">
      <c r="A19" s="384" t="inlineStr">
        <is>
          <t>Объем производства продукции сельского хозяйства – сумма данных об объеме продукции растениеводства и продукции животноводства, произведенной всеми сельхозпроизводителями (сельскохозяйственными организациями, крестьянскими (фермерскими) хозяйствами и индивидуальными предпринимателями, хозяйствами населения), в стоимостной оценке в фактически действовавших ценах и сопоставимых ценах. Продукция растениеводства включает стоимость сырых продуктов, полученных от урожая отчетного года, и изменение стоимости незавершенного производства в растениеводстве (посадка и выращивание до плодоношения сельскохозяйственных культур и многолетних насаждений) от начала к концу отчетного года. Продукция животноводства включает стоимость продукции, полученной в результате выращивания и хозяйственного использования сельскохозяйственных животных и птицы.</t>
        </is>
      </c>
    </row>
    <row r="20" ht="105.6" customHeight="1" s="216">
      <c r="A20" s="384" t="inlineStr">
        <is>
          <t>Индекс производства продукции сельского хозяйства – относительный показатель, характеризующий изменение объема производства сельскохозяйственной продукции в сравниваемых периодах. Различают индивидуальные и сводные индексы производства. Индивидуальные индексы отражают изменение производства одного продукта и исчисляются как отношение объемов производства данного вида продукции в натуральном выражении в сравниваемых периодах. Сводный индекс производства характеризует совокупные изменения производства всех видов продукции в результате изменения только физического объема производимой продукции.</t>
        </is>
      </c>
    </row>
    <row r="21" ht="52.8" customHeight="1" s="216">
      <c r="A21" s="383" t="inlineStr">
        <is>
          <t>Индекс производства продукции сельского хозяйства – агрегированный индекс производства продукции растениеводства и животноводства. Для исчисления индекса производства продукции сельского хозяйства к соответствующему периоду предыдущего года используется показатель ее объема в сопоставимых ценах предыдущего года.</t>
        </is>
      </c>
    </row>
    <row r="22" ht="79.2" customHeight="1" s="216">
      <c r="A22" s="384" t="inlineStr">
        <is>
          <t>Посевные площади – часть пашни, занятая под посевы сельскохозяйственных культур. Пашня – сельскохозяйственное угодье, систематически обрабатываемое и используемое под посевы сельскохозяйственных культур, включая посевы многолетних трав, а также чистые пары. Сельскохозяйственные угодья – земельные угодья, систематически используемые для получения сельскохозяйственной продукции. К ним относятся пашня, залежь, многолетние насаждения, сенокосы и пастбища.</t>
        </is>
      </c>
    </row>
    <row r="23" ht="39.6" customHeight="1" s="216">
      <c r="A23" s="384" t="inlineStr">
        <is>
          <t>Валовой сбор сельскохозяйственных культур – объем собранной продукции, как с основных, так и с повторных и междурядных посевов в сельскохозяйственных организациях, хозяйствах населения и крестьянских (фермерских) хозяйствах.</t>
        </is>
      </c>
    </row>
    <row r="24" ht="26.4" customHeight="1" s="216">
      <c r="A24" s="384" t="inlineStr">
        <is>
          <t>Урожайность сельскохозяйственных культур – средний сбор сельскохозяйственной продукции с единицы посевной или убранной площади.</t>
        </is>
      </c>
    </row>
    <row r="25" ht="52.8" customHeight="1" s="216">
      <c r="A25" s="384" t="inlineStr">
        <is>
          <t>Сельскохозяйственные организации – производственные кооперативы, закрытые и открытые акционерные общества, государственные предприятия, общества с ограниченной ответственностью, подсобные хозяйства промышленных, транспортных, научно-исследовательских учреждений и других организаций.</t>
        </is>
      </c>
    </row>
    <row r="26" ht="39.6" customHeight="1" s="216">
      <c r="A26" s="384" t="inlineStr">
        <is>
          <t>Хозяйства населения – личные подсобные хозяйства и другие индивидуальные хозяйства граждан в сельских и городских поселениях, а также хозяйства граждан, имеющих земельные участки в садоводческих, огороднических и дачных некоммерческих объединениях.</t>
        </is>
      </c>
    </row>
    <row r="27" ht="66" customHeight="1" s="216">
      <c r="A27" s="383" t="inlineStr">
        <is>
          <t>Личные подсобные хозяйства – форма непредпринимательской деятельности по производству и переработке сельскохозяйственной продукции, осуществляемой личным трудом гражданина и членов его семьи в целях удовлетворения личных потребностей на земельном участке, предоставленном или приобретенном для ведения личного подсобного хозяйства. Землепользование хозяйств может состоять из приусадебных и полевых участков.</t>
        </is>
      </c>
    </row>
    <row r="28" ht="52.8" customHeight="1" s="216">
      <c r="A28" s="383" t="inlineStr">
        <is>
          <t>Садоводческое, огородническое или дачное некоммерческое объединение – некоммерческая организация, учрежденная гражданами на добровольных началах для содействия ее членам в решении общих социально-хозяйственных задач ведения садоводства, огородничества и дачного хозяйства.</t>
        </is>
      </c>
    </row>
    <row r="29" ht="92.40000000000001" customHeight="1" s="216">
      <c r="A29" s="384" t="inlineStr">
        <is>
          <t>Крестьянское (фермерское) хозяйство – объединение граждан, связанных родством и (или) свойством, имеющих в общей собственности имущество и совместно осуществляющих предпринимательскую производственную и иную хозяйственную деятельность (производство, переработку, хранение, транспортировку и реализацию сельскохозяйственной продукции), основанную на их личном участии. Включают глав крестьянских (фермерских) хозяйств, осуществляющих деятельность без образования юридического лица и индивидуальных предпринимателей, прошедших государственную регистрацию в этом качестве.</t>
        </is>
      </c>
    </row>
    <row r="30" ht="81.59999999999999" customHeight="1" s="216">
      <c r="A30" s="384" t="inlineStr">
        <is>
          <t>Индивидуальный предприниматель по сельскохозяйственной деятельности  – гражданин (физическое лицо), занимающийся предпринимательской деятельностью без образования юридического лица, с момента его государственной регистрации в соответствии с Гражданским кодексом Российской Федерации, введенным в действие с 01.01.1995 г., и заявивший в Свидетельстве о государственной регистрации виды деятельности, отнесенные согласно Общероссийскому классификатору видов экономической деятельности к сельскому хозяйству.</t>
        </is>
      </c>
    </row>
    <row r="31" ht="26.4" customHeight="1" s="216">
      <c r="A31" s="384" t="inlineStr">
        <is>
          <t>Поголовье скота – поголовье всех возрастных групп соответствующего вида сельскохозяйственных животных (крупный рогатый скот, свиньи, овцы и козы, лошади, птица).</t>
        </is>
      </c>
    </row>
    <row r="32" ht="39.6" customHeight="1" s="216">
      <c r="A32" s="384" t="inlineStr">
        <is>
          <t xml:space="preserve">Производство скота и птицы на убой (в живом весе) – проданные сельхозпроизводителями скот и птица для забоя на мясо, а также забитые в сельскохозяйственных организациях, крестьянских (фермерских) хозяйствах, у индивидуальных предпринимателей, в хозяйствах населения. </t>
        </is>
      </c>
    </row>
    <row r="33" ht="39.6" customHeight="1" s="216">
      <c r="A33" s="384" t="inlineStr">
        <is>
          <t>Производство молока – фактически надоенное сырое коровье, козье, овечье, кобылье и буйволовое молоко. Молоко, высосанное молодняком при подсосном его содержании, в продукцию не включается.</t>
        </is>
      </c>
    </row>
    <row r="34" ht="26.4" customHeight="1" s="216">
      <c r="A34" s="385" t="inlineStr">
        <is>
          <t xml:space="preserve">Производство яиц – сбор яиц от всех видов сельскохозяйственной птицы, в том числе яйца, пошедшие на воспроизводство птицы (инкубация и др.). </t>
        </is>
      </c>
    </row>
    <row r="35" ht="26.4" customHeight="1" s="216">
      <c r="A35" s="384" t="inlineStr">
        <is>
          <t>Надои молока на одну корову – отношение объема произведенного молока полученного от коров молочного стада к их среднему поголовью.</t>
        </is>
      </c>
    </row>
    <row r="36" ht="79.2" customHeight="1" s="216">
      <c r="A36" s="383" t="inlineStr">
        <is>
          <t>Данные о поголовье скота, производстве и реализации основных сельскохозяйственных продуктов по всем сельхозпроизводителям определяются: по сельскохозяйственным организациям – на основании сведений форм федерального статистического наблюдения (по субъектам малого предпринимательства – с применением выборочного метода наблюдения); по хозяйствам населения, крестьянским (фермерским) хозяйствам и индивидуальным предпринимателям – по материалам выборочных обследований.</t>
        </is>
      </c>
    </row>
    <row r="37">
      <c r="A37" s="383" t="n"/>
    </row>
    <row r="38">
      <c r="A38" s="383" t="inlineStr">
        <is>
          <t>СТРОИТЕЛЬСТВО</t>
        </is>
      </c>
    </row>
    <row r="39" ht="79.2" customHeight="1" s="216">
      <c r="A39" s="384" t="inlineStr">
        <is>
          <t>Объем работ, выполненных по виду экономической деятельности «строительство» – строительные работы, выполненные организациями собственными силами на основании договоров и (или) контрактов, заключаемых с заказчиками, а также работы, выполненные хозяйственным способом. В стоимость этих работ включаются работы по строительству новых объектов, капитальному и текущему ремонту, реконструкции жилых и нежилых зданий и инженерных сооружений.</t>
        </is>
      </c>
    </row>
    <row r="40" ht="39.6" customHeight="1" s="216">
      <c r="A40" s="383" t="inlineStr">
        <is>
          <t xml:space="preserve">Данные приводятся с учетом объемов, выполненных субъектами малого предпринимательства, организациями министерств и ведомств, имеющих воинские подразделения, и объема работ, не наблюдаемых прямыми статистическими методами в строительстве. </t>
        </is>
      </c>
    </row>
    <row r="41" ht="52.8" customHeight="1" s="216">
      <c r="A41" s="383" t="inlineStr">
        <is>
          <t>Объем работ, выполненных по виду экономической деятельности «строительство» в процентах к соответствующему периоду предыдущего года (индекс физического объема) рассчитан в сопоставимых ценах. В качестве сопоставимых цен приняты среднегодовые цены предыдущего года.</t>
        </is>
      </c>
    </row>
    <row r="42" ht="158.4" customHeight="1" s="216">
      <c r="A42" s="384" t="inlineStr">
        <is>
          <t xml:space="preserve">Общая площадь жилых помещений во введенных в эксплуатацию жилых домах – сумма площадей всех частей жилых помещений, включая площадь помещений вспомогательного использования, предназначенных для удовлетворения гражданами бытовых и иных нужд, связанных с их проживанием в жилом помещении, площадей лоджий, балконов, веранд, террас, подсчитываемых с соответствующими понижающими коэффициентами, а также жилых и подсобных помещений в построенных населением индивидуальных жилых домах. К помещениям вспомогательного использования относятся кухни, передние, холлы, внутриквартирные коридоры, ванные или душевые, туалеты, кладовые или хозяйственные встроенные шкафы. В домах-интернатах для престарелых и инвалидов, ветеранов, специальных домах для одиноких престарелых, детских домах к подсобным помещениям относятся столовые, буфеты, клубы, читальни, спортивные залы, приемные пункты бытового обслуживания и медицинского обслуживания. </t>
        </is>
      </c>
    </row>
    <row r="43" ht="39.6" customHeight="1" s="216">
      <c r="A43" s="383" t="inlineStr">
        <is>
          <t>В общую площадь жилых помещений во введенных в эксплуатацию жилых домах не входит площадь вестибюлей, тамбуров, лестничных клеток, лифтовых холлов, общих коридоров, также площадь в жилых домах, предназначенная для встроенно-пристроенных помещений.</t>
        </is>
      </c>
    </row>
    <row r="44" ht="26.4" customHeight="1" s="216">
      <c r="A44" s="383" t="inlineStr">
        <is>
          <t>В жилых домах, построенных индивидуальными застройщиками, площади лоджий, балконов, веранд, террас в общую площадь жилых помещений не включаются.</t>
        </is>
      </c>
    </row>
    <row r="45">
      <c r="A45" s="383" t="inlineStr">
        <is>
          <t>Начиная с августа 2019 г. в соответствии с Федеральным законом от 29.07.2017 г. № 217-ФЗ</t>
        </is>
      </c>
    </row>
    <row r="46" ht="39.6" customHeight="1" s="216">
      <c r="A46" s="383" t="inlineStr">
        <is>
          <t>«О ведении гражданами садоводства и огородничества для собственных нужд и о внесении изменений в отдельные законодательные акты Российской Федерации» данные о введенных жилых домах приведены с учетом жилых домов на участках для ведения гражданами садоводства.</t>
        </is>
      </c>
    </row>
    <row r="47">
      <c r="A47" s="383" t="n"/>
    </row>
    <row r="48">
      <c r="A48" s="383" t="inlineStr">
        <is>
          <t xml:space="preserve">АВТОМОБИЛЬНЫЙ ТРАНСПОРТ </t>
        </is>
      </c>
    </row>
    <row r="49" ht="52.8" customHeight="1" s="216">
      <c r="A49" s="384" t="inlineStr">
        <is>
          <t xml:space="preserve">Грузооборот автомобильного транспорта определяется суммированием произведений массы перевезенных грузов в тоннах каждой перевозки грузовыми автомобилями, пикапами и легковыми фургонами, автоприцепами собственными, по договору лизинга и/или арендованными у других организаций на расстояние перевозки в километрах. </t>
        </is>
      </c>
    </row>
    <row r="50" ht="92.40000000000001" customHeight="1" s="216">
      <c r="A50" s="384" t="inlineStr">
        <is>
          <t xml:space="preserve">Пассажирооборот автомобильного транспорта общего пользования – объем работы автобусов по перевозке пассажиров по маршрутам регулярных перевозок, включая оценку перевозок пассажиров, пользующихся правом бесплатного проезда. Единицей измерения является пассажиро-километр, т.е. перемещение одного пассажира на 1 километр. Исчисляется суммированием произведений количества пассажиров каждой перевозки на расстояние перевозки в километрах. Транспорт общего пользования – транспорт, осуществляющий общедоступное транспортное обслуживание населения. </t>
        </is>
      </c>
    </row>
    <row r="51">
      <c r="A51" s="383" t="n"/>
    </row>
    <row r="52">
      <c r="A52" s="383" t="inlineStr">
        <is>
          <t>РЫНКИ ТОВАРОВ И УСЛУГ</t>
        </is>
      </c>
    </row>
    <row r="53" ht="52.8" customHeight="1" s="216">
      <c r="A53" s="384" t="inlineStr">
        <is>
          <t xml:space="preserve">Оборот розничной торговли – выручка от продажи товаров населению для личного потребления или использования в домашнем хозяйстве за наличный расчет или оплаченных по кредитным карточкам, по расчетным чекам банков, по перечислениям со счетов вкладчиков, по поручению физического лица без открытия счета, посредством платежных карт (электронных денег). </t>
        </is>
      </c>
    </row>
    <row r="54" ht="79.2" customHeight="1" s="216">
      <c r="A54" s="383" t="inlineStr">
        <is>
          <t>Стоимость товаров, проданных (отпущенных) отдельным категориям населения со скидкой, или полностью оплаченных органами социальной защиты, включается в оборот розничной торговли в полном объеме. В оборот розничной торговли не включается стоимость товаров, проданных (отпущенных) из розничной торговой сети юридическим лицам (в том числе организациям социальной сферы, спецпотребителям и т.п.) и индивидуальным предпринимателям, и оборот общественного питания.</t>
        </is>
      </c>
    </row>
    <row r="55" ht="66" customHeight="1" s="216">
      <c r="A55" s="383" t="inlineStr">
        <is>
          <t>Оборот розничной торговли включает данные как по организациям, для которых эта деятельность является основной, так и по организациям других видов деятельности, осуществляющим продажу товаров населению через собственные торговые заведения, или с оплатой через свою кассу. Оборот розничной торговли также включает стоимость товаров, проданных населению индивидуальными предпринимателями и физическими лицами на розничных рынках и ярмарках.</t>
        </is>
      </c>
    </row>
    <row r="56" ht="105.6" customHeight="1" s="216">
      <c r="A56" s="383" t="inlineStr">
        <is>
          <t>Оборот розничной торговли формируется по данным сплошного федерального статистического наблюдения за организациями, не относящимися к субъектам малого предпринимательства, выборочного обследования малых предприятий розничной торговли (за исключением микропредприятий), которые проводятся с месячной периодичностью, ежеквартальных выборочных обследований малых предприятий розничной торговли (за исключением микропредприятий) и розничных рынков и ярмарок, а также ежегодных выборочных обследований индивидуальных предпринимателей и микропредприятий с распространением полученных данных на генеральную совокупность объектов наблюдения.</t>
        </is>
      </c>
    </row>
    <row r="57" ht="26.4" customHeight="1" s="216">
      <c r="A57" s="383" t="inlineStr">
        <is>
          <t>Оборот розничной торговли приводится в фактических продажных ценах, включающих торговую наценку, налог на добавленную стоимость и аналогичные обязательные платежи.</t>
        </is>
      </c>
    </row>
    <row r="58" ht="39.6" customHeight="1" s="216">
      <c r="A58" s="384" t="inlineStr">
        <is>
          <t xml:space="preserve">Оборот розничной торговли в процентах к предыдущему периоду (индекс физического объема оборота розничной торговли) – относительный показатель, характеризующий изменение оборота розничной торговли в сравниваемых периодах в сопоставимых ценах. </t>
        </is>
      </c>
    </row>
    <row r="59" ht="92.40000000000001" customHeight="1" s="216">
      <c r="A59" s="384" t="inlineStr">
        <is>
          <t xml:space="preserve">Объем платных услуг населению – денежный эквивалент объема услуг, оказанных резидентами российской экономики (юридическими лицами, индивидуальными предпринимателями, самозанятыми, нотариусами и адвокатами, учредившими адвокатские кабинеты) гражданам Российской Федерации, а также гражданам других государств (нерезидентам), потребляющим те или иные услуги на территории Российской Федерации. Показатель формируется в соответствии с Методологией формирования официальной статистической информации об объеме платных услуг населению, утвержденной приказом Росстата от 17.12.2021 № 927. </t>
        </is>
      </c>
    </row>
    <row r="60" ht="39.6" customHeight="1" s="216">
      <c r="A60" s="9" t="inlineStr">
        <is>
          <t xml:space="preserve">Данные об объеме платных услуг населению в распределении по видам приведены в соответствии с Общероссийским классификатором продукции по видам экономической деятельности. </t>
        </is>
      </c>
    </row>
    <row r="61" ht="26.4" customHeight="1" s="216">
      <c r="A61" s="9" t="inlineStr">
        <is>
          <t>В объем транспортных услуг, оказанных населению, услуги железнодорожного и авиационного транспорта включаются с месячным опозданием.</t>
        </is>
      </c>
    </row>
    <row r="62" ht="52.8" customHeight="1" s="216">
      <c r="A62" s="383" t="inlineStr">
        <is>
          <t xml:space="preserve">Объем платных услуг населению в процентах к предыдущему периоду (индекс физического объема платных услуг населению) – относительный показатель, характеризующий изменение объема платных услуг населению в текущем периоде по сравнению с базисным в сопоставимых ценах. </t>
        </is>
      </c>
    </row>
    <row r="63">
      <c r="A63" s="383" t="n"/>
    </row>
    <row r="64">
      <c r="A64" s="383" t="inlineStr">
        <is>
          <t>ЦЕНЫ</t>
        </is>
      </c>
    </row>
    <row r="65" ht="66" customHeight="1" s="216">
      <c r="A65" s="384" t="inlineStr">
        <is>
          <t xml:space="preserve">Индекс потребительских цен и тарифов на товары и платные услуги населению (ИПЦ) характеризует изменение во времени общего уровня цен и тарифов на товары и услуги, приобретаемые населением для непроизводственного потребления. ИПЦ измеряет отношение стоимости фиксированного перечня товаров и услуг в ценах текущего периода к его стоимости в ценах предыдущего (базисного) периода. </t>
        </is>
      </c>
    </row>
    <row r="66" ht="39.6" customHeight="1" s="216">
      <c r="A66" s="383" t="inlineStr">
        <is>
          <t>Индекс потребительских цен рассчитывается на базе данных регистрации цен на 558 видов товаров (услуг)-представителей, которая осуществляется ежемесячно по состоянию на конец месяца.</t>
        </is>
      </c>
    </row>
    <row r="67" ht="52.8" customHeight="1" s="216">
      <c r="A67" s="383" t="inlineStr">
        <is>
          <t>Ценовая информация собирается в территориальных центрах и крупных городских округах, отобранных с учетом их представительности в отражении социально-экономического и географического положения регионов и степени насыщенности потребительского рынка товарами и услугами.</t>
        </is>
      </c>
    </row>
    <row r="68" ht="52.8" customHeight="1" s="216">
      <c r="A68" s="383" t="inlineStr">
        <is>
          <t>В набор товаров и услуг, разработанный для наблюдения за ценами, включены товары и услуги массового потребительского спроса. Отбор позиций произведен с учетом их значимости для потребления населения, представительности с точки зрения отражения динамики цен на однородные товары, устойчивого наличия их в продаже.</t>
        </is>
      </c>
    </row>
    <row r="69" ht="66" customHeight="1" s="216">
      <c r="A69" s="383" t="inlineStr">
        <is>
          <t>Исходной информацией для расчета ИПЦ являются данные регистрации потребительских цен (тарифов) на товары и услуги с конкретными потребительскими свойствами. На их основе определяются средние сопоставимые цены отчетного и предыдущего периодов. Сопоставимой считается цена, зарегистрированная в одной и той же организации торговли (сферы услуг) на один и тот же или аналогичный по качеству товар (услугу).</t>
        </is>
      </c>
    </row>
    <row r="70" ht="52.8" customHeight="1" s="216">
      <c r="A70" s="383" t="inlineStr">
        <is>
          <t xml:space="preserve">ИПЦ является важнейшим показателем, характеризующим уровень инфляции, и используется для целей государственной политики, анализа и прогноза ценовых процессов в экономике, пересмотра минимальных социальных гарантий, решения правовых споров, а также при пересчете ряда показателей системы национальных счетов текущих цен в постоянные цены. </t>
        </is>
      </c>
    </row>
    <row r="71" ht="66" customHeight="1" s="216">
      <c r="A71" s="384" t="inlineStr">
        <is>
          <t>Стоимость фиксированного набора потребительских товаров и услуг исчисляется на основе единых объемов потребления и средних цен по региону.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 Данные о стоимости набора приведены в расчете на месяц.</t>
        </is>
      </c>
    </row>
    <row r="72" ht="79.2" customHeight="1" s="216">
      <c r="A72" s="384" t="inlineStr">
        <is>
          <t xml:space="preserve">Индексы цен производителей промышленных товаров, реализованных на внутреннем рынке, рассчитываются на основании регистрации цен на товары (услуги)-представители в базовых организациях. Цены производителей представляют собой фактически сложившиеся на момент регистрации цены организаций на произведенные и отгруженные товары (оказанные услуги), предназначенные для реализации на внутреннем рынке (без косвенных товарных налогов – налога на добавленную стоимость, акциза и т.п.). </t>
        </is>
      </c>
    </row>
    <row r="73" ht="52.8" customHeight="1" s="216">
      <c r="A73" s="383" t="inlineStr">
        <is>
          <t>Рассчитанные по товарам (услугам)-представителям индексы цен производителей последовательно агрегируются в индексы цен соответствующих видов, групп, классов, разделов экономической деятельности. В качестве весов используются данные об объеме производства в стоимостном выражении за базисный период.</t>
        </is>
      </c>
    </row>
    <row r="74" ht="66" customHeight="1" s="216">
      <c r="A74" s="384" t="inlineStr">
        <is>
          <t>Индекс цен производителей промышленных товаров – сводный показатель, агрегированный по видам экономической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t>
        </is>
      </c>
    </row>
    <row r="75">
      <c r="A75" s="383" t="n"/>
    </row>
    <row r="76">
      <c r="A76" s="383" t="inlineStr">
        <is>
          <t>СОСТОЯНИЕ ПЛАТЕЖЕЙ  И РАСЧЕТОВ В ОРГАНИЗАЦИЯХ</t>
        </is>
      </c>
    </row>
    <row r="77" ht="105.6" customHeight="1" s="216">
      <c r="A77" s="386" t="inlineStr">
        <is>
          <t xml:space="preserve">Кредиторская задолженность – задолженность по расчетам с поставщиками и подрядчиками за поступившие материальные ценности, выполненные работы и оказанные услуги, в том числе задолженность, обеспеченная векселями выданными; задолженность по расчетам  с дочерними и зависимыми обществами по всем видам операций; с рабочими и служащими по оплате труда, представляющая собой начисленные, но не выплаченные суммы оплаты труда; задолженность по отчислениям на государственное социальное страхование, пенсионное обеспечение и медицинское страхование работников организации, задолженность по всем видам платежей в бюджет и </t>
        </is>
      </c>
    </row>
    <row r="78" ht="118.8" customHeight="1" s="216">
      <c r="A78" s="387" t="inlineStr">
        <is>
          <t>внебюджетные фонды; задолженность организации по платежам по обязательному и добровольному страхованию имущества и работников организации и другим видам страхования, в которых организация является страхователем; авансы полученные, включающие сумму полученных авансов от сторонних организаций по предстоящим расчетам по заключенным договорам, а также штрафы, пени и неустойки, признанные организацией или по которым получены решения суда (арбитражного суда) или другого органа, имеющего в соответствии с законодательством Российской Федерации право на принятие об их взыскании, и отнесенные на финансовые результаты организации, непогашенные суммы заемных средств, подлежащие погашению в соответствие с договорами.</t>
        </is>
      </c>
    </row>
    <row r="79" ht="39.6" customHeight="1" s="216">
      <c r="A79" s="387" t="inlineStr">
        <is>
          <t>Данные приводятся по организациям (без субъектов малого предпринимательства, кредитных организаций, государственных (муниципальных) учреждений, некредитных финансовых организаций).</t>
        </is>
      </c>
    </row>
    <row r="80" ht="224.4" customHeight="1" s="216">
      <c r="A80" s="388" t="inlineStr">
        <is>
          <t>Дебиторская задолженность – задолженность по расчетам с покупателями и заказчиками за товары, работы и услуги, в том числе задолженность, обеспеченная векселями полученными; задолженность по расчетам с дочерними и зависимыми обществами; суммы уплаченных другим организациям авансов по предстоящим расчетам в соответствии с заключенными договорами, задолженность по расчетам с прочими дебиторами, включающая в себя задолженность финансовых и налоговых органов (в том числе по переплате по налогам, сборам и прочим платежам в бюджет); задолженность работников организации по предоставленным им ссудам и займам за счет средств этой организации или кредита (ссуды на индивидуальное или кооперативное жилищное строительство, приобретение и благоустройство садовых участков, беспроцентные ссуды молодым семьям на улучшение жилищных условий или обзаведение домашним хозяйством и др.); задолженность подотчетных лиц, поставщиков по недостачам товарно-материальных ценностей, обнаруженным при приемке; задолженность по государственным заказам, федеральным программам за поставленные товары, работы и услуги, а также штрафы, пени и неустойки, признанные должником, или по которым получены решения суда (арбитражного суда) или другого органа, имеющего в соответствии с законодательством Российской Федерации право на принятие решения об их взыскании, и отнесенные на финансовые результаты организации.</t>
        </is>
      </c>
    </row>
    <row r="81" ht="52.8" customHeight="1" s="216">
      <c r="A81" s="384" t="inlineStr">
        <is>
          <t>Просроченная задолженность – задолженность, не погашенная в срок. Возникает при нарушениях расчетно-платежной дисциплины. Используется при оценке финансового состояния предприятия. Является объектом применения штрафных санкций. Просроченная, задолженность может быть дебиторской или кредиторской.</t>
        </is>
      </c>
    </row>
    <row r="82">
      <c r="A82" s="383" t="n"/>
    </row>
    <row r="83">
      <c r="A83" s="383" t="inlineStr">
        <is>
          <t>УРОВЕНЬ ЖИЗНИ НАСЕЛЕНИЯ</t>
        </is>
      </c>
    </row>
    <row r="84" ht="92.40000000000001" customHeight="1" s="216">
      <c r="A84" s="384" t="inlineStr">
        <is>
          <t>Денежные доходы населения – доходы лиц, работающих по найму; доходы от самостоятельной занятости (доходов от предпринимательской деятельности и другой производственной деятельности); социальные выплаты (пенсии, пособия, стипендии и другие выплаты); доходы от собственности (дивиденды, проценты, начисленные по денежным средствам на банковских счетах физических лиц в кредитных организациях; выплата доходов по государственным и другим ценным бумагам; инвестиционный доход (доход от собственности держателей полисов); прочие денежные поступления.</t>
        </is>
      </c>
    </row>
    <row r="85" ht="66" customHeight="1" s="216">
      <c r="A85" s="383" t="inlineStr">
        <is>
          <t>Расчет показателей денежных доходов населения производится в соответствии с Методологическими положениями по расчету показателей денежных доходов и расходов населения, утвержденными приказом Росстата от 02.07.2014 г. № 465 с изменениями от 20.11.2018 г. Информация публикуется ежеквартально в соответствии с распоряжением Правительства Российской Федерации от 20.03.2019 г. № 469-р.</t>
        </is>
      </c>
    </row>
    <row r="86" ht="44.4" customHeight="1" s="216">
      <c r="A86" s="383" t="inlineStr">
        <is>
          <t>При публикации объема денежных доходов населения за отчетный период производится уточнение предварительных показателей за предыдущий период. Пересмотр квартальных данных осуществляется по итогам разработки годового баланса денежных доходов и расходов населения.</t>
        </is>
      </c>
    </row>
    <row r="87" ht="26.4" customHeight="1" s="216">
      <c r="A87" s="384" t="inlineStr">
        <is>
          <t xml:space="preserve">Среднедушевые денежные доходы – отношение общей суммы денежных доходов к среднегодовой численности населения и на число месяцев в отчетном периоде. </t>
        </is>
      </c>
    </row>
    <row r="88" ht="92.40000000000001" customHeight="1" s="216">
      <c r="A88" s="384" t="inlineStr">
        <is>
          <t xml:space="preserve">Среднемесячная номинальная начисленная заработная плата одного работника – отношение фонда начисленной заработной платы работников к среднесписочной численности работников и к количеству месяцев в периоде. В фонд заработной платы включаются начисленные работникам суммы оплаты труда в денежной и неденежной формах за отработанное и неотработанное время, доплаты и надбавки, премии и единовременные поощрения, компенсационные выплаты, связанные с режимом работы и условиями труда, а также оплата питания и проживания, имеющая систематический характер. </t>
        </is>
      </c>
    </row>
    <row r="89" ht="26.4" customHeight="1" s="216">
      <c r="A89" s="383" t="inlineStr">
        <is>
          <t>Темпы роста (снижения) среднемесячной номинальной заработной платы рассчитываются по сопоставимой совокупности организаций отчетного и предыдущих периодов.</t>
        </is>
      </c>
    </row>
    <row r="90" ht="26.4" customHeight="1" s="216">
      <c r="A90" s="383" t="inlineStr">
        <is>
          <t>Сведения о среднемесячной номинальной начисленной заработной плате одного работника по видам экономической деятельности организаций формируются в соответствии с ОКВЭД 2</t>
        </is>
      </c>
    </row>
    <row r="91">
      <c r="A91" s="383" t="inlineStr">
        <is>
          <t>(ОК 029-2014 (КДЕС Ред.2)).</t>
        </is>
      </c>
    </row>
    <row r="92" ht="52.8" customHeight="1" s="216">
      <c r="A92" s="384" t="inlineStr">
        <is>
          <t xml:space="preserve">Реальная начисленная заработная плата – отношение индекса номинальной начисленной заработной платы на индекс потребительских цен за один и тот же временной период. Характеризует покупательную способность заработной платы в отчетном периоде в связи с изменением цен на потребительские товары и услуги по сравнению с базисным периодом. </t>
        </is>
      </c>
    </row>
    <row r="93" ht="52.8" customHeight="1" s="216">
      <c r="A93" s="384" t="inlineStr">
        <is>
          <t xml:space="preserve">Просроченная задолженность по заработной плате – фактически начисленные работникам суммы заработной платы, но не выплаченные в срок, установленный коллективным договором или договором на расчетно-кассовое обслуживание, заключенным с банком. Число дней задержки считается, начиная со следующего дня после истечения этого срока. </t>
        </is>
      </c>
    </row>
    <row r="94" ht="39.6" customHeight="1" s="216">
      <c r="A94" s="383" t="inlineStr">
        <is>
          <t>Информация о просроченной задолженности по заработной плате формируется по данным ежемесячного федерального статистического наблюдения за организациями (без субъектов малого предпринимательства) наблюдаемых видов экономической деятельности.</t>
        </is>
      </c>
    </row>
    <row r="95">
      <c r="A95" s="383" t="n"/>
    </row>
    <row r="96">
      <c r="A96" s="383" t="inlineStr">
        <is>
          <t xml:space="preserve">ЗАНЯТОСТЬ И БЕЗРАБОТИЦА </t>
        </is>
      </c>
    </row>
    <row r="97" ht="26.4" customHeight="1" s="216">
      <c r="A97" s="384" t="inlineStr">
        <is>
          <t xml:space="preserve">Численность рабочей силы – численность населения в возрасте 15 лет и старше, которые в рассматриваемый период (обследуемую неделю) считались занятыми или безработными. </t>
        </is>
      </c>
    </row>
    <row r="98" ht="66" customHeight="1" s="216">
      <c r="A98" s="384" t="inlineStr">
        <is>
          <t>Численность занятых – численность лиц в возрасте 15 лет и старше, которые в обследуемую неделю выполняли любую деятельность (хотя бы один час в неделю), связанную с производством товаров или оказанием услуг за плату или прибыль. В численность занятых включаются также лица, временно отсутствовавшие на рабочем месте в течение короткого промежутка времени и сохранившие связь с рабочим местом во время отсутствия.</t>
        </is>
      </c>
    </row>
    <row r="99" ht="39.6" customHeight="1" s="216">
      <c r="A99" s="384" t="inlineStr">
        <is>
          <t>Численность безработных (в соответствии со стандартами Международной организации труда) – численность лиц в возрасте 15 лет и старше, которые в рассматриваемый период удовлетворяли одновременно следующим критериям:</t>
        </is>
      </c>
    </row>
    <row r="100">
      <c r="A100" s="389" t="inlineStr">
        <is>
          <t xml:space="preserve">     не имели работы (доходного занятия);</t>
        </is>
      </c>
    </row>
    <row r="101" ht="66" customHeight="1" s="216">
      <c r="A101" s="389" t="inlineStr">
        <is>
          <t xml:space="preserve">    занимались поиском работы, т.е. обращались в государственную или коммерческую службу занятости, использовали или помещали объявления в печати, непосредственно обращались к администрации организации или работодателю, использовали личные связи или предпринимали шаги к организации собственного дела (поиск земли, зданий, машин и оборудования, сырья, финансовых ресурсов, обращение за разрешениями, лицензиями и т.п.);</t>
        </is>
      </c>
    </row>
    <row r="102">
      <c r="A102" s="390" t="inlineStr">
        <is>
          <t xml:space="preserve">были готовы приступить к работе в течение обследуемой недели. </t>
        </is>
      </c>
    </row>
    <row r="103" ht="39.6" customHeight="1" s="216">
      <c r="A103" s="383" t="inlineStr">
        <is>
          <t>Обучающиеся в образовательных организациях, пенсионеры и инвалиды учитывались в каче-стве безработных, если они не имели работы, занимались поиском работы и были готовы приступить к ней.</t>
        </is>
      </c>
    </row>
    <row r="104" ht="105.6" customHeight="1" s="216">
      <c r="A104" s="383" t="inlineStr">
        <is>
          <t>Информация о численности рабочей силы, занятых и общей численности безработных (применительно к стандартам МОТ) подготавливается по материалам выборочных обследований рабочей силы с ежемесячной периодичностью (по состоянию на вторую неделю). Обследование проводится во всех субъектах Российской Федерации на основе выборочного метода наблюдения с последующим распространением итогов на всю численность населения обследуемого возраста. В целях повышения репрезентативности данных о рабочей силе показатели занятости и безработицы по субъектам Российской Федерации формируются в среднем за три последних месяца.</t>
        </is>
      </c>
    </row>
    <row r="105" ht="66" customHeight="1" s="216">
      <c r="A105" s="384" t="inlineStr">
        <is>
          <t xml:space="preserve">Число замещенных рабочих мест в организациях – суммарное количество среднесписочной численности работников, средней численности внешних совместителей и средней численности работников, выполнявших работы по договорам гражданско-правового характера. При суммировании числа рабочих мест по организациям каждый работник учитывается по числу замещаемых им рабочих мест (без учета внутреннего совместительства). </t>
        </is>
      </c>
    </row>
    <row r="106" ht="92.40000000000001" customHeight="1" s="216">
      <c r="A106" s="384" t="inlineStr">
        <is>
          <t>Среднесписочная численность работников – суммарное количество среднесписочной численности работников за все месяцы отчетного периода, деленное на количество месяцев в отчетном периоде. Среднесписочная численность работников за месяц определяется путем суммирования численности работников списочного состава за каждый календарный день отчетного месяца, т.е. с 1 по 30 или 31 (для мая – по 28 и 29 число), включая праздничные (нерабочие) и выходные дни и деления полученной суммы на число календарных дней отчетного месяца.</t>
        </is>
      </c>
    </row>
    <row r="107" ht="79.2" customHeight="1" s="216">
      <c r="A107" s="384" t="inlineStr">
        <is>
          <t>Численность безработных, зарегистрированных в органах службы занятости населения – численность трудоспособных граждан, не имеющих работы и заработка (трудового дохода), проживающих на территории региона, зарегистрированных в органах службы занятости населения по месту жительства в целях поиска подходящей работы, ищущих работу и готовых приступить к ней. Информация о численности безработных, получивших официальный статус в органах службы занятости населения, разрабатывается Федеральной службой по труду и занятости.</t>
        </is>
      </c>
    </row>
    <row r="108">
      <c r="A108" s="383" t="n"/>
    </row>
  </sheetData>
  <pageMargins left="0.7" right="0.7" top="0.75" bottom="0.75" header="0.3" footer="0.3"/>
  <pageSetup orientation="portrait" paperSize="9" fitToHeight="0"/>
  <headerFooter>
    <oddHeader/>
    <oddFooter>&amp;C&amp;"Arial,курсив"&amp;K00-044Социально-экономическое положение Тюменской области (кроме _x000a_Ханты-Мансийского автономного округа – Югры и Ямало-Ненецкого автономного округа) 08' 2025</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P72_LvovaAV</dc:creator>
  <dcterms:created xmlns:dcterms="http://purl.org/dc/terms/" xmlns:xsi="http://www.w3.org/2001/XMLSchema-instance" xsi:type="dcterms:W3CDTF">2021-09-29T03:52:36Z</dcterms:created>
  <dcterms:modified xmlns:dcterms="http://purl.org/dc/terms/" xmlns:xsi="http://www.w3.org/2001/XMLSchema-instance" xsi:type="dcterms:W3CDTF">2026-03-21T07:45:27Z</dcterms:modified>
  <cp:lastModifiedBy>Клепова И. Г.</cp:lastModifiedBy>
  <cp:lastPrinted>2025-10-01T11:36:58Z</cp:lastPrinted>
</cp:coreProperties>
</file>