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5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0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6.15"/>
    </font>
    <font>
      <name val="Arial"/>
      <charset val="204"/>
      <family val="2"/>
      <color rgb="FF000000"/>
      <sz val="10"/>
    </font>
    <font>
      <name val="Arial"/>
      <charset val="204"/>
      <family val="2"/>
      <sz val="10"/>
    </font>
    <font>
      <name val="Arial Cyr"/>
      <charset val="204"/>
      <family val="0"/>
      <sz val="10"/>
    </font>
    <font>
      <name val="Arial Cyr"/>
      <charset val="204"/>
      <family val="0"/>
      <sz val="9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theme="10"/>
      <sz val="12"/>
      <u val="single"/>
    </font>
    <font>
      <name val="Arial Cyr"/>
      <charset val="204"/>
      <family val="0"/>
      <color rgb="FF0000FF"/>
      <sz val="10"/>
      <u val="single"/>
    </font>
    <font>
      <name val="Times New Roman"/>
      <charset val="204"/>
      <family val="1"/>
      <sz val="11"/>
    </font>
    <font>
      <name val="Calibri"/>
      <charset val="204"/>
      <family val="2"/>
      <sz val="11"/>
    </font>
    <font>
      <name val="Calibri"/>
      <charset val="204"/>
      <family val="2"/>
      <sz val="12"/>
    </font>
    <font>
      <name val="Times New Roman"/>
      <charset val="204"/>
      <family val="1"/>
      <color rgb="FF0000FF"/>
      <sz val="12"/>
      <u val="single"/>
    </font>
    <font>
      <name val="Times New Roman"/>
      <charset val="204"/>
      <family val="1"/>
      <color theme="10"/>
      <sz val="11"/>
      <u val="single"/>
    </font>
    <font>
      <name val="Calibri"/>
      <charset val="204"/>
      <family val="2"/>
      <color theme="10"/>
      <sz val="11"/>
      <u val="single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theme="10"/>
      <sz val="12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sz val="12"/>
      <vertAlign val="superscript"/>
    </font>
    <font>
      <name val="Arial"/>
      <charset val="204"/>
      <family val="2"/>
      <b val="1"/>
      <sz val="12"/>
      <vertAlign val="superscript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sz val="10"/>
    </font>
    <font>
      <name val="Times New Roman"/>
      <charset val="204"/>
      <family val="1"/>
      <b val="1"/>
      <color theme="10"/>
      <sz val="11"/>
    </font>
    <font>
      <name val="Times New Roman"/>
      <charset val="204"/>
      <family val="1"/>
      <b val="1"/>
      <sz val="11"/>
    </font>
    <font>
      <name val="Arial Cyr"/>
      <charset val="204"/>
      <family val="0"/>
      <sz val="12"/>
    </font>
    <font>
      <name val="Times New Roman"/>
      <charset val="204"/>
      <family val="1"/>
      <b val="1"/>
      <sz val="11"/>
      <vertAlign val="superscript"/>
    </font>
    <font>
      <name val="Arial Cyr"/>
      <charset val="204"/>
      <family val="2"/>
      <b val="1"/>
      <sz val="10"/>
    </font>
    <font>
      <name val="Arial Cyr"/>
      <charset val="204"/>
      <family val="0"/>
      <b val="1"/>
      <sz val="10"/>
    </font>
    <font>
      <name val="Arial Cyr"/>
      <charset val="204"/>
      <family val="2"/>
      <b val="1"/>
      <sz val="9"/>
    </font>
    <font>
      <name val="Arial Cyr"/>
      <charset val="204"/>
      <family val="2"/>
      <sz val="9"/>
    </font>
    <font>
      <name val="Arial Cyr"/>
      <charset val="204"/>
      <family val="0"/>
      <b val="1"/>
      <sz val="9"/>
    </font>
    <font>
      <name val="Times New Roman"/>
      <charset val="204"/>
      <family val="1"/>
      <b val="1"/>
      <sz val="10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hair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hair"/>
      <right/>
      <top/>
      <bottom style="thin"/>
      <diagonal/>
    </border>
    <border>
      <left style="thin"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/>
      <top/>
      <bottom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 style="hair"/>
      <top style="hair"/>
      <bottom/>
      <diagonal/>
    </border>
    <border>
      <left style="hair"/>
      <right style="thin"/>
      <top style="hair"/>
      <bottom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thin"/>
      <right/>
      <top style="thin"/>
      <bottom style="thin"/>
      <diagonal/>
    </border>
    <border>
      <left style="thin"/>
      <right style="hair"/>
      <top style="hair"/>
      <bottom/>
      <diagonal/>
    </border>
    <border>
      <left style="thin"/>
      <right style="hair"/>
      <top/>
      <bottom style="hair"/>
      <diagonal/>
    </border>
    <border>
      <left style="thin"/>
      <right/>
      <top/>
      <bottom style="thin"/>
      <diagonal/>
    </border>
    <border>
      <left/>
      <right style="hair"/>
      <top/>
      <bottom style="hair"/>
      <diagonal/>
    </border>
    <border>
      <left/>
      <right style="hair"/>
      <top style="hair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hair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hair"/>
      <bottom style="hair"/>
      <diagonal/>
    </border>
    <border>
      <left/>
      <right/>
      <top style="hair"/>
      <bottom style="hair"/>
      <diagonal/>
    </border>
    <border>
      <left style="hair"/>
      <right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/>
      <diagonal/>
    </border>
    <border>
      <left/>
      <right/>
      <top style="hair"/>
      <bottom/>
      <diagonal/>
    </border>
    <border>
      <left style="hair"/>
      <right/>
      <top style="hair"/>
      <bottom/>
      <diagonal/>
    </border>
    <border>
      <left style="thin"/>
      <right/>
      <top style="hair"/>
      <bottom/>
      <diagonal/>
    </border>
    <border>
      <left/>
      <right style="thin"/>
      <top/>
      <bottom style="hair"/>
      <diagonal/>
    </border>
    <border>
      <left/>
      <right/>
      <top/>
      <bottom style="hair"/>
      <diagonal/>
    </border>
    <border>
      <left style="hair"/>
      <right/>
      <top/>
      <bottom style="hair"/>
      <diagonal/>
    </border>
    <border>
      <left style="thin"/>
      <right/>
      <top/>
      <bottom style="hair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hair"/>
      <right/>
      <top style="hair"/>
      <bottom style="thin"/>
      <diagonal/>
    </border>
    <border>
      <left style="thin"/>
      <right/>
      <top style="hair"/>
      <bottom style="thin"/>
      <diagonal/>
    </border>
    <border>
      <left/>
      <right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</borders>
  <cellStyleXfs count="14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 applyAlignment="1">
      <alignment horizontal="general" vertical="bottom"/>
    </xf>
    <xf numFmtId="0" fontId="4" fillId="0" borderId="1" applyAlignment="1">
      <alignment horizontal="left" vertical="top" wrapText="1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8" fillId="0" borderId="0" applyAlignment="1">
      <alignment horizontal="general" vertical="bottom"/>
    </xf>
    <xf numFmtId="9" fontId="0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17"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49" fontId="1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/>
    </xf>
    <xf numFmtId="0" fontId="11" fillId="0" borderId="0" applyAlignment="1" pivotButton="0" quotePrefix="0" xfId="2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left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2" fillId="0" borderId="0" applyAlignment="1" pivotButton="0" quotePrefix="0" xfId="2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 indent="2"/>
    </xf>
    <xf numFmtId="0" fontId="19" fillId="0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22" fillId="0" borderId="0" applyAlignment="1" pivotButton="0" quotePrefix="0" xfId="20">
      <alignment horizontal="left" vertical="center"/>
    </xf>
    <xf numFmtId="165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0" fontId="10" fillId="0" borderId="2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49" fontId="10" fillId="0" borderId="3" applyAlignment="1" pivotButton="0" quotePrefix="0" xfId="0">
      <alignment horizontal="general" vertical="bottom" wrapText="1"/>
    </xf>
    <xf numFmtId="49" fontId="23" fillId="0" borderId="3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 wrapText="1"/>
    </xf>
    <xf numFmtId="164" fontId="24" fillId="0" borderId="8" applyAlignment="1" pivotButton="0" quotePrefix="0" xfId="0">
      <alignment horizontal="center" vertical="center"/>
    </xf>
    <xf numFmtId="164" fontId="24" fillId="0" borderId="9" applyAlignment="1" pivotButton="0" quotePrefix="0" xfId="0">
      <alignment horizontal="center" vertical="center"/>
    </xf>
    <xf numFmtId="164" fontId="24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 wrapText="1"/>
    </xf>
    <xf numFmtId="164" fontId="24" fillId="0" borderId="12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164" fontId="24" fillId="0" borderId="13" applyAlignment="1" pivotButton="0" quotePrefix="0" xfId="0">
      <alignment horizontal="center" vertical="center"/>
    </xf>
    <xf numFmtId="164" fontId="24" fillId="0" borderId="14" applyAlignment="1" pivotButton="0" quotePrefix="0" xfId="0">
      <alignment horizontal="center" vertical="center"/>
    </xf>
    <xf numFmtId="164" fontId="24" fillId="0" borderId="15" applyAlignment="1" pivotButton="0" quotePrefix="0" xfId="0">
      <alignment horizontal="center" vertical="center"/>
    </xf>
    <xf numFmtId="164" fontId="24" fillId="0" borderId="16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 wrapText="1"/>
    </xf>
    <xf numFmtId="0" fontId="9" fillId="0" borderId="3" applyAlignment="1" pivotButton="0" quotePrefix="0" xfId="0">
      <alignment horizontal="general" vertical="bottom" wrapText="1"/>
    </xf>
    <xf numFmtId="49" fontId="24" fillId="0" borderId="1" applyAlignment="1" pivotButton="0" quotePrefix="0" xfId="0">
      <alignment horizontal="center" vertical="center"/>
    </xf>
    <xf numFmtId="164" fontId="24" fillId="0" borderId="17" applyAlignment="1" pivotButton="0" quotePrefix="0" xfId="0">
      <alignment horizontal="center" vertical="center"/>
    </xf>
    <xf numFmtId="164" fontId="24" fillId="0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 wrapText="1"/>
    </xf>
    <xf numFmtId="164" fontId="24" fillId="0" borderId="19" applyAlignment="1" pivotButton="0" quotePrefix="0" xfId="0">
      <alignment horizontal="center" vertical="center"/>
    </xf>
    <xf numFmtId="164" fontId="24" fillId="0" borderId="20" applyAlignment="1" pivotButton="0" quotePrefix="0" xfId="0">
      <alignment horizontal="center" vertical="center"/>
    </xf>
    <xf numFmtId="164" fontId="23" fillId="0" borderId="21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/>
    </xf>
    <xf numFmtId="164" fontId="2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23" fillId="0" borderId="6" applyAlignment="1" pivotButton="0" quotePrefix="0" xfId="23">
      <alignment horizontal="center" vertical="center"/>
    </xf>
    <xf numFmtId="164" fontId="24" fillId="0" borderId="22" applyAlignment="1" pivotButton="0" quotePrefix="0" xfId="0">
      <alignment horizontal="center" vertical="center"/>
    </xf>
    <xf numFmtId="164" fontId="24" fillId="0" borderId="23" applyAlignment="1" pivotButton="0" quotePrefix="0" xfId="0">
      <alignment horizontal="center" vertical="center"/>
    </xf>
    <xf numFmtId="0" fontId="28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general" vertical="bottom"/>
    </xf>
    <xf numFmtId="0" fontId="28" fillId="0" borderId="0" applyAlignment="1" pivotButton="0" quotePrefix="0" xfId="23">
      <alignment horizontal="left" vertical="top" wrapText="1"/>
    </xf>
    <xf numFmtId="164" fontId="9" fillId="0" borderId="0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left" vertical="center" wrapText="1"/>
    </xf>
    <xf numFmtId="164" fontId="23" fillId="0" borderId="4" applyAlignment="1" pivotButton="0" quotePrefix="0" xfId="0">
      <alignment horizontal="general" vertical="center"/>
    </xf>
    <xf numFmtId="164" fontId="23" fillId="0" borderId="4" applyAlignment="1" pivotButton="0" quotePrefix="0" xfId="0">
      <alignment horizontal="right" vertical="center"/>
    </xf>
    <xf numFmtId="164" fontId="23" fillId="0" borderId="6" applyAlignment="1" pivotButton="0" quotePrefix="0" xfId="0">
      <alignment horizontal="general" vertical="bottom"/>
    </xf>
    <xf numFmtId="164" fontId="24" fillId="0" borderId="8" applyAlignment="1" pivotButton="0" quotePrefix="0" xfId="0">
      <alignment horizontal="general" vertical="bottom"/>
    </xf>
    <xf numFmtId="164" fontId="24" fillId="0" borderId="9" applyAlignment="1" pivotButton="0" quotePrefix="0" xfId="0">
      <alignment horizontal="general" vertical="bottom"/>
    </xf>
    <xf numFmtId="164" fontId="24" fillId="0" borderId="10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13" applyAlignment="1" pivotButton="0" quotePrefix="0" xfId="0">
      <alignment horizontal="general" vertical="bottom"/>
    </xf>
    <xf numFmtId="164" fontId="24" fillId="0" borderId="14" applyAlignment="1" pivotButton="0" quotePrefix="0" xfId="0">
      <alignment horizontal="general" vertical="bottom"/>
    </xf>
    <xf numFmtId="164" fontId="24" fillId="0" borderId="15" applyAlignment="1" pivotButton="0" quotePrefix="0" xfId="0">
      <alignment horizontal="general" vertical="bottom"/>
    </xf>
    <xf numFmtId="164" fontId="24" fillId="0" borderId="16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22" applyAlignment="1" pivotButton="0" quotePrefix="0" xfId="0">
      <alignment horizontal="general" vertical="bottom"/>
    </xf>
    <xf numFmtId="164" fontId="24" fillId="0" borderId="17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general" vertical="bottom"/>
    </xf>
    <xf numFmtId="164" fontId="24" fillId="0" borderId="23" applyAlignment="1" pivotButton="0" quotePrefix="0" xfId="0">
      <alignment horizontal="general" vertical="bottom"/>
    </xf>
    <xf numFmtId="164" fontId="24" fillId="0" borderId="19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165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49" fontId="10" fillId="0" borderId="5" applyAlignment="1" pivotButton="0" quotePrefix="0" xfId="0">
      <alignment horizontal="general" vertical="bottom" wrapText="1"/>
    </xf>
    <xf numFmtId="49" fontId="23" fillId="0" borderId="6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general" vertical="bottom"/>
    </xf>
    <xf numFmtId="49" fontId="24" fillId="0" borderId="12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bottom"/>
    </xf>
    <xf numFmtId="0" fontId="10" fillId="0" borderId="5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 wrapText="1"/>
    </xf>
    <xf numFmtId="0" fontId="9" fillId="0" borderId="0" applyAlignment="1" pivotButton="0" quotePrefix="0" xfId="0">
      <alignment horizontal="justify" vertical="center"/>
    </xf>
    <xf numFmtId="0" fontId="13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20">
      <alignment horizontal="left" vertical="center"/>
    </xf>
    <xf numFmtId="49" fontId="31" fillId="0" borderId="24" applyAlignment="1" pivotButton="0" quotePrefix="0" xfId="0">
      <alignment horizontal="left" vertical="center" wrapText="1"/>
    </xf>
    <xf numFmtId="49" fontId="13" fillId="0" borderId="6" applyAlignment="1" pivotButton="0" quotePrefix="0" xfId="0">
      <alignment horizontal="general" vertical="bottom" wrapText="1"/>
    </xf>
    <xf numFmtId="0" fontId="23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 wrapText="1"/>
    </xf>
    <xf numFmtId="164" fontId="24" fillId="0" borderId="25" applyAlignment="1" pivotButton="0" quotePrefix="0" xfId="0">
      <alignment horizontal="center" vertical="center"/>
    </xf>
    <xf numFmtId="164" fontId="24" fillId="0" borderId="26" applyAlignment="1" pivotButton="0" quotePrefix="0" xfId="0">
      <alignment horizontal="center" vertical="center"/>
    </xf>
    <xf numFmtId="164" fontId="24" fillId="0" borderId="27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 wrapText="1"/>
    </xf>
    <xf numFmtId="49" fontId="13" fillId="0" borderId="21" applyAlignment="1" pivotButton="0" quotePrefix="0" xfId="0">
      <alignment horizontal="general" vertical="bottom" wrapText="1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left" vertical="bottom"/>
    </xf>
    <xf numFmtId="0" fontId="13" fillId="0" borderId="21" applyAlignment="1" pivotButton="0" quotePrefix="0" xfId="0">
      <alignment horizontal="left" vertical="bottom" wrapText="1"/>
    </xf>
    <xf numFmtId="0" fontId="31" fillId="0" borderId="21" applyAlignment="1" pivotButton="0" quotePrefix="0" xfId="0">
      <alignment horizontal="left" vertical="bottom"/>
    </xf>
    <xf numFmtId="164" fontId="24" fillId="0" borderId="28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49" fontId="31" fillId="0" borderId="24" applyAlignment="1" pivotButton="0" quotePrefix="0" xfId="0">
      <alignment horizontal="general" vertical="bottom" wrapText="1"/>
    </xf>
    <xf numFmtId="0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0" fontId="13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left" vertical="bottom"/>
    </xf>
    <xf numFmtId="0" fontId="13" fillId="0" borderId="6" applyAlignment="1" pivotButton="0" quotePrefix="0" xfId="0">
      <alignment horizontal="left" vertical="bottom" wrapText="1"/>
    </xf>
    <xf numFmtId="0" fontId="31" fillId="0" borderId="6" applyAlignment="1" pivotButton="0" quotePrefix="0" xfId="0">
      <alignment horizontal="left" vertical="bottom"/>
    </xf>
    <xf numFmtId="0" fontId="32" fillId="0" borderId="30" applyAlignment="1" pivotButton="0" quotePrefix="0" xfId="0">
      <alignment horizontal="general" vertical="bottom" wrapText="1"/>
    </xf>
    <xf numFmtId="0" fontId="32" fillId="0" borderId="0" applyAlignment="1" pivotButton="0" quotePrefix="0" xfId="0">
      <alignment horizontal="general" vertical="bottom"/>
    </xf>
    <xf numFmtId="0" fontId="9" fillId="0" borderId="0" applyAlignment="1" pivotButton="0" quotePrefix="0" xfId="23">
      <alignment horizontal="left" vertical="top" wrapText="1"/>
    </xf>
    <xf numFmtId="0" fontId="9" fillId="0" borderId="0" applyAlignment="1" pivotButton="0" quotePrefix="0" xfId="23">
      <alignment horizontal="general" vertical="top" wrapText="1"/>
    </xf>
    <xf numFmtId="0" fontId="7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165" fontId="22" fillId="0" borderId="0" applyAlignment="1" pivotButton="0" quotePrefix="0" xfId="20">
      <alignment horizontal="general" vertical="center"/>
    </xf>
    <xf numFmtId="3" fontId="22" fillId="0" borderId="0" applyAlignment="1" pivotButton="0" quotePrefix="0" xfId="20">
      <alignment horizontal="general" vertical="center"/>
    </xf>
    <xf numFmtId="0" fontId="34" fillId="0" borderId="0" applyAlignment="1" pivotButton="0" quotePrefix="0" xfId="26">
      <alignment horizontal="general" vertical="bottom"/>
    </xf>
    <xf numFmtId="3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6">
      <alignment horizontal="center" vertical="bottom"/>
    </xf>
    <xf numFmtId="164" fontId="35" fillId="0" borderId="0" applyAlignment="1" pivotButton="0" quotePrefix="0" xfId="26">
      <alignment horizontal="general" vertical="bottom"/>
    </xf>
    <xf numFmtId="164" fontId="8" fillId="0" borderId="0" applyAlignment="1" pivotButton="0" quotePrefix="0" xfId="25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35" fillId="0" borderId="0" applyAlignment="1" pivotButton="0" quotePrefix="0" xfId="26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23" fillId="0" borderId="29" applyAlignment="1" pivotButton="0" quotePrefix="0" xfId="0">
      <alignment horizontal="center" vertical="center"/>
    </xf>
    <xf numFmtId="164" fontId="36" fillId="0" borderId="0" applyAlignment="1" pivotButton="0" quotePrefix="0" xfId="26">
      <alignment horizontal="general" vertical="bottom"/>
    </xf>
    <xf numFmtId="164" fontId="34" fillId="0" borderId="0" applyAlignment="1" pivotButton="0" quotePrefix="0" xfId="26">
      <alignment horizontal="general" vertical="bottom"/>
    </xf>
    <xf numFmtId="0" fontId="9" fillId="0" borderId="31" applyAlignment="1" pivotButton="0" quotePrefix="0" xfId="0">
      <alignment horizontal="general" vertical="bottom" wrapText="1"/>
    </xf>
    <xf numFmtId="164" fontId="37" fillId="0" borderId="0" applyAlignment="1" pivotButton="0" quotePrefix="0" xfId="26">
      <alignment horizontal="general" vertical="bottom"/>
    </xf>
    <xf numFmtId="164" fontId="37" fillId="0" borderId="0" applyAlignment="1" pivotButton="0" quotePrefix="0" xfId="26">
      <alignment horizontal="general" vertical="bottom"/>
    </xf>
    <xf numFmtId="0" fontId="8" fillId="0" borderId="0" applyAlignment="1" pivotButton="0" quotePrefix="0" xfId="25">
      <alignment horizontal="general" vertical="bottom"/>
    </xf>
    <xf numFmtId="49" fontId="24" fillId="0" borderId="26" applyAlignment="1" pivotButton="0" quotePrefix="0" xfId="0">
      <alignment horizontal="center" vertical="center"/>
    </xf>
    <xf numFmtId="0" fontId="8" fillId="0" borderId="0" applyAlignment="1" pivotButton="0" quotePrefix="0" xfId="25">
      <alignment horizontal="general" vertical="bottom"/>
    </xf>
    <xf numFmtId="164" fontId="23" fillId="0" borderId="32" applyAlignment="1" pivotButton="0" quotePrefix="0" xfId="0">
      <alignment horizontal="center" vertical="center"/>
    </xf>
    <xf numFmtId="164" fontId="3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7" fillId="0" borderId="0" applyAlignment="1" pivotButton="0" quotePrefix="0" xfId="25">
      <alignment horizontal="left" vertical="bottom"/>
    </xf>
    <xf numFmtId="0" fontId="34" fillId="0" borderId="0" applyAlignment="1" pivotButton="0" quotePrefix="0" xfId="26">
      <alignment horizontal="general" vertical="bottom"/>
    </xf>
    <xf numFmtId="0" fontId="35" fillId="0" borderId="0" applyAlignment="1" pivotButton="0" quotePrefix="0" xfId="26">
      <alignment horizontal="general" vertical="bottom"/>
    </xf>
    <xf numFmtId="0" fontId="35" fillId="0" borderId="2" applyAlignment="1" pivotButton="0" quotePrefix="0" xfId="26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49" fontId="23" fillId="0" borderId="21" applyAlignment="1" pivotButton="0" quotePrefix="0" xfId="0">
      <alignment horizontal="center" vertical="center" wrapText="1"/>
    </xf>
    <xf numFmtId="49" fontId="23" fillId="0" borderId="29" applyAlignment="1" pivotButton="0" quotePrefix="0" xfId="0">
      <alignment horizontal="center" vertical="center" wrapText="1"/>
    </xf>
    <xf numFmtId="49" fontId="23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25">
      <alignment horizontal="general" vertical="bottom" wrapText="1"/>
    </xf>
    <xf numFmtId="164" fontId="23" fillId="0" borderId="33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/>
    </xf>
    <xf numFmtId="164" fontId="24" fillId="0" borderId="34" applyAlignment="1" pivotButton="0" quotePrefix="0" xfId="0">
      <alignment horizontal="center" vertical="center"/>
    </xf>
    <xf numFmtId="164" fontId="24" fillId="0" borderId="35" applyAlignment="1" pivotButton="0" quotePrefix="0" xfId="0">
      <alignment horizontal="center" vertical="center"/>
    </xf>
    <xf numFmtId="164" fontId="24" fillId="0" borderId="36" applyAlignment="1" pivotButton="0" quotePrefix="0" xfId="0">
      <alignment horizontal="center" vertical="center"/>
    </xf>
    <xf numFmtId="164" fontId="24" fillId="0" borderId="37" applyAlignment="1" pivotButton="0" quotePrefix="0" xfId="0">
      <alignment horizontal="center" vertical="center"/>
    </xf>
    <xf numFmtId="49" fontId="24" fillId="0" borderId="34" applyAlignment="1" pivotButton="0" quotePrefix="0" xfId="0">
      <alignment horizontal="center" vertical="center"/>
    </xf>
    <xf numFmtId="49" fontId="24" fillId="0" borderId="35" applyAlignment="1" pivotButton="0" quotePrefix="0" xfId="0">
      <alignment horizontal="center" vertical="center"/>
    </xf>
    <xf numFmtId="164" fontId="24" fillId="0" borderId="38" applyAlignment="1" pivotButton="0" quotePrefix="0" xfId="0">
      <alignment horizontal="center" vertical="center"/>
    </xf>
    <xf numFmtId="164" fontId="24" fillId="0" borderId="39" applyAlignment="1" pivotButton="0" quotePrefix="0" xfId="0">
      <alignment horizontal="center" vertical="center"/>
    </xf>
    <xf numFmtId="164" fontId="24" fillId="0" borderId="40" applyAlignment="1" pivotButton="0" quotePrefix="0" xfId="0">
      <alignment horizontal="center" vertical="center"/>
    </xf>
    <xf numFmtId="164" fontId="24" fillId="0" borderId="41" applyAlignment="1" pivotButton="0" quotePrefix="0" xfId="0">
      <alignment horizontal="center" vertical="center"/>
    </xf>
    <xf numFmtId="164" fontId="24" fillId="0" borderId="42" applyAlignment="1" pivotButton="0" quotePrefix="0" xfId="0">
      <alignment horizontal="center" vertical="center"/>
    </xf>
    <xf numFmtId="164" fontId="24" fillId="0" borderId="43" applyAlignment="1" pivotButton="0" quotePrefix="0" xfId="0">
      <alignment horizontal="center" vertical="center"/>
    </xf>
    <xf numFmtId="164" fontId="24" fillId="0" borderId="44" applyAlignment="1" pivotButton="0" quotePrefix="0" xfId="0">
      <alignment horizontal="center" vertical="center"/>
    </xf>
    <xf numFmtId="164" fontId="24" fillId="0" borderId="45" applyAlignment="1" pivotButton="0" quotePrefix="0" xfId="0">
      <alignment horizontal="center" vertical="center"/>
    </xf>
    <xf numFmtId="164" fontId="24" fillId="0" borderId="46" applyAlignment="1" pivotButton="0" quotePrefix="0" xfId="0">
      <alignment horizontal="center" vertical="center"/>
    </xf>
    <xf numFmtId="164" fontId="24" fillId="0" borderId="47" applyAlignment="1" pivotButton="0" quotePrefix="0" xfId="0">
      <alignment horizontal="center" vertical="center"/>
    </xf>
    <xf numFmtId="164" fontId="24" fillId="0" borderId="48" applyAlignment="1" pivotButton="0" quotePrefix="0" xfId="0">
      <alignment horizontal="center" vertical="center"/>
    </xf>
    <xf numFmtId="164" fontId="24" fillId="0" borderId="49" applyAlignment="1" pivotButton="0" quotePrefix="0" xfId="0">
      <alignment horizontal="center" vertical="center"/>
    </xf>
    <xf numFmtId="0" fontId="6" fillId="0" borderId="0" applyAlignment="1" pivotButton="0" quotePrefix="0" xfId="23">
      <alignment horizontal="general" vertical="bottom"/>
    </xf>
    <xf numFmtId="165" fontId="22" fillId="0" borderId="50" applyAlignment="1" pivotButton="0" quotePrefix="0" xfId="20">
      <alignment horizontal="left" vertical="center"/>
    </xf>
    <xf numFmtId="0" fontId="39" fillId="0" borderId="51" applyAlignment="1" pivotButton="0" quotePrefix="0" xfId="0">
      <alignment horizontal="center" vertical="center" wrapText="1"/>
    </xf>
    <xf numFmtId="0" fontId="39" fillId="0" borderId="52" applyAlignment="1" pivotButton="0" quotePrefix="0" xfId="0">
      <alignment horizontal="center" vertical="center" wrapText="1"/>
    </xf>
    <xf numFmtId="0" fontId="39" fillId="0" borderId="53" applyAlignment="1" pivotButton="0" quotePrefix="0" xfId="0">
      <alignment horizontal="center" vertical="center" wrapText="1"/>
    </xf>
    <xf numFmtId="0" fontId="29" fillId="0" borderId="54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 wrapText="1"/>
    </xf>
    <xf numFmtId="0" fontId="29" fillId="0" borderId="55" applyAlignment="1" pivotButton="0" quotePrefix="0" xfId="0">
      <alignment horizontal="center" vertical="center"/>
    </xf>
    <xf numFmtId="0" fontId="29" fillId="0" borderId="5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general" vertical="bottom"/>
    </xf>
    <xf numFmtId="49" fontId="1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/>
    </xf>
    <xf numFmtId="0" fontId="11" fillId="0" borderId="0" applyAlignment="1" pivotButton="0" quotePrefix="0" xfId="2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left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2" fillId="0" borderId="0" applyAlignment="1" pivotButton="0" quotePrefix="0" xfId="2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 indent="2"/>
    </xf>
    <xf numFmtId="0" fontId="19" fillId="0" borderId="0" applyAlignment="1" pivotButton="0" quotePrefix="0" xfId="2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22" fillId="0" borderId="0" applyAlignment="1" pivotButton="0" quotePrefix="0" xfId="20">
      <alignment horizontal="left" vertical="center"/>
    </xf>
    <xf numFmtId="165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0" fontId="10" fillId="0" borderId="2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49" fontId="10" fillId="0" borderId="3" applyAlignment="1" pivotButton="0" quotePrefix="0" xfId="0">
      <alignment horizontal="general" vertical="bottom" wrapText="1"/>
    </xf>
    <xf numFmtId="49" fontId="23" fillId="0" borderId="3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 wrapText="1"/>
    </xf>
    <xf numFmtId="164" fontId="24" fillId="0" borderId="8" applyAlignment="1" pivotButton="0" quotePrefix="0" xfId="0">
      <alignment horizontal="center" vertical="center"/>
    </xf>
    <xf numFmtId="164" fontId="24" fillId="0" borderId="9" applyAlignment="1" pivotButton="0" quotePrefix="0" xfId="0">
      <alignment horizontal="center" vertical="center"/>
    </xf>
    <xf numFmtId="164" fontId="24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 wrapText="1"/>
    </xf>
    <xf numFmtId="164" fontId="24" fillId="0" borderId="12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164" fontId="24" fillId="0" borderId="13" applyAlignment="1" pivotButton="0" quotePrefix="0" xfId="0">
      <alignment horizontal="center" vertical="center"/>
    </xf>
    <xf numFmtId="164" fontId="24" fillId="0" borderId="14" applyAlignment="1" pivotButton="0" quotePrefix="0" xfId="0">
      <alignment horizontal="center" vertical="center"/>
    </xf>
    <xf numFmtId="164" fontId="24" fillId="0" borderId="15" applyAlignment="1" pivotButton="0" quotePrefix="0" xfId="0">
      <alignment horizontal="center" vertical="center"/>
    </xf>
    <xf numFmtId="164" fontId="24" fillId="0" borderId="16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 wrapText="1"/>
    </xf>
    <xf numFmtId="0" fontId="9" fillId="0" borderId="3" applyAlignment="1" pivotButton="0" quotePrefix="0" xfId="0">
      <alignment horizontal="general" vertical="bottom" wrapText="1"/>
    </xf>
    <xf numFmtId="49" fontId="24" fillId="0" borderId="1" applyAlignment="1" pivotButton="0" quotePrefix="0" xfId="0">
      <alignment horizontal="center" vertical="center"/>
    </xf>
    <xf numFmtId="164" fontId="24" fillId="0" borderId="17" applyAlignment="1" pivotButton="0" quotePrefix="0" xfId="0">
      <alignment horizontal="center" vertical="center"/>
    </xf>
    <xf numFmtId="164" fontId="24" fillId="0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 wrapText="1"/>
    </xf>
    <xf numFmtId="164" fontId="24" fillId="0" borderId="19" applyAlignment="1" pivotButton="0" quotePrefix="0" xfId="0">
      <alignment horizontal="center" vertical="center"/>
    </xf>
    <xf numFmtId="164" fontId="24" fillId="0" borderId="20" applyAlignment="1" pivotButton="0" quotePrefix="0" xfId="0">
      <alignment horizontal="center" vertical="center"/>
    </xf>
    <xf numFmtId="164" fontId="23" fillId="0" borderId="21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/>
    </xf>
    <xf numFmtId="164" fontId="2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23" fillId="0" borderId="6" applyAlignment="1" pivotButton="0" quotePrefix="0" xfId="23">
      <alignment horizontal="center" vertical="center"/>
    </xf>
    <xf numFmtId="164" fontId="24" fillId="0" borderId="22" applyAlignment="1" pivotButton="0" quotePrefix="0" xfId="0">
      <alignment horizontal="center" vertical="center"/>
    </xf>
    <xf numFmtId="164" fontId="24" fillId="0" borderId="23" applyAlignment="1" pivotButton="0" quotePrefix="0" xfId="0">
      <alignment horizontal="center" vertical="center"/>
    </xf>
    <xf numFmtId="0" fontId="28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165" fontId="10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general" vertical="center"/>
    </xf>
    <xf numFmtId="0" fontId="9" fillId="0" borderId="3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left" vertical="bottom" wrapText="1"/>
    </xf>
    <xf numFmtId="0" fontId="28" fillId="0" borderId="0" applyAlignment="1" pivotButton="0" quotePrefix="0" xfId="23">
      <alignment horizontal="left" vertical="top" wrapText="1"/>
    </xf>
    <xf numFmtId="165" fontId="10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23" fillId="0" borderId="4" applyAlignment="1" pivotButton="0" quotePrefix="0" xfId="0">
      <alignment horizontal="general" vertical="center"/>
    </xf>
    <xf numFmtId="164" fontId="23" fillId="0" borderId="4" applyAlignment="1" pivotButton="0" quotePrefix="0" xfId="0">
      <alignment horizontal="right" vertical="center"/>
    </xf>
    <xf numFmtId="164" fontId="23" fillId="0" borderId="6" applyAlignment="1" pivotButton="0" quotePrefix="0" xfId="0">
      <alignment horizontal="general" vertical="bottom"/>
    </xf>
    <xf numFmtId="164" fontId="24" fillId="0" borderId="8" applyAlignment="1" pivotButton="0" quotePrefix="0" xfId="0">
      <alignment horizontal="general" vertical="bottom"/>
    </xf>
    <xf numFmtId="164" fontId="24" fillId="0" borderId="9" applyAlignment="1" pivotButton="0" quotePrefix="0" xfId="0">
      <alignment horizontal="general" vertical="bottom"/>
    </xf>
    <xf numFmtId="164" fontId="24" fillId="0" borderId="10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13" applyAlignment="1" pivotButton="0" quotePrefix="0" xfId="0">
      <alignment horizontal="general" vertical="bottom"/>
    </xf>
    <xf numFmtId="164" fontId="24" fillId="0" borderId="14" applyAlignment="1" pivotButton="0" quotePrefix="0" xfId="0">
      <alignment horizontal="general" vertical="bottom"/>
    </xf>
    <xf numFmtId="164" fontId="24" fillId="0" borderId="15" applyAlignment="1" pivotButton="0" quotePrefix="0" xfId="0">
      <alignment horizontal="general" vertical="bottom"/>
    </xf>
    <xf numFmtId="164" fontId="24" fillId="0" borderId="16" applyAlignment="1" pivotButton="0" quotePrefix="0" xfId="0">
      <alignment horizontal="general" vertical="bottom"/>
    </xf>
    <xf numFmtId="164" fontId="24" fillId="0" borderId="22" applyAlignment="1" pivotButton="0" quotePrefix="0" xfId="0">
      <alignment horizontal="general" vertical="bottom"/>
    </xf>
    <xf numFmtId="164" fontId="24" fillId="0" borderId="17" applyAlignment="1" pivotButton="0" quotePrefix="0" xfId="0">
      <alignment horizontal="general" vertical="bottom"/>
    </xf>
    <xf numFmtId="164" fontId="24" fillId="0" borderId="23" applyAlignment="1" pivotButton="0" quotePrefix="0" xfId="0">
      <alignment horizontal="general" vertical="bottom"/>
    </xf>
    <xf numFmtId="164" fontId="24" fillId="0" borderId="19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165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49" fontId="10" fillId="0" borderId="5" applyAlignment="1" pivotButton="0" quotePrefix="0" xfId="0">
      <alignment horizontal="general" vertical="bottom" wrapText="1"/>
    </xf>
    <xf numFmtId="49" fontId="23" fillId="0" borderId="6" applyAlignment="1" pivotButton="0" quotePrefix="0" xfId="0">
      <alignment horizontal="center" vertical="center" wrapText="1"/>
    </xf>
    <xf numFmtId="49" fontId="24" fillId="0" borderId="12" applyAlignment="1" pivotButton="0" quotePrefix="0" xfId="0">
      <alignment horizontal="center" vertical="center"/>
    </xf>
    <xf numFmtId="0" fontId="9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bottom"/>
    </xf>
    <xf numFmtId="0" fontId="10" fillId="0" borderId="5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20">
      <alignment horizontal="left" vertical="center"/>
    </xf>
    <xf numFmtId="49" fontId="31" fillId="0" borderId="24" applyAlignment="1" pivotButton="0" quotePrefix="0" xfId="0">
      <alignment horizontal="left" vertical="center" wrapText="1"/>
    </xf>
    <xf numFmtId="49" fontId="13" fillId="0" borderId="6" applyAlignment="1" pivotButton="0" quotePrefix="0" xfId="0">
      <alignment horizontal="general" vertical="bottom" wrapText="1"/>
    </xf>
    <xf numFmtId="0" fontId="23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 wrapText="1"/>
    </xf>
    <xf numFmtId="164" fontId="24" fillId="0" borderId="25" applyAlignment="1" pivotButton="0" quotePrefix="0" xfId="0">
      <alignment horizontal="center" vertical="center"/>
    </xf>
    <xf numFmtId="164" fontId="24" fillId="0" borderId="26" applyAlignment="1" pivotButton="0" quotePrefix="0" xfId="0">
      <alignment horizontal="center" vertical="center"/>
    </xf>
    <xf numFmtId="164" fontId="24" fillId="0" borderId="27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 wrapText="1"/>
    </xf>
    <xf numFmtId="49" fontId="13" fillId="0" borderId="21" applyAlignment="1" pivotButton="0" quotePrefix="0" xfId="0">
      <alignment horizontal="general" vertical="bottom" wrapText="1"/>
    </xf>
    <xf numFmtId="0" fontId="13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left" vertical="bottom"/>
    </xf>
    <xf numFmtId="0" fontId="13" fillId="0" borderId="21" applyAlignment="1" pivotButton="0" quotePrefix="0" xfId="0">
      <alignment horizontal="left" vertical="bottom" wrapText="1"/>
    </xf>
    <xf numFmtId="0" fontId="31" fillId="0" borderId="21" applyAlignment="1" pivotButton="0" quotePrefix="0" xfId="0">
      <alignment horizontal="left" vertical="bottom"/>
    </xf>
    <xf numFmtId="164" fontId="24" fillId="0" borderId="28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49" fontId="31" fillId="0" borderId="24" applyAlignment="1" pivotButton="0" quotePrefix="0" xfId="0">
      <alignment horizontal="general" vertical="bottom" wrapText="1"/>
    </xf>
    <xf numFmtId="0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0" fontId="13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 wrapText="1"/>
    </xf>
    <xf numFmtId="0" fontId="13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left" vertical="bottom"/>
    </xf>
    <xf numFmtId="0" fontId="13" fillId="0" borderId="6" applyAlignment="1" pivotButton="0" quotePrefix="0" xfId="0">
      <alignment horizontal="left" vertical="bottom" wrapText="1"/>
    </xf>
    <xf numFmtId="0" fontId="31" fillId="0" borderId="6" applyAlignment="1" pivotButton="0" quotePrefix="0" xfId="0">
      <alignment horizontal="left" vertical="bottom"/>
    </xf>
    <xf numFmtId="0" fontId="32" fillId="0" borderId="30" applyAlignment="1" pivotButton="0" quotePrefix="0" xfId="0">
      <alignment horizontal="general" vertical="bottom" wrapText="1"/>
    </xf>
    <xf numFmtId="0" fontId="0" fillId="0" borderId="30" pivotButton="0" quotePrefix="0" xfId="0"/>
    <xf numFmtId="0" fontId="9" fillId="0" borderId="0" applyAlignment="1" pivotButton="0" quotePrefix="0" xfId="23">
      <alignment horizontal="left" vertical="top" wrapText="1"/>
    </xf>
    <xf numFmtId="0" fontId="9" fillId="0" borderId="0" applyAlignment="1" pivotButton="0" quotePrefix="0" xfId="23">
      <alignment horizontal="general" vertical="top" wrapText="1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5">
      <alignment horizontal="general" vertical="bottom"/>
    </xf>
    <xf numFmtId="165" fontId="22" fillId="0" borderId="0" applyAlignment="1" pivotButton="0" quotePrefix="0" xfId="20">
      <alignment horizontal="general" vertical="center"/>
    </xf>
    <xf numFmtId="3" fontId="22" fillId="0" borderId="0" applyAlignment="1" pivotButton="0" quotePrefix="0" xfId="20">
      <alignment horizontal="general" vertical="center"/>
    </xf>
    <xf numFmtId="0" fontId="34" fillId="0" borderId="0" applyAlignment="1" pivotButton="0" quotePrefix="0" xfId="26">
      <alignment horizontal="general" vertical="bottom"/>
    </xf>
    <xf numFmtId="3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center" vertical="bottom"/>
    </xf>
    <xf numFmtId="164" fontId="35" fillId="0" borderId="0" applyAlignment="1" pivotButton="0" quotePrefix="0" xfId="26">
      <alignment horizontal="general" vertical="bottom"/>
    </xf>
    <xf numFmtId="164" fontId="8" fillId="0" borderId="0" applyAlignment="1" pivotButton="0" quotePrefix="0" xfId="25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23" fillId="0" borderId="29" applyAlignment="1" pivotButton="0" quotePrefix="0" xfId="0">
      <alignment horizontal="center" vertical="center"/>
    </xf>
    <xf numFmtId="164" fontId="36" fillId="0" borderId="0" applyAlignment="1" pivotButton="0" quotePrefix="0" xfId="26">
      <alignment horizontal="general" vertical="bottom"/>
    </xf>
    <xf numFmtId="164" fontId="34" fillId="0" borderId="0" applyAlignment="1" pivotButton="0" quotePrefix="0" xfId="26">
      <alignment horizontal="general" vertical="bottom"/>
    </xf>
    <xf numFmtId="0" fontId="9" fillId="0" borderId="31" applyAlignment="1" pivotButton="0" quotePrefix="0" xfId="0">
      <alignment horizontal="general" vertical="bottom" wrapText="1"/>
    </xf>
    <xf numFmtId="164" fontId="37" fillId="0" borderId="0" applyAlignment="1" pivotButton="0" quotePrefix="0" xfId="26">
      <alignment horizontal="general" vertical="bottom"/>
    </xf>
    <xf numFmtId="49" fontId="24" fillId="0" borderId="26" applyAlignment="1" pivotButton="0" quotePrefix="0" xfId="0">
      <alignment horizontal="center" vertical="center"/>
    </xf>
    <xf numFmtId="164" fontId="23" fillId="0" borderId="32" applyAlignment="1" pivotButton="0" quotePrefix="0" xfId="0">
      <alignment horizontal="center" vertical="center"/>
    </xf>
    <xf numFmtId="164" fontId="38" fillId="0" borderId="0" applyAlignment="1" pivotButton="0" quotePrefix="0" xfId="26">
      <alignment horizontal="general" vertical="bottom"/>
    </xf>
    <xf numFmtId="0" fontId="7" fillId="0" borderId="0" applyAlignment="1" pivotButton="0" quotePrefix="0" xfId="25">
      <alignment horizontal="left" vertical="bottom"/>
    </xf>
    <xf numFmtId="0" fontId="35" fillId="0" borderId="0" applyAlignment="1" pivotButton="0" quotePrefix="0" xfId="26">
      <alignment horizontal="general" vertical="bottom"/>
    </xf>
    <xf numFmtId="0" fontId="35" fillId="0" borderId="2" applyAlignment="1" pivotButton="0" quotePrefix="0" xfId="26">
      <alignment horizontal="left" vertical="bottom" wrapText="1"/>
    </xf>
    <xf numFmtId="0" fontId="0" fillId="0" borderId="32" pivotButton="0" quotePrefix="0" xfId="0"/>
    <xf numFmtId="0" fontId="0" fillId="0" borderId="29" pivotButton="0" quotePrefix="0" xfId="0"/>
    <xf numFmtId="49" fontId="23" fillId="0" borderId="21" applyAlignment="1" pivotButton="0" quotePrefix="0" xfId="0">
      <alignment horizontal="center" vertical="center" wrapText="1"/>
    </xf>
    <xf numFmtId="49" fontId="23" fillId="0" borderId="29" applyAlignment="1" pivotButton="0" quotePrefix="0" xfId="0">
      <alignment horizontal="center" vertical="center" wrapText="1"/>
    </xf>
    <xf numFmtId="49" fontId="23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25">
      <alignment horizontal="general" vertical="bottom" wrapText="1"/>
    </xf>
    <xf numFmtId="164" fontId="23" fillId="0" borderId="33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/>
    </xf>
    <xf numFmtId="164" fontId="24" fillId="0" borderId="34" applyAlignment="1" pivotButton="0" quotePrefix="0" xfId="0">
      <alignment horizontal="center" vertical="center"/>
    </xf>
    <xf numFmtId="164" fontId="24" fillId="0" borderId="35" applyAlignment="1" pivotButton="0" quotePrefix="0" xfId="0">
      <alignment horizontal="center" vertical="center"/>
    </xf>
    <xf numFmtId="164" fontId="24" fillId="0" borderId="36" applyAlignment="1" pivotButton="0" quotePrefix="0" xfId="0">
      <alignment horizontal="center" vertical="center"/>
    </xf>
    <xf numFmtId="164" fontId="24" fillId="0" borderId="37" applyAlignment="1" pivotButton="0" quotePrefix="0" xfId="0">
      <alignment horizontal="center" vertical="center"/>
    </xf>
    <xf numFmtId="49" fontId="24" fillId="0" borderId="34" applyAlignment="1" pivotButton="0" quotePrefix="0" xfId="0">
      <alignment horizontal="center" vertical="center"/>
    </xf>
    <xf numFmtId="49" fontId="24" fillId="0" borderId="35" applyAlignment="1" pivotButton="0" quotePrefix="0" xfId="0">
      <alignment horizontal="center" vertical="center"/>
    </xf>
    <xf numFmtId="164" fontId="24" fillId="0" borderId="38" applyAlignment="1" pivotButton="0" quotePrefix="0" xfId="0">
      <alignment horizontal="center" vertical="center"/>
    </xf>
    <xf numFmtId="164" fontId="24" fillId="0" borderId="39" applyAlignment="1" pivotButton="0" quotePrefix="0" xfId="0">
      <alignment horizontal="center" vertical="center"/>
    </xf>
    <xf numFmtId="164" fontId="24" fillId="0" borderId="40" applyAlignment="1" pivotButton="0" quotePrefix="0" xfId="0">
      <alignment horizontal="center" vertical="center"/>
    </xf>
    <xf numFmtId="164" fontId="24" fillId="0" borderId="41" applyAlignment="1" pivotButton="0" quotePrefix="0" xfId="0">
      <alignment horizontal="center" vertical="center"/>
    </xf>
    <xf numFmtId="164" fontId="24" fillId="0" borderId="42" applyAlignment="1" pivotButton="0" quotePrefix="0" xfId="0">
      <alignment horizontal="center" vertical="center"/>
    </xf>
    <xf numFmtId="164" fontId="24" fillId="0" borderId="43" applyAlignment="1" pivotButton="0" quotePrefix="0" xfId="0">
      <alignment horizontal="center" vertical="center"/>
    </xf>
    <xf numFmtId="164" fontId="24" fillId="0" borderId="44" applyAlignment="1" pivotButton="0" quotePrefix="0" xfId="0">
      <alignment horizontal="center" vertical="center"/>
    </xf>
    <xf numFmtId="164" fontId="24" fillId="0" borderId="45" applyAlignment="1" pivotButton="0" quotePrefix="0" xfId="0">
      <alignment horizontal="center" vertical="center"/>
    </xf>
    <xf numFmtId="164" fontId="24" fillId="0" borderId="46" applyAlignment="1" pivotButton="0" quotePrefix="0" xfId="0">
      <alignment horizontal="center" vertical="center"/>
    </xf>
    <xf numFmtId="164" fontId="24" fillId="0" borderId="47" applyAlignment="1" pivotButton="0" quotePrefix="0" xfId="0">
      <alignment horizontal="center" vertical="center"/>
    </xf>
    <xf numFmtId="164" fontId="24" fillId="0" borderId="48" applyAlignment="1" pivotButton="0" quotePrefix="0" xfId="0">
      <alignment horizontal="center" vertical="center"/>
    </xf>
    <xf numFmtId="164" fontId="24" fillId="0" borderId="49" applyAlignment="1" pivotButton="0" quotePrefix="0" xfId="0">
      <alignment horizontal="center" vertical="center"/>
    </xf>
    <xf numFmtId="0" fontId="6" fillId="0" borderId="0" applyAlignment="1" pivotButton="0" quotePrefix="0" xfId="23">
      <alignment horizontal="general" vertical="bottom"/>
    </xf>
    <xf numFmtId="165" fontId="22" fillId="0" borderId="50" applyAlignment="1" pivotButton="0" quotePrefix="0" xfId="20">
      <alignment horizontal="left" vertical="center"/>
    </xf>
    <xf numFmtId="0" fontId="0" fillId="0" borderId="50" pivotButton="0" quotePrefix="0" xfId="0"/>
    <xf numFmtId="0" fontId="39" fillId="0" borderId="51" applyAlignment="1" pivotButton="0" quotePrefix="0" xfId="0">
      <alignment horizontal="center" vertical="center" wrapText="1"/>
    </xf>
    <xf numFmtId="0" fontId="39" fillId="0" borderId="52" applyAlignment="1" pivotButton="0" quotePrefix="0" xfId="0">
      <alignment horizontal="center" vertical="center" wrapText="1"/>
    </xf>
    <xf numFmtId="0" fontId="39" fillId="0" borderId="53" applyAlignment="1" pivotButton="0" quotePrefix="0" xfId="0">
      <alignment horizontal="center" vertical="center" wrapText="1"/>
    </xf>
    <xf numFmtId="0" fontId="29" fillId="0" borderId="54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 wrapText="1"/>
    </xf>
    <xf numFmtId="0" fontId="29" fillId="0" borderId="55" applyAlignment="1" pivotButton="0" quotePrefix="0" xfId="0">
      <alignment horizontal="center" vertical="center"/>
    </xf>
    <xf numFmtId="0" fontId="29" fillId="0" borderId="56" applyAlignment="1" pivotButton="0" quotePrefix="0" xfId="0">
      <alignment horizontal="center" vertical="center" wrapText="1"/>
    </xf>
  </cellXfs>
  <cellStyles count="1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m49048872" xfId="7"/>
    <cellStyle name="Обычный 2" xfId="8"/>
    <cellStyle name="Обычный 2 2" xfId="9"/>
    <cellStyle name="Обычный 3 4" xfId="10"/>
    <cellStyle name="Обычный_Лист1" xfId="11"/>
    <cellStyle name="Процентный 2" xfId="12"/>
    <cellStyle name="Процентный 2 2" xfId="13"/>
  </cellStyles>
  <dxfs count="5">
    <dxf>
      <font>
        <color rgb="FFFF0000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1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2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3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4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5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6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7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8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9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10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1787400</colOff>
      <row>0</row>
      <rowOff>45000</rowOff>
    </from>
    <to>
      <col>0</col>
      <colOff>2178000</colOff>
      <row>1</row>
      <rowOff>299880</rowOff>
    </to>
    <pic>
      <nvPicPr>
        <cNvPr id="11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87400" y="4500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2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3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4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2</col>
      <colOff>142920</colOff>
      <row>0</row>
      <rowOff>0</rowOff>
    </from>
    <to>
      <col>2</col>
      <colOff>529920</colOff>
      <row>1</row>
      <rowOff>226440</rowOff>
    </to>
    <pic>
      <nvPicPr>
        <cNvPr id="15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12000" y="0"/>
          <a:ext cx="3870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1" activeCellId="0" sqref="B31"/>
    </sheetView>
  </sheetViews>
  <sheetFormatPr baseColWidth="8" defaultColWidth="9.1484375" defaultRowHeight="15.75" customHeight="0" zeroHeight="0" outlineLevelRow="0"/>
  <cols>
    <col width="3.29" customWidth="1" style="224" min="1" max="1"/>
    <col width="13.15" customWidth="1" style="225" min="2" max="2"/>
    <col width="13.71" customWidth="1" style="225" min="3" max="3"/>
    <col width="13.42" customWidth="1" style="225" min="4" max="4"/>
    <col width="12.71" customWidth="1" style="225" min="5" max="6"/>
    <col width="18.42" customWidth="1" style="225" min="7" max="7"/>
    <col width="41.29" customWidth="1" style="225" min="8" max="8"/>
    <col width="15.14" customWidth="1" style="225" min="9" max="9"/>
    <col width="9.710000000000001" customWidth="1" style="225" min="10" max="12"/>
    <col width="9.140000000000001" customWidth="1" style="225" min="13" max="13"/>
    <col width="10.29" customWidth="1" style="225" min="14" max="14"/>
    <col width="9.140000000000001" customWidth="1" style="225" min="15" max="16384"/>
  </cols>
  <sheetData>
    <row r="1" ht="15" customHeight="1" s="226">
      <c r="A1" s="227" t="inlineStr">
        <is>
          <t>Содержание:</t>
        </is>
      </c>
    </row>
    <row r="2" ht="15" customHeight="1" s="226"/>
    <row r="3" ht="15" customFormat="1" customHeight="1" s="228">
      <c r="A3" s="229" t="inlineStr">
        <is>
          <t>1.</t>
        </is>
      </c>
      <c r="B3" s="230" t="inlineStr">
        <is>
          <t>Валовой региональный продукт по субъектам Российской Федерации  1998-2015 гг.</t>
        </is>
      </c>
      <c r="L3" s="231" t="n"/>
      <c r="M3" s="232" t="n"/>
      <c r="N3" s="232" t="n"/>
      <c r="O3" s="233" t="n"/>
      <c r="P3" s="233" t="n"/>
    </row>
    <row r="4" ht="15" customHeight="1" s="226">
      <c r="A4" s="229" t="inlineStr">
        <is>
          <t>2.</t>
        </is>
      </c>
      <c r="B4" s="230" t="inlineStr">
        <is>
          <t>Валовой региональный продукт по субъектам Российской Федерации  2016-2023 гг.</t>
        </is>
      </c>
      <c r="L4" s="231" t="n"/>
    </row>
    <row r="5" ht="15" customFormat="1" customHeight="1" s="228">
      <c r="A5" s="229" t="inlineStr">
        <is>
          <t>3.</t>
        </is>
      </c>
      <c r="B5" s="230" t="inlineStr">
        <is>
          <t>Валовой региональный продукт на душу населения по субъектам Российской Федерации  1998-2015 гг.</t>
        </is>
      </c>
      <c r="L5" s="230" t="n"/>
      <c r="M5" s="232" t="n"/>
      <c r="N5" s="232" t="n"/>
      <c r="O5" s="233" t="n"/>
      <c r="P5" s="233" t="n"/>
    </row>
    <row r="6" ht="15" customHeight="1" s="226">
      <c r="A6" s="229" t="inlineStr">
        <is>
          <t>4.</t>
        </is>
      </c>
      <c r="B6" s="230" t="inlineStr">
        <is>
          <t>Валовой региональный продукт на душу населения по субъектам Российской Федерации  2016-2023 гг.</t>
        </is>
      </c>
      <c r="L6" s="230" t="n"/>
    </row>
    <row r="7" ht="15" customFormat="1" customHeight="1" s="228">
      <c r="A7" s="229" t="inlineStr">
        <is>
          <t>5.</t>
        </is>
      </c>
      <c r="B7" s="230" t="inlineStr">
        <is>
          <t>Индексы физического объема валового регионального продукта  1998-2016 гг.</t>
        </is>
      </c>
      <c r="L7" s="230" t="n"/>
      <c r="M7" s="232" t="n"/>
      <c r="N7" s="232" t="n"/>
      <c r="O7" s="233" t="n"/>
      <c r="P7" s="233" t="n"/>
    </row>
    <row r="8" ht="15" customHeight="1" s="226">
      <c r="A8" s="229" t="inlineStr">
        <is>
          <t>6.</t>
        </is>
      </c>
      <c r="B8" s="234" t="inlineStr">
        <is>
          <t>Индексы физического объема валового регионального продукта  2017-2023 гг.</t>
        </is>
      </c>
      <c r="J8" s="230" t="n"/>
      <c r="L8" s="230" t="n"/>
    </row>
    <row r="9" ht="15" customFormat="1" customHeight="1" s="228">
      <c r="A9" s="229" t="inlineStr">
        <is>
          <t>7.</t>
        </is>
      </c>
      <c r="B9" s="230" t="inlineStr">
        <is>
          <t>Региональная структура валового регионального продукта 1998-2015 гг.</t>
        </is>
      </c>
      <c r="J9" s="231" t="n"/>
      <c r="K9" s="231" t="n"/>
      <c r="L9" s="231" t="n"/>
      <c r="M9" s="235" t="n"/>
      <c r="N9" s="235" t="n"/>
      <c r="O9" s="236" t="n"/>
      <c r="P9" s="236" t="n"/>
    </row>
    <row r="10" ht="15" customFormat="1" customHeight="1" s="228">
      <c r="A10" s="229" t="inlineStr">
        <is>
          <t>8.</t>
        </is>
      </c>
      <c r="B10" s="230" t="inlineStr">
        <is>
          <t>Региональная структура валового регионального продукта 2016-2023 гг.</t>
        </is>
      </c>
      <c r="J10" s="231" t="n"/>
      <c r="K10" s="231" t="n"/>
      <c r="L10" s="231" t="n"/>
      <c r="M10" s="235" t="n"/>
      <c r="N10" s="235" t="n"/>
      <c r="O10" s="236" t="n"/>
      <c r="P10" s="236" t="n"/>
    </row>
    <row r="11" ht="15" customFormat="1" customHeight="1" s="228">
      <c r="A11" s="229" t="inlineStr">
        <is>
          <t>9.</t>
        </is>
      </c>
      <c r="B11" s="230" t="inlineStr">
        <is>
          <t>Индексы физического объема валового регионального продукта на душу населения  2005-2016 гг.</t>
        </is>
      </c>
      <c r="L11" s="231" t="n"/>
      <c r="M11" s="235" t="n"/>
      <c r="N11" s="235" t="n"/>
      <c r="O11" s="236" t="n"/>
      <c r="P11" s="236" t="n"/>
    </row>
    <row r="12" ht="15" customHeight="1" s="226">
      <c r="A12" s="229" t="inlineStr">
        <is>
          <t>10.</t>
        </is>
      </c>
      <c r="B12" s="230" t="inlineStr">
        <is>
          <t>Индексы физического объема валового регионального продукта на душу населения  2017-2023 гг.</t>
        </is>
      </c>
    </row>
    <row r="13" ht="15" customHeight="1" s="226">
      <c r="A13" s="229" t="inlineStr">
        <is>
          <t>11.</t>
        </is>
      </c>
      <c r="B13" s="230" t="inlineStr">
        <is>
          <t>Фактическое конечное потребление домашних хозяйств в 2016-2023 гг.</t>
        </is>
      </c>
      <c r="I13" s="230" t="n"/>
      <c r="J13" s="230" t="n"/>
      <c r="K13" s="230" t="n"/>
    </row>
    <row r="14" ht="15" customHeight="1" s="226">
      <c r="A14" s="229" t="inlineStr">
        <is>
          <t>12.</t>
        </is>
      </c>
      <c r="B14" s="230" t="inlineStr">
        <is>
          <t>Фактическое конечное потребление домашних хозяйств на душу населения в 2016-2023 гг.</t>
        </is>
      </c>
      <c r="I14" s="230" t="n"/>
      <c r="J14" s="230" t="n"/>
      <c r="K14" s="230" t="n"/>
    </row>
    <row r="15" ht="15" customHeight="1" s="226">
      <c r="A15" s="229" t="inlineStr">
        <is>
          <t>13.</t>
        </is>
      </c>
      <c r="B15" s="230" t="inlineStr">
        <is>
          <t>Формирование валового регионального продукта по источникам доходов по субъектам Российской Федерации 2016-2023 гг.</t>
        </is>
      </c>
      <c r="I15" s="237" t="n"/>
      <c r="J15" s="230" t="n"/>
      <c r="K15" s="230" t="n"/>
    </row>
    <row r="16" ht="15" customHeight="1" s="226">
      <c r="A16" s="229" t="inlineStr">
        <is>
          <t>14.</t>
        </is>
      </c>
      <c r="B16" s="230" t="inlineStr">
        <is>
          <t>Структура валового регионального продукта по видам первичных доходов по субъектам Российской Федерации 2016-2023 гг.</t>
        </is>
      </c>
      <c r="C16" s="237" t="n"/>
      <c r="D16" s="237" t="n"/>
      <c r="E16" s="237" t="n"/>
      <c r="F16" s="237" t="n"/>
      <c r="G16" s="237" t="n"/>
      <c r="H16" s="237" t="n"/>
      <c r="I16" s="237" t="n"/>
      <c r="J16" s="230" t="n"/>
      <c r="K16" s="230" t="n"/>
    </row>
    <row r="17" ht="15" customHeight="1" s="226">
      <c r="A17" s="229" t="inlineStr">
        <is>
          <t>15.</t>
        </is>
      </c>
      <c r="B17" s="230" t="inlineStr">
        <is>
          <t>Справочная информация о последующих публикациях</t>
        </is>
      </c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</row>
    <row r="18" ht="45.75" customHeight="1" s="226">
      <c r="B18" s="238" t="inlineStr">
        <is>
          <t>Ответственный исполнитель (пункты 1-10):</t>
        </is>
      </c>
      <c r="C18" s="239" t="n"/>
    </row>
    <row r="19" ht="15" customHeight="1" s="226">
      <c r="B19" s="240" t="inlineStr">
        <is>
          <t>Баранов Александр Олегович</t>
        </is>
      </c>
      <c r="C19" s="231" t="n"/>
    </row>
    <row r="20" ht="15" customHeight="1" s="226">
      <c r="B20" s="240" t="inlineStr">
        <is>
          <t>8 (495) 568-00-42 (доб. 99-927)</t>
        </is>
      </c>
      <c r="C20" s="231" t="n"/>
    </row>
    <row r="21" ht="15" customHeight="1" s="226">
      <c r="B21" s="240" t="n"/>
      <c r="C21" s="231" t="n"/>
    </row>
    <row r="22" ht="15" customHeight="1" s="226">
      <c r="B22" s="238" t="inlineStr">
        <is>
          <t>Ответственный исполнитель (пункты 11-12):</t>
        </is>
      </c>
      <c r="C22" s="239" t="n"/>
    </row>
    <row r="23" ht="15" customHeight="1" s="226">
      <c r="B23" s="240" t="inlineStr">
        <is>
          <t>Рогова Вера Ивановна</t>
        </is>
      </c>
      <c r="C23" s="231" t="n"/>
    </row>
    <row r="24" ht="15" customHeight="1" s="226">
      <c r="B24" s="240" t="inlineStr">
        <is>
          <t>8 (495) 568-00-42 (доб. 99-051)</t>
        </is>
      </c>
      <c r="C24" s="231" t="n"/>
    </row>
    <row r="25" ht="15" customHeight="1" s="226">
      <c r="B25" s="241" t="n"/>
      <c r="C25" s="231" t="n"/>
    </row>
    <row r="26" ht="15" customHeight="1" s="226">
      <c r="B26" s="238" t="inlineStr">
        <is>
          <t>Ответственный исполнитель (пункты 13-14):</t>
        </is>
      </c>
      <c r="C26" s="231" t="n"/>
    </row>
    <row r="27" ht="15" customHeight="1" s="226">
      <c r="B27" s="240" t="inlineStr">
        <is>
          <t>Соловьева Ирина Вячеславовна</t>
        </is>
      </c>
    </row>
    <row r="28" ht="15" customFormat="1" customHeight="1" s="225">
      <c r="B28" s="240" t="inlineStr">
        <is>
          <t>8 (495) 568-00-42 (доб. 99-389)</t>
        </is>
      </c>
    </row>
    <row r="29" ht="15" customFormat="1" customHeight="1" s="225"/>
    <row r="30" ht="15" customFormat="1" customHeight="1" s="225">
      <c r="B30" s="242" t="inlineStr">
        <is>
          <t>Обновлено: 09.04.2025 г.</t>
        </is>
      </c>
    </row>
    <row r="31" ht="15" customFormat="1" customHeight="1" s="225"/>
    <row r="32" ht="15" customFormat="1" customHeight="1" s="225"/>
    <row r="33" ht="15" customFormat="1" customHeight="1" s="225"/>
    <row r="34" ht="15" customFormat="1" customHeight="1" s="225"/>
    <row r="35" ht="15" customFormat="1" customHeight="1" s="225"/>
    <row r="36" ht="15" customFormat="1" customHeight="1" s="225"/>
    <row r="37" ht="15" customFormat="1" customHeight="1" s="225"/>
    <row r="38" ht="15" customFormat="1" customHeight="1" s="225"/>
    <row r="39" ht="15" customHeight="1" s="226"/>
    <row r="40" ht="15" customHeight="1" s="226"/>
    <row r="41" ht="15" customHeight="1" s="226"/>
    <row r="42" ht="15" customHeight="1" s="226"/>
    <row r="43" ht="15" customHeight="1" s="226"/>
    <row r="44" ht="15" customHeight="1" s="226"/>
    <row r="45" ht="15" customHeight="1" s="226"/>
    <row r="46" ht="15" customHeight="1" s="226"/>
    <row r="47" ht="15" customHeight="1" s="226"/>
    <row r="48" ht="15" customHeight="1" s="226"/>
    <row r="49" ht="15" customHeight="1" s="226"/>
    <row r="50" ht="15" customHeight="1" s="226"/>
    <row r="51" ht="15" customHeight="1" s="226"/>
    <row r="52" ht="15" customHeight="1" s="226"/>
    <row r="53" ht="15" customHeight="1" s="226"/>
    <row r="54" ht="15" customHeight="1" s="226"/>
    <row r="55" ht="15" customHeight="1" s="226"/>
    <row r="56" ht="15" customHeight="1" s="226"/>
    <row r="57" ht="15" customHeight="1" s="226"/>
    <row r="58" ht="15" customHeight="1" s="226"/>
    <row r="59" ht="15" customHeight="1" s="226"/>
    <row r="60" ht="15" customHeight="1" s="226"/>
    <row r="61" ht="15" customHeight="1" s="226"/>
    <row r="62" ht="15" customHeight="1" s="226"/>
    <row r="63" ht="15" customHeight="1" s="226"/>
    <row r="64" ht="15" customHeight="1" s="226"/>
    <row r="65" ht="15" customHeight="1" s="226"/>
    <row r="66" ht="15" customHeight="1" s="226"/>
    <row r="67" ht="15" customHeight="1" s="226"/>
    <row r="68" ht="15" customHeight="1" s="226"/>
    <row r="69" ht="15" customHeight="1" s="226"/>
    <row r="70" ht="15" customHeight="1" s="226"/>
    <row r="71" ht="15" customHeight="1" s="226"/>
    <row r="72" ht="15" customHeight="1" s="226"/>
    <row r="73" ht="15" customHeight="1" s="226"/>
    <row r="74" ht="15" customHeight="1" s="226"/>
    <row r="75" ht="15" customHeight="1" s="226"/>
    <row r="76" ht="15" customHeight="1" s="226"/>
    <row r="77" ht="15" customHeight="1" s="226"/>
    <row r="78" ht="15" customHeight="1" s="226"/>
    <row r="79" ht="15" customHeight="1" s="226"/>
    <row r="80" ht="15" customHeight="1" s="226"/>
    <row r="81" ht="15" customHeight="1" s="226"/>
    <row r="82" ht="15" customHeight="1" s="226"/>
    <row r="83" ht="15" customHeight="1" s="226"/>
    <row r="84" ht="15" customHeight="1" s="226"/>
    <row r="85" ht="15" customHeight="1" s="226"/>
    <row r="86" ht="15" customHeight="1" s="226"/>
    <row r="87" ht="15" customHeight="1" s="226"/>
    <row r="88" ht="15" customHeight="1" s="226"/>
    <row r="89" ht="15" customHeight="1" s="226"/>
    <row r="90" ht="15" customHeight="1" s="226"/>
    <row r="91" ht="15" customHeight="1" s="226"/>
    <row r="92" ht="15" customHeight="1" s="226"/>
    <row r="93" ht="15" customHeight="1" s="226"/>
    <row r="94" ht="15" customHeight="1" s="226"/>
    <row r="95" ht="15" customHeight="1" s="226"/>
    <row r="96" ht="15" customHeight="1" s="226"/>
    <row r="97" ht="15" customHeight="1" s="226"/>
    <row r="98" ht="15" customHeight="1" s="226"/>
    <row r="99" ht="15" customHeight="1" s="226"/>
    <row r="100" ht="15" customHeight="1" s="226"/>
    <row r="101" ht="15" customHeight="1" s="226"/>
    <row r="102" ht="15" customHeight="1" s="226"/>
    <row r="103" ht="15" customHeight="1" s="226"/>
    <row r="104" ht="15" customHeight="1" s="226"/>
    <row r="105" ht="15" customHeight="1" s="226"/>
    <row r="106" ht="15" customHeight="1" s="226"/>
    <row r="107" ht="15" customHeight="1" s="226"/>
    <row r="108" ht="15" customHeight="1" s="226"/>
    <row r="109" ht="15" customHeight="1" s="226"/>
    <row r="110" ht="15" customHeight="1" s="226"/>
    <row r="111" ht="15" customHeight="1" s="226"/>
    <row r="112" ht="15" customHeight="1" s="226"/>
    <row r="113" ht="15" customHeight="1" s="226"/>
    <row r="114" ht="15" customHeight="1" s="226"/>
    <row r="115" ht="15" customHeight="1" s="226"/>
    <row r="116" ht="15" customHeight="1" s="226"/>
    <row r="117" ht="15" customHeight="1" s="226"/>
    <row r="118" ht="15" customHeight="1" s="226"/>
    <row r="119" ht="15" customHeight="1" s="226"/>
    <row r="120" ht="15" customHeight="1" s="226"/>
    <row r="121" ht="15" customHeight="1" s="226"/>
    <row r="122" ht="15" customHeight="1" s="226"/>
    <row r="123" ht="15" customHeight="1" s="226"/>
    <row r="124" ht="15" customHeight="1" s="226"/>
    <row r="125" ht="15" customHeight="1" s="226"/>
    <row r="126" ht="15" customHeight="1" s="226"/>
    <row r="127" ht="15" customHeight="1" s="226"/>
    <row r="128" ht="15" customHeight="1" s="226"/>
    <row r="129" ht="15" customHeight="1" s="226"/>
    <row r="130" ht="15" customHeight="1" s="226"/>
    <row r="131" ht="15" customHeight="1" s="226"/>
    <row r="132" ht="15" customHeight="1" s="226"/>
    <row r="133" ht="15" customHeight="1" s="226"/>
    <row r="134" ht="15" customHeight="1" s="226"/>
    <row r="135" ht="15" customHeight="1" s="226"/>
    <row r="136" ht="15" customHeight="1" s="226"/>
    <row r="137" ht="15" customHeight="1" s="226"/>
    <row r="138" ht="15" customHeight="1" s="226"/>
    <row r="139" ht="15" customHeight="1" s="226"/>
    <row r="140" ht="15" customHeight="1" s="226"/>
    <row r="141" ht="15" customHeight="1" s="226"/>
    <row r="142" ht="15" customHeight="1" s="226"/>
    <row r="143" ht="15" customHeight="1" s="226"/>
    <row r="144" ht="15" customHeight="1" s="226"/>
    <row r="145" ht="15" customHeight="1" s="226"/>
    <row r="146" ht="15" customHeight="1" s="226"/>
    <row r="147" ht="15" customHeight="1" s="226"/>
    <row r="148" ht="15" customHeight="1" s="226"/>
    <row r="149" ht="15" customHeight="1" s="226"/>
    <row r="150" ht="15" customHeight="1" s="226"/>
    <row r="151" ht="15" customHeight="1" s="226"/>
    <row r="152" ht="15" customHeight="1" s="226"/>
    <row r="153" ht="15" customHeight="1" s="226"/>
    <row r="154" ht="15" customHeight="1" s="226"/>
    <row r="155" ht="15" customHeight="1" s="226"/>
    <row r="156" ht="15" customHeight="1" s="226"/>
    <row r="157" ht="15" customHeight="1" s="226"/>
    <row r="158" ht="15" customHeight="1" s="226"/>
    <row r="159" ht="15" customHeight="1" s="226"/>
    <row r="160" ht="15" customHeight="1" s="226"/>
    <row r="161" ht="15" customHeight="1" s="226"/>
    <row r="162" ht="15" customHeight="1" s="226"/>
    <row r="163" ht="15" customHeight="1" s="226"/>
    <row r="164" ht="15" customHeight="1" s="226"/>
    <row r="165" ht="15" customHeight="1" s="226"/>
    <row r="166" ht="15" customHeight="1" s="226"/>
    <row r="167" ht="15" customHeight="1" s="226"/>
    <row r="168" ht="15" customHeight="1" s="226"/>
    <row r="169" ht="15" customHeight="1" s="226"/>
    <row r="170" ht="15" customHeight="1" s="226"/>
    <row r="171" ht="15" customHeight="1" s="226"/>
    <row r="172" ht="15" customHeight="1" s="226"/>
    <row r="173" ht="15" customHeight="1" s="226"/>
    <row r="174" ht="15" customHeight="1" s="226"/>
    <row r="175" ht="15" customHeight="1" s="226"/>
    <row r="176" ht="15" customHeight="1" s="226"/>
    <row r="177" ht="15" customHeight="1" s="226"/>
    <row r="178" ht="15" customHeight="1" s="226"/>
    <row r="179" ht="15" customHeight="1" s="226"/>
    <row r="180" ht="15" customHeight="1" s="226"/>
    <row r="181" ht="15" customHeight="1" s="226"/>
    <row r="182" ht="15" customHeight="1" s="226"/>
    <row r="183" ht="15" customHeight="1" s="226"/>
    <row r="184" ht="15" customHeight="1" s="226"/>
    <row r="185" ht="15" customHeight="1" s="226"/>
    <row r="186" ht="15" customHeight="1" s="226"/>
    <row r="187" ht="15" customHeight="1" s="226"/>
    <row r="188" ht="15" customHeight="1" s="226"/>
    <row r="189" ht="15" customHeight="1" s="226"/>
    <row r="190" ht="15" customHeight="1" s="226"/>
    <row r="191" ht="15" customHeight="1" s="226"/>
    <row r="192" ht="15" customHeight="1" s="226"/>
    <row r="193" ht="15" customHeight="1" s="226"/>
    <row r="194" ht="15" customHeight="1" s="226"/>
    <row r="195" ht="15" customHeight="1" s="226"/>
    <row r="196" ht="15" customHeight="1" s="226"/>
    <row r="197" ht="15" customHeight="1" s="226"/>
    <row r="198" ht="15" customHeight="1" s="226"/>
    <row r="199" ht="15" customHeight="1" s="226"/>
    <row r="200" ht="15" customHeight="1" s="226"/>
    <row r="201" ht="15" customHeight="1" s="226"/>
    <row r="202" ht="15" customHeight="1" s="226"/>
    <row r="203" ht="15" customHeight="1" s="226"/>
    <row r="204" ht="15" customHeight="1" s="226"/>
    <row r="205" ht="15" customHeight="1" s="226"/>
    <row r="206" ht="15" customHeight="1" s="226"/>
    <row r="207" ht="15" customHeight="1" s="226"/>
    <row r="208" ht="15" customHeight="1" s="226"/>
    <row r="209" ht="15" customHeight="1" s="226"/>
    <row r="210" ht="15" customHeight="1" s="226"/>
    <row r="211" ht="15" customHeight="1" s="226"/>
    <row r="212" ht="15" customHeight="1" s="226"/>
    <row r="213" ht="15" customHeight="1" s="226"/>
    <row r="214" ht="15" customHeight="1" s="226"/>
    <row r="215" ht="15" customHeight="1" s="226"/>
    <row r="216" ht="15" customHeight="1" s="226"/>
    <row r="217" ht="15" customHeight="1" s="226"/>
    <row r="218" ht="15" customHeight="1" s="226"/>
    <row r="219" ht="15" customHeight="1" s="226"/>
    <row r="220" ht="15" customHeight="1" s="226"/>
    <row r="221" ht="15" customHeight="1" s="226"/>
    <row r="222" ht="15" customHeight="1" s="226"/>
    <row r="223" ht="15" customHeight="1" s="226"/>
    <row r="224" ht="15" customHeight="1" s="226"/>
    <row r="225" ht="15" customHeight="1" s="226"/>
    <row r="226" ht="15" customHeight="1" s="226"/>
    <row r="227" ht="15" customHeight="1" s="226"/>
    <row r="228" ht="15" customHeight="1" s="226"/>
    <row r="229" ht="15" customHeight="1" s="226"/>
    <row r="230" ht="15" customHeight="1" s="226"/>
    <row r="231" ht="15" customHeight="1" s="226"/>
    <row r="232" ht="15" customHeight="1" s="226"/>
    <row r="233" ht="15" customHeight="1" s="226"/>
    <row r="234" ht="15" customHeight="1" s="226"/>
    <row r="235" ht="15" customHeight="1" s="226"/>
    <row r="236" ht="15" customHeight="1" s="226"/>
    <row r="237" ht="15" customHeight="1" s="226"/>
    <row r="238" ht="15" customHeight="1" s="226"/>
    <row r="239" ht="15" customHeight="1" s="226"/>
    <row r="240" ht="15" customHeight="1" s="226"/>
    <row r="241" ht="15" customHeight="1" s="226"/>
    <row r="242" ht="15" customHeight="1" s="226"/>
    <row r="243" ht="15" customHeight="1" s="226"/>
    <row r="244" ht="15" customHeight="1" s="226"/>
    <row r="245" ht="15" customHeight="1" s="226"/>
    <row r="246" ht="15" customHeight="1" s="226"/>
    <row r="247" ht="15" customHeight="1" s="226"/>
    <row r="248" ht="15" customHeight="1" s="226"/>
    <row r="249" ht="15" customHeight="1" s="226"/>
    <row r="250" ht="15" customHeight="1" s="226"/>
    <row r="251" ht="15" customHeight="1" s="226"/>
    <row r="252" ht="15" customHeight="1" s="226"/>
    <row r="253" ht="15" customHeight="1" s="226"/>
    <row r="254" ht="15" customHeight="1" s="226"/>
    <row r="255" ht="15" customHeight="1" s="226"/>
    <row r="256" ht="15" customHeight="1" s="226"/>
    <row r="257" ht="15" customHeight="1" s="226"/>
    <row r="258" ht="15" customHeight="1" s="226"/>
    <row r="259" ht="15" customHeight="1" s="226"/>
    <row r="260" ht="15" customHeight="1" s="226"/>
    <row r="261" ht="15" customHeight="1" s="226"/>
    <row r="262" ht="15" customHeight="1" s="226"/>
    <row r="263" ht="15" customHeight="1" s="226"/>
    <row r="264" ht="15" customHeight="1" s="226"/>
    <row r="265" ht="15" customHeight="1" s="226"/>
    <row r="266" ht="15" customHeight="1" s="226"/>
    <row r="267" ht="15" customHeight="1" s="226"/>
    <row r="268" ht="15" customHeight="1" s="226"/>
    <row r="269" ht="15" customHeight="1" s="226"/>
    <row r="270" ht="15" customHeight="1" s="226"/>
    <row r="271" ht="15" customHeight="1" s="226"/>
    <row r="272" ht="15" customHeight="1" s="226"/>
    <row r="273" ht="15" customHeight="1" s="226"/>
    <row r="274" ht="15" customHeight="1" s="226"/>
    <row r="275" ht="15" customHeight="1" s="226"/>
    <row r="276" ht="15" customHeight="1" s="226"/>
    <row r="277" ht="15" customHeight="1" s="226"/>
    <row r="278" ht="15" customHeight="1" s="226"/>
    <row r="279" ht="15" customHeight="1" s="226"/>
    <row r="280" ht="15" customHeight="1" s="226"/>
    <row r="281" ht="15" customHeight="1" s="226"/>
    <row r="282" ht="15" customHeight="1" s="226"/>
    <row r="283" ht="15" customHeight="1" s="226"/>
    <row r="284" ht="15" customHeight="1" s="226"/>
    <row r="285" ht="15" customHeight="1" s="226"/>
    <row r="286" ht="15" customHeight="1" s="226"/>
    <row r="287" ht="15" customHeight="1" s="226"/>
    <row r="288" ht="15" customHeight="1" s="226"/>
    <row r="289" ht="15" customHeight="1" s="226"/>
    <row r="290" ht="15" customHeight="1" s="226"/>
    <row r="291" ht="15" customHeight="1" s="226"/>
    <row r="292" ht="15" customHeight="1" s="226"/>
    <row r="293" ht="15" customHeight="1" s="226"/>
    <row r="294" ht="15" customHeight="1" s="226"/>
    <row r="295" ht="15" customHeight="1" s="226"/>
    <row r="296" ht="15" customHeight="1" s="226"/>
    <row r="297" ht="15" customHeight="1" s="226"/>
    <row r="298" ht="15" customHeight="1" s="226"/>
    <row r="299" ht="15" customHeight="1" s="226"/>
    <row r="300" ht="15" customHeight="1" s="226"/>
    <row r="301" ht="15" customHeight="1" s="226"/>
    <row r="302" ht="15" customHeight="1" s="226"/>
    <row r="303" ht="15" customHeight="1" s="226"/>
    <row r="304" ht="15" customHeight="1" s="226"/>
    <row r="305" ht="15" customHeight="1" s="226"/>
    <row r="306" ht="15" customHeight="1" s="226"/>
    <row r="307" ht="15" customHeight="1" s="226"/>
    <row r="308" ht="15" customHeight="1" s="226"/>
    <row r="309" ht="15" customHeight="1" s="226"/>
    <row r="310" ht="15" customHeight="1" s="226"/>
    <row r="311" ht="15" customHeight="1" s="226"/>
    <row r="312" ht="15" customHeight="1" s="226"/>
    <row r="313" ht="15" customHeight="1" s="226"/>
    <row r="314" ht="15" customHeight="1" s="226"/>
    <row r="315" ht="15" customHeight="1" s="226"/>
    <row r="316" ht="15" customHeight="1" s="226"/>
    <row r="317" ht="15" customHeight="1" s="226"/>
    <row r="318" ht="15" customHeight="1" s="226"/>
    <row r="319" ht="15" customHeight="1" s="226"/>
    <row r="320" ht="15" customHeight="1" s="226"/>
    <row r="321" ht="15" customHeight="1" s="226"/>
    <row r="322" ht="15" customHeight="1" s="226"/>
    <row r="323" ht="15" customHeight="1" s="226"/>
    <row r="324" ht="15" customHeight="1" s="226"/>
    <row r="325" ht="15" customHeight="1" s="226"/>
    <row r="326" ht="15" customHeight="1" s="226"/>
    <row r="327" ht="15" customHeight="1" s="226"/>
    <row r="328" ht="15" customHeight="1" s="226"/>
    <row r="329" ht="15" customHeight="1" s="226"/>
    <row r="330" ht="15" customHeight="1" s="226"/>
    <row r="331" ht="15" customHeight="1" s="226"/>
    <row r="332" ht="15" customHeight="1" s="226"/>
    <row r="333" ht="15" customHeight="1" s="226"/>
    <row r="334" ht="15" customHeight="1" s="226"/>
    <row r="335" ht="15" customHeight="1" s="226"/>
    <row r="336" ht="15" customHeight="1" s="226"/>
    <row r="337" ht="15" customHeight="1" s="226"/>
    <row r="338" ht="15" customHeight="1" s="226"/>
    <row r="339" ht="15" customHeight="1" s="226"/>
    <row r="340" ht="15" customHeight="1" s="226"/>
    <row r="341" ht="15" customHeight="1" s="226"/>
    <row r="342" ht="15" customHeight="1" s="226"/>
    <row r="343" ht="15" customHeight="1" s="226"/>
    <row r="344" ht="15" customHeight="1" s="226"/>
    <row r="345" ht="15" customHeight="1" s="226"/>
    <row r="346" ht="15" customHeight="1" s="226"/>
    <row r="347" ht="15" customHeight="1" s="226"/>
    <row r="348" ht="15" customHeight="1" s="226"/>
    <row r="349" ht="15" customHeight="1" s="226"/>
    <row r="350" ht="15" customHeight="1" s="226"/>
    <row r="351" ht="15" customHeight="1" s="226"/>
    <row r="352" ht="15" customHeight="1" s="226"/>
    <row r="353" ht="15" customHeight="1" s="226"/>
    <row r="354" ht="15" customHeight="1" s="226"/>
    <row r="355" ht="15" customHeight="1" s="226"/>
    <row r="356" ht="15" customHeight="1" s="226"/>
    <row r="357" ht="15" customHeight="1" s="226"/>
    <row r="358" ht="15" customHeight="1" s="226"/>
    <row r="359" ht="15" customHeight="1" s="226"/>
    <row r="360" ht="15" customHeight="1" s="226"/>
    <row r="361" ht="15" customHeight="1" s="226"/>
    <row r="362" ht="15" customHeight="1" s="226"/>
    <row r="363" ht="15" customHeight="1" s="226"/>
    <row r="364" ht="15" customHeight="1" s="226"/>
    <row r="365" ht="15" customHeight="1" s="226"/>
    <row r="366" ht="15" customHeight="1" s="226"/>
    <row r="367" ht="15" customHeight="1" s="226"/>
    <row r="368" ht="15" customHeight="1" s="226"/>
    <row r="369" ht="15" customHeight="1" s="226"/>
    <row r="370" ht="15" customHeight="1" s="226"/>
    <row r="371" ht="15" customHeight="1" s="226"/>
    <row r="372" ht="15" customHeight="1" s="226"/>
    <row r="373" ht="15" customHeight="1" s="226"/>
    <row r="374" ht="15" customHeight="1" s="226"/>
    <row r="375" ht="15" customHeight="1" s="226"/>
    <row r="376" ht="15" customHeight="1" s="226"/>
    <row r="377" ht="15" customHeight="1" s="226"/>
    <row r="378" ht="15" customHeight="1" s="226"/>
    <row r="379" ht="15" customHeight="1" s="226"/>
    <row r="380" ht="15" customHeight="1" s="226"/>
    <row r="381" ht="15" customHeight="1" s="226"/>
    <row r="382" ht="15" customHeight="1" s="226"/>
    <row r="383" ht="15" customHeight="1" s="226"/>
    <row r="384" ht="15" customHeight="1" s="226"/>
    <row r="385" ht="15" customHeight="1" s="226"/>
    <row r="386" ht="15" customHeight="1" s="226"/>
    <row r="387" ht="15" customHeight="1" s="226"/>
    <row r="388" ht="15" customHeight="1" s="226"/>
    <row r="389" ht="15" customHeight="1" s="226"/>
    <row r="390" ht="15" customHeight="1" s="226"/>
    <row r="391" ht="15" customHeight="1" s="226"/>
    <row r="392" ht="15" customHeight="1" s="226"/>
    <row r="393" ht="15" customHeight="1" s="226"/>
    <row r="394" ht="15" customHeight="1" s="226"/>
    <row r="395" ht="15" customHeight="1" s="226"/>
    <row r="396" ht="15" customHeight="1" s="226"/>
    <row r="397" ht="15" customHeight="1" s="226"/>
    <row r="398" ht="15" customHeight="1" s="226"/>
    <row r="399" ht="15" customHeight="1" s="226"/>
    <row r="400" ht="15" customHeight="1" s="226"/>
    <row r="401" ht="15" customHeight="1" s="226"/>
    <row r="402" ht="15" customHeight="1" s="226"/>
    <row r="403" ht="15" customHeight="1" s="226"/>
    <row r="404" ht="15" customHeight="1" s="226"/>
    <row r="405" ht="15" customHeight="1" s="226"/>
    <row r="406" ht="15" customHeight="1" s="226"/>
    <row r="407" ht="15" customHeight="1" s="226"/>
    <row r="408" ht="15" customHeight="1" s="226"/>
    <row r="409" ht="15" customHeight="1" s="226"/>
    <row r="410" ht="15" customHeight="1" s="226"/>
    <row r="411" ht="15" customHeight="1" s="226"/>
    <row r="412" ht="15" customHeight="1" s="226"/>
    <row r="413" ht="15" customHeight="1" s="226"/>
    <row r="414" ht="15" customHeight="1" s="226"/>
    <row r="415" ht="15" customHeight="1" s="226"/>
    <row r="416" ht="15" customHeight="1" s="226"/>
    <row r="417" ht="15" customHeight="1" s="226"/>
    <row r="418" ht="15" customHeight="1" s="226"/>
    <row r="419" ht="15" customHeight="1" s="226"/>
    <row r="420" ht="15" customHeight="1" s="226"/>
    <row r="421" ht="15" customHeight="1" s="226"/>
    <row r="422" ht="15" customHeight="1" s="226"/>
    <row r="423" ht="15" customHeight="1" s="226"/>
    <row r="424" ht="15" customHeight="1" s="226"/>
    <row r="425" ht="15" customHeight="1" s="226"/>
    <row r="426" ht="15" customHeight="1" s="226"/>
    <row r="427" ht="15" customHeight="1" s="226"/>
    <row r="428" ht="15" customHeight="1" s="226"/>
    <row r="429" ht="15" customHeight="1" s="226"/>
    <row r="430" ht="15" customHeight="1" s="226"/>
    <row r="431" ht="15" customHeight="1" s="226"/>
    <row r="432" ht="15" customHeight="1" s="226"/>
    <row r="433" ht="15" customHeight="1" s="226"/>
    <row r="434" ht="15" customHeight="1" s="226"/>
    <row r="435" ht="15" customHeight="1" s="226"/>
    <row r="436" ht="15" customHeight="1" s="226"/>
    <row r="437" ht="15" customHeight="1" s="226"/>
    <row r="438" ht="15" customHeight="1" s="226"/>
    <row r="439" ht="15" customHeight="1" s="226"/>
    <row r="440" ht="15" customHeight="1" s="226"/>
    <row r="441" ht="15" customHeight="1" s="226"/>
    <row r="442" ht="15" customHeight="1" s="226"/>
    <row r="443" ht="15" customHeight="1" s="226"/>
    <row r="444" ht="15" customHeight="1" s="226"/>
    <row r="445" ht="15" customHeight="1" s="226"/>
    <row r="446" ht="15" customHeight="1" s="226"/>
    <row r="447" ht="15" customHeight="1" s="226"/>
    <row r="448" ht="15" customHeight="1" s="226"/>
    <row r="449" ht="15" customHeight="1" s="226"/>
    <row r="450" ht="15" customHeight="1" s="226"/>
    <row r="451" ht="15" customHeight="1" s="226"/>
    <row r="452" ht="15" customHeight="1" s="226"/>
    <row r="453" ht="15" customHeight="1" s="226"/>
    <row r="454" ht="15" customHeight="1" s="226"/>
    <row r="455" ht="15" customHeight="1" s="226"/>
    <row r="456" ht="15" customHeight="1" s="226"/>
    <row r="457" ht="15" customHeight="1" s="226"/>
    <row r="458" ht="15" customHeight="1" s="226"/>
    <row r="459" ht="15" customHeight="1" s="226"/>
    <row r="460" ht="15" customHeight="1" s="226"/>
    <row r="461" ht="15" customHeight="1" s="226"/>
    <row r="462" ht="15" customHeight="1" s="226"/>
    <row r="463" ht="15" customHeight="1" s="226"/>
    <row r="464" ht="15" customHeight="1" s="226"/>
    <row r="465" ht="15" customHeight="1" s="226"/>
    <row r="466" ht="15" customHeight="1" s="226"/>
    <row r="467" ht="15" customHeight="1" s="226"/>
    <row r="468" ht="15" customHeight="1" s="226"/>
    <row r="469" ht="15" customHeight="1" s="226"/>
    <row r="470" ht="15" customHeight="1" s="226"/>
    <row r="471" ht="15" customHeight="1" s="226"/>
    <row r="472" ht="15" customHeight="1" s="226"/>
    <row r="473" ht="15" customHeight="1" s="226"/>
    <row r="474" ht="15" customHeight="1" s="226"/>
    <row r="475" ht="15" customHeight="1" s="226"/>
    <row r="476" ht="15" customHeight="1" s="226"/>
    <row r="477" ht="15" customHeight="1" s="226"/>
    <row r="478" ht="15" customHeight="1" s="226"/>
    <row r="479" ht="15" customHeight="1" s="226"/>
    <row r="480" ht="15" customHeight="1" s="226"/>
    <row r="481" ht="15" customHeight="1" s="226"/>
    <row r="482" ht="15" customHeight="1" s="226"/>
    <row r="483" ht="15" customHeight="1" s="226"/>
    <row r="484" ht="15" customHeight="1" s="226"/>
    <row r="485" ht="15" customHeight="1" s="226"/>
    <row r="486" ht="15" customHeight="1" s="226"/>
    <row r="487" ht="15" customHeight="1" s="226"/>
    <row r="488" ht="15" customHeight="1" s="226"/>
    <row r="489" ht="15" customHeight="1" s="226"/>
    <row r="490" ht="15" customHeight="1" s="226"/>
    <row r="491" ht="15" customHeight="1" s="226"/>
    <row r="492" ht="15" customHeight="1" s="226"/>
    <row r="493" ht="15" customHeight="1" s="226"/>
    <row r="494" ht="15" customHeight="1" s="226"/>
    <row r="495" ht="15" customHeight="1" s="226"/>
    <row r="496" ht="15" customHeight="1" s="226"/>
    <row r="497" ht="15" customHeight="1" s="226"/>
    <row r="498" ht="15" customHeight="1" s="226"/>
    <row r="499" ht="15" customHeight="1" s="226"/>
    <row r="500" ht="15" customHeight="1" s="226"/>
    <row r="501" ht="15" customHeight="1" s="226"/>
    <row r="502" ht="15" customHeight="1" s="226"/>
    <row r="503" ht="15" customHeight="1" s="226"/>
    <row r="504" ht="15" customHeight="1" s="226"/>
    <row r="505" ht="15" customHeight="1" s="226"/>
    <row r="506" ht="15" customHeight="1" s="226"/>
    <row r="507" ht="15" customHeight="1" s="226"/>
    <row r="508" ht="15" customHeight="1" s="226"/>
    <row r="509" ht="15" customHeight="1" s="226"/>
    <row r="510" ht="15" customHeight="1" s="226"/>
    <row r="511" ht="15" customHeight="1" s="226"/>
    <row r="512" ht="15" customHeight="1" s="226"/>
    <row r="513" ht="15" customHeight="1" s="226"/>
  </sheetData>
  <mergeCells count="14">
    <mergeCell ref="B9:I9"/>
    <mergeCell ref="B14:H14"/>
    <mergeCell ref="B13:H13"/>
    <mergeCell ref="B4:K4"/>
    <mergeCell ref="B8:I8"/>
    <mergeCell ref="B10:I10"/>
    <mergeCell ref="B12:K12"/>
    <mergeCell ref="B7:K7"/>
    <mergeCell ref="B6:K6"/>
    <mergeCell ref="B15:H15"/>
    <mergeCell ref="J8:K8"/>
    <mergeCell ref="B11:K11"/>
    <mergeCell ref="B3:K3"/>
    <mergeCell ref="B5:K5"/>
  </mergeCells>
  <hyperlinks>
    <hyperlink ref="B3" location="'1'!A1" display="Валовой региональный продукт по субъектам Российской Федерации  1998-2015 гг."/>
    <hyperlink ref="B4" location="'2'!A1" display="Валовой региональный продукт по субъектам Российской Федерации  2016-2023 гг."/>
    <hyperlink ref="B5" location="'3'!A1" display="Валовой региональный продукт на душу населения по субъектам Российской Федерации  1998-2015 гг."/>
    <hyperlink ref="B6" location="'4'!A1" display="Валовой региональный продукт на душу населения по субъектам Российской Федерации  2016-2023 гг."/>
    <hyperlink ref="B7" location="'5'!A1" display="Индексы физического объема валового регионального продукта  1998-2016 гг."/>
    <hyperlink ref="B8" location="'6'!A1" display="Индексы физического объема валового регионального продукта  2017-2023 гг."/>
    <hyperlink ref="B9" location="'7'!A1" display="Региональная структура валового регионального продукта 1998-2015 гг."/>
    <hyperlink ref="B10" location="'8'!A1" display="Региональная структура валового регионального продукта 2016-2023 гг."/>
    <hyperlink ref="B11" location="'9'!A1" display="Индексы физического объема валового регионального продукта на душу населения  2005-2016 гг."/>
    <hyperlink ref="B12" location="'10'!A1" display="Индексы физического объема валового регионального продукта на душу населения  2017-2023 гг."/>
    <hyperlink ref="B13" location="'11'!A1" display="Фактическое конечное потребление домашних хозяйств в 2016-2023 гг."/>
    <hyperlink ref="B14" location="'12'!A1" display="Фактическое конечное потребление домашних хозяйств на душу населения в 2016-2023 гг."/>
    <hyperlink ref="B15" location="'13'!A1" display="Формирование валового регионального продукта по источникам доходов по субъектам Российской Федерации 2016-2023 гг."/>
    <hyperlink ref="B16" location="'14'!A1" display="Структура валового регионального продукта по видам первичных доходов по субъектам Российской Федерации 2016-2023 гг."/>
    <hyperlink ref="B17" location="'15'!A1" display="Справочная информация о последующих публикациях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0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2" activeCellId="0" sqref="A2"/>
    </sheetView>
  </sheetViews>
  <sheetFormatPr baseColWidth="8" defaultColWidth="14.5703125" defaultRowHeight="15.75" customHeight="0" zeroHeight="0" outlineLevelRow="0"/>
  <cols>
    <col width="38.71" customWidth="1" style="225" min="1" max="1"/>
    <col width="14.57" customWidth="1" style="225" min="2" max="9"/>
    <col width="14.57" customWidth="1" style="243" min="10" max="10"/>
    <col width="14.57" customWidth="1" style="225" min="11" max="12"/>
    <col width="14.57" customWidth="1" style="243" min="13" max="13"/>
    <col width="14.57" customWidth="1" style="225" min="14" max="16384"/>
  </cols>
  <sheetData>
    <row r="1" ht="33" customHeight="1" s="226">
      <c r="A1" s="244" t="inlineStr">
        <is>
          <t xml:space="preserve">          К содержанию</t>
        </is>
      </c>
      <c r="B1" s="245" t="n"/>
      <c r="C1" s="245" t="n"/>
      <c r="D1" s="245" t="n"/>
      <c r="E1" s="245" t="n"/>
      <c r="F1" s="245" t="n"/>
      <c r="G1" s="245" t="n"/>
      <c r="H1" s="245" t="n"/>
      <c r="I1" s="245" t="n"/>
      <c r="J1" s="245" t="n"/>
      <c r="K1" s="245" t="n"/>
      <c r="P1" s="246" t="n"/>
    </row>
    <row r="2" ht="33.75" customHeight="1" s="226">
      <c r="A2" s="247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B2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C2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D2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E2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F2" s="248" t="n"/>
      <c r="G2" s="248" t="n"/>
      <c r="H2" s="248" t="n"/>
      <c r="I2" s="248" t="n"/>
      <c r="J2" s="248" t="n"/>
      <c r="K2" s="248" t="n"/>
      <c r="P2" s="249" t="n"/>
    </row>
    <row r="3" ht="15.75" customHeight="1" s="226">
      <c r="A3" s="250" t="n"/>
      <c r="B3" s="251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251" t="n">
        <v>2005</v>
      </c>
      <c r="J3" s="251" t="n">
        <v>2006</v>
      </c>
      <c r="K3" s="251" t="n">
        <v>2007</v>
      </c>
      <c r="L3" s="251" t="n">
        <v>2008</v>
      </c>
      <c r="M3" s="251" t="n">
        <v>2009</v>
      </c>
      <c r="N3" s="251" t="n">
        <v>2010</v>
      </c>
      <c r="O3" s="251" t="n">
        <v>2011</v>
      </c>
      <c r="P3" s="251" t="n">
        <v>2012</v>
      </c>
      <c r="Q3" s="251" t="n">
        <v>2013</v>
      </c>
      <c r="R3" s="251" t="n">
        <v>2014</v>
      </c>
      <c r="S3" s="251" t="n">
        <v>2015</v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</t>
        </is>
      </c>
      <c r="B4" s="252">
        <f>B5+B24+B37+B46+B54+B69+B77+B88</f>
        <v/>
      </c>
      <c r="C4" s="252">
        <f>C5+C24+C37+C46+C54+C69+C77+C88</f>
        <v/>
      </c>
      <c r="D4" s="252">
        <f>D5+D24+D37+D46+D54+D69+D77+D88</f>
        <v/>
      </c>
      <c r="E4" s="252">
        <f>E5+E24+E37+E46+E54+E69+E77+E88</f>
        <v/>
      </c>
      <c r="F4" s="252">
        <f>F5+F24+F37+F46+F54+F69+F77+F88</f>
        <v/>
      </c>
      <c r="G4" s="252">
        <f>G5+G24+G37+G46+G54+G69+G77+G88</f>
        <v/>
      </c>
      <c r="H4" s="252">
        <f>H5+H24+H37+H46+H54+H69+H77+H88</f>
        <v/>
      </c>
      <c r="I4" s="252">
        <f>I5+I24+I37+I46+I54+I69+I77+I88</f>
        <v/>
      </c>
      <c r="J4" s="252">
        <f>J5+J24+J37+J46+J54+J69+J77+J88</f>
        <v/>
      </c>
      <c r="K4" s="252">
        <f>K5+K24+K37+K46+K54+K69+K77+K88</f>
        <v/>
      </c>
      <c r="L4" s="252">
        <f>L5+L24+L37+L46+L54+L69+L77+L88</f>
        <v/>
      </c>
      <c r="M4" s="252">
        <f>M5+M24+M37+M46+M54+M69+M77+M88</f>
        <v/>
      </c>
      <c r="N4" s="252">
        <f>N5+N24+N37+N46+N54+N69+N77+N88</f>
        <v/>
      </c>
      <c r="O4" s="252">
        <f>O5+O24+O37+O46+O54+O69+O77+O88</f>
        <v/>
      </c>
      <c r="P4" s="252">
        <f>P5+P24+P37+P46+P54+P69+P77+P88</f>
        <v/>
      </c>
      <c r="Q4" s="252">
        <f>Q5+Q24+Q37+Q46+Q54+Q69+Q77+Q88</f>
        <v/>
      </c>
      <c r="R4" s="252">
        <f>R5+R24+R37+R46+R54+R69+R77+R88</f>
        <v/>
      </c>
      <c r="S4" s="252">
        <f>S5+S24+S37+S46+S54+S69+S77+S88</f>
        <v/>
      </c>
    </row>
    <row r="5" ht="15" customHeight="1" s="226">
      <c r="A5" s="253" t="inlineStr">
        <is>
          <t>Центральный федеральный округ</t>
        </is>
      </c>
      <c r="B5" s="254">
        <f>SUM(B6:B23)</f>
        <v/>
      </c>
      <c r="C5" s="254">
        <f>SUM(C6:C23)</f>
        <v/>
      </c>
      <c r="D5" s="254">
        <f>SUM(D6:D23)</f>
        <v/>
      </c>
      <c r="E5" s="254">
        <f>SUM(E6:E23)</f>
        <v/>
      </c>
      <c r="F5" s="254">
        <f>SUM(F6:F23)</f>
        <v/>
      </c>
      <c r="G5" s="254">
        <f>SUM(G6:G23)</f>
        <v/>
      </c>
      <c r="H5" s="254">
        <f>SUM(H6:H23)</f>
        <v/>
      </c>
      <c r="I5" s="254">
        <f>SUM(I6:I23)</f>
        <v/>
      </c>
      <c r="J5" s="254">
        <f>SUM(J6:J23)</f>
        <v/>
      </c>
      <c r="K5" s="254">
        <f>SUM(K6:K23)</f>
        <v/>
      </c>
      <c r="L5" s="254">
        <f>SUM(L6:L23)</f>
        <v/>
      </c>
      <c r="M5" s="254">
        <f>SUM(M6:M23)</f>
        <v/>
      </c>
      <c r="N5" s="254">
        <f>SUM(N6:N23)</f>
        <v/>
      </c>
      <c r="O5" s="254">
        <f>SUM(O6:O23)</f>
        <v/>
      </c>
      <c r="P5" s="254">
        <f>SUM(P6:P23)</f>
        <v/>
      </c>
      <c r="Q5" s="254">
        <f>SUM(Q6:Q23)</f>
        <v/>
      </c>
      <c r="R5" s="254">
        <f>SUM(R6:R23)</f>
        <v/>
      </c>
      <c r="S5" s="254">
        <f>SUM(S6:S23)</f>
        <v/>
      </c>
    </row>
    <row r="6" ht="15" customHeight="1" s="226">
      <c r="A6" s="255" t="inlineStr">
        <is>
          <t>Белгородская область</t>
        </is>
      </c>
      <c r="B6" s="256" t="n">
        <v>18245.5</v>
      </c>
      <c r="C6" s="257" t="n">
        <v>32060.6</v>
      </c>
      <c r="D6" s="257" t="n">
        <v>42074.5</v>
      </c>
      <c r="E6" s="257" t="n">
        <v>49941.8</v>
      </c>
      <c r="F6" s="257" t="n">
        <v>62404.4</v>
      </c>
      <c r="G6" s="257" t="n">
        <v>76054.5</v>
      </c>
      <c r="H6" s="257" t="n">
        <v>114409.3</v>
      </c>
      <c r="I6" s="257" t="n">
        <v>144987.8</v>
      </c>
      <c r="J6" s="257" t="n">
        <v>178846.1</v>
      </c>
      <c r="K6" s="257" t="n">
        <v>237013.3</v>
      </c>
      <c r="L6" s="257" t="n">
        <v>317656.3</v>
      </c>
      <c r="M6" s="257" t="n">
        <v>304345.3</v>
      </c>
      <c r="N6" s="257" t="n">
        <v>398361.4</v>
      </c>
      <c r="O6" s="257" t="n">
        <v>507839.8</v>
      </c>
      <c r="P6" s="257" t="n">
        <v>545517.2</v>
      </c>
      <c r="Q6" s="257" t="n">
        <v>569006.4</v>
      </c>
      <c r="R6" s="257" t="n">
        <v>619677.7</v>
      </c>
      <c r="S6" s="258" t="n">
        <v>693379.4</v>
      </c>
      <c r="T6" s="259" t="n"/>
    </row>
    <row r="7" ht="15" customHeight="1" s="226">
      <c r="A7" s="260" t="inlineStr">
        <is>
          <t>Брянская область</t>
        </is>
      </c>
      <c r="B7" s="261" t="n">
        <v>11051.3</v>
      </c>
      <c r="C7" s="262" t="n">
        <v>16809.4</v>
      </c>
      <c r="D7" s="262" t="n">
        <v>24650.5</v>
      </c>
      <c r="E7" s="262" t="n">
        <v>30110.3</v>
      </c>
      <c r="F7" s="262" t="n">
        <v>37374.1</v>
      </c>
      <c r="G7" s="262" t="n">
        <v>43700.3</v>
      </c>
      <c r="H7" s="262" t="n">
        <v>51003.4</v>
      </c>
      <c r="I7" s="262" t="n">
        <v>66692.3</v>
      </c>
      <c r="J7" s="262" t="n">
        <v>82100.39999999999</v>
      </c>
      <c r="K7" s="262" t="n">
        <v>102706.2</v>
      </c>
      <c r="L7" s="262" t="n">
        <v>125834.4</v>
      </c>
      <c r="M7" s="262" t="n">
        <v>126477.4</v>
      </c>
      <c r="N7" s="262" t="n">
        <v>147024</v>
      </c>
      <c r="O7" s="262" t="n">
        <v>174211.8</v>
      </c>
      <c r="P7" s="262" t="n">
        <v>207397.5</v>
      </c>
      <c r="Q7" s="262" t="n">
        <v>219502.8</v>
      </c>
      <c r="R7" s="262" t="n">
        <v>242722.4</v>
      </c>
      <c r="S7" s="263" t="n">
        <v>271782.5</v>
      </c>
    </row>
    <row r="8" ht="15" customHeight="1" s="226">
      <c r="A8" s="260" t="inlineStr">
        <is>
          <t>Владимирская область</t>
        </is>
      </c>
      <c r="B8" s="261" t="n">
        <v>14936.9</v>
      </c>
      <c r="C8" s="262" t="n">
        <v>24481</v>
      </c>
      <c r="D8" s="262" t="n">
        <v>33017.7</v>
      </c>
      <c r="E8" s="262" t="n">
        <v>42075.4</v>
      </c>
      <c r="F8" s="262" t="n">
        <v>50359.9</v>
      </c>
      <c r="G8" s="262" t="n">
        <v>61818.6</v>
      </c>
      <c r="H8" s="262" t="n">
        <v>74207</v>
      </c>
      <c r="I8" s="262" t="n">
        <v>86926.8</v>
      </c>
      <c r="J8" s="262" t="n">
        <v>112841.7</v>
      </c>
      <c r="K8" s="262" t="n">
        <v>146663</v>
      </c>
      <c r="L8" s="262" t="n">
        <v>175395.7</v>
      </c>
      <c r="M8" s="262" t="n">
        <v>185824.6</v>
      </c>
      <c r="N8" s="262" t="n">
        <v>224759.2</v>
      </c>
      <c r="O8" s="262" t="n">
        <v>261222.6</v>
      </c>
      <c r="P8" s="262" t="n">
        <v>286018.6</v>
      </c>
      <c r="Q8" s="262" t="n">
        <v>306641.4</v>
      </c>
      <c r="R8" s="262" t="n">
        <v>328064.2</v>
      </c>
      <c r="S8" s="263" t="n">
        <v>368489.2</v>
      </c>
    </row>
    <row r="9" ht="15" customHeight="1" s="226">
      <c r="A9" s="260" t="inlineStr">
        <is>
          <t>Воронежская область</t>
        </is>
      </c>
      <c r="B9" s="261" t="n">
        <v>22381.9</v>
      </c>
      <c r="C9" s="262" t="n">
        <v>36278.8</v>
      </c>
      <c r="D9" s="262" t="n">
        <v>49523.9</v>
      </c>
      <c r="E9" s="262" t="n">
        <v>60014.6</v>
      </c>
      <c r="F9" s="262" t="n">
        <v>83001.10000000001</v>
      </c>
      <c r="G9" s="262" t="n">
        <v>100143.3</v>
      </c>
      <c r="H9" s="262" t="n">
        <v>117197.6</v>
      </c>
      <c r="I9" s="262" t="n">
        <v>133586.6</v>
      </c>
      <c r="J9" s="262" t="n">
        <v>166176.5</v>
      </c>
      <c r="K9" s="262" t="n">
        <v>222811.9</v>
      </c>
      <c r="L9" s="262" t="n">
        <v>287072.1</v>
      </c>
      <c r="M9" s="262" t="n">
        <v>301729.1</v>
      </c>
      <c r="N9" s="262" t="n">
        <v>346568.2</v>
      </c>
      <c r="O9" s="262" t="n">
        <v>474973.9</v>
      </c>
      <c r="P9" s="262" t="n">
        <v>563965.4</v>
      </c>
      <c r="Q9" s="262" t="n">
        <v>611720.4</v>
      </c>
      <c r="R9" s="262" t="n">
        <v>717667.2</v>
      </c>
      <c r="S9" s="263" t="n">
        <v>805969.6</v>
      </c>
    </row>
    <row r="10" ht="15" customHeight="1" s="226">
      <c r="A10" s="260" t="inlineStr">
        <is>
          <t>Ивановская область</t>
        </is>
      </c>
      <c r="B10" s="261" t="n">
        <v>8278.4</v>
      </c>
      <c r="C10" s="262" t="n">
        <v>11743.6</v>
      </c>
      <c r="D10" s="262" t="n">
        <v>16900</v>
      </c>
      <c r="E10" s="262" t="n">
        <v>22175.9</v>
      </c>
      <c r="F10" s="262" t="n">
        <v>26981.3</v>
      </c>
      <c r="G10" s="262" t="n">
        <v>33214.6</v>
      </c>
      <c r="H10" s="262" t="n">
        <v>40159.4</v>
      </c>
      <c r="I10" s="262" t="n">
        <v>44415.4</v>
      </c>
      <c r="J10" s="262" t="n">
        <v>55090</v>
      </c>
      <c r="K10" s="262" t="n">
        <v>74752</v>
      </c>
      <c r="L10" s="262" t="n">
        <v>86980.3</v>
      </c>
      <c r="M10" s="262" t="n">
        <v>87061.89999999999</v>
      </c>
      <c r="N10" s="262" t="n">
        <v>109884.5</v>
      </c>
      <c r="O10" s="262" t="n">
        <v>128905.4</v>
      </c>
      <c r="P10" s="262" t="n">
        <v>136115</v>
      </c>
      <c r="Q10" s="262" t="n">
        <v>158228.7</v>
      </c>
      <c r="R10" s="262" t="n">
        <v>151876.8</v>
      </c>
      <c r="S10" s="263" t="n">
        <v>180517.5</v>
      </c>
    </row>
    <row r="11" ht="15" customHeight="1" s="226">
      <c r="A11" s="260" t="inlineStr">
        <is>
          <t>Калужская область</t>
        </is>
      </c>
      <c r="B11" s="261" t="n">
        <v>10097.3</v>
      </c>
      <c r="C11" s="262" t="n">
        <v>16009.8</v>
      </c>
      <c r="D11" s="262" t="n">
        <v>23903.3</v>
      </c>
      <c r="E11" s="262" t="n">
        <v>31860</v>
      </c>
      <c r="F11" s="262" t="n">
        <v>37283.1</v>
      </c>
      <c r="G11" s="262" t="n">
        <v>48792.7</v>
      </c>
      <c r="H11" s="262" t="n">
        <v>57993.8</v>
      </c>
      <c r="I11" s="262" t="n">
        <v>70953.89999999999</v>
      </c>
      <c r="J11" s="262" t="n">
        <v>86150.5</v>
      </c>
      <c r="K11" s="262" t="n">
        <v>111869</v>
      </c>
      <c r="L11" s="262" t="n">
        <v>150394.4</v>
      </c>
      <c r="M11" s="262" t="n">
        <v>154946.1</v>
      </c>
      <c r="N11" s="262" t="n">
        <v>188601.3</v>
      </c>
      <c r="O11" s="262" t="n">
        <v>234749</v>
      </c>
      <c r="P11" s="262" t="n">
        <v>285256.6</v>
      </c>
      <c r="Q11" s="262" t="n">
        <v>292841</v>
      </c>
      <c r="R11" s="262" t="n">
        <v>326459.5</v>
      </c>
      <c r="S11" s="263" t="n">
        <v>339760.8</v>
      </c>
    </row>
    <row r="12" ht="15" customHeight="1" s="226">
      <c r="A12" s="260" t="inlineStr">
        <is>
          <t>Костромская область</t>
        </is>
      </c>
      <c r="B12" s="261" t="n">
        <v>8478.9</v>
      </c>
      <c r="C12" s="262" t="n">
        <v>13363.6</v>
      </c>
      <c r="D12" s="262" t="n">
        <v>16662.2</v>
      </c>
      <c r="E12" s="262" t="n">
        <v>22221.5</v>
      </c>
      <c r="F12" s="262" t="n">
        <v>25952.9</v>
      </c>
      <c r="G12" s="262" t="n">
        <v>29692.1</v>
      </c>
      <c r="H12" s="262" t="n">
        <v>37787.4</v>
      </c>
      <c r="I12" s="262" t="n">
        <v>44684.7</v>
      </c>
      <c r="J12" s="262" t="n">
        <v>54351.1</v>
      </c>
      <c r="K12" s="262" t="n">
        <v>65700.39999999999</v>
      </c>
      <c r="L12" s="262" t="n">
        <v>81040.7</v>
      </c>
      <c r="M12" s="262" t="n">
        <v>78920.7</v>
      </c>
      <c r="N12" s="262" t="n">
        <v>98130.7</v>
      </c>
      <c r="O12" s="262" t="n">
        <v>116629.8</v>
      </c>
      <c r="P12" s="262" t="n">
        <v>130840.4</v>
      </c>
      <c r="Q12" s="262" t="n">
        <v>139015.9</v>
      </c>
      <c r="R12" s="262" t="n">
        <v>146731.5</v>
      </c>
      <c r="S12" s="263" t="n">
        <v>160579.8</v>
      </c>
    </row>
    <row r="13" ht="15" customHeight="1" s="226">
      <c r="A13" s="260" t="inlineStr">
        <is>
          <t>Курская область</t>
        </is>
      </c>
      <c r="B13" s="261" t="n">
        <v>15507.9</v>
      </c>
      <c r="C13" s="262" t="n">
        <v>22033.9</v>
      </c>
      <c r="D13" s="262" t="n">
        <v>30167.7</v>
      </c>
      <c r="E13" s="262" t="n">
        <v>36399.8</v>
      </c>
      <c r="F13" s="262" t="n">
        <v>45309.4</v>
      </c>
      <c r="G13" s="262" t="n">
        <v>56383.1</v>
      </c>
      <c r="H13" s="262" t="n">
        <v>76506.10000000001</v>
      </c>
      <c r="I13" s="262" t="n">
        <v>86624.89999999999</v>
      </c>
      <c r="J13" s="262" t="n">
        <v>104035.7</v>
      </c>
      <c r="K13" s="262" t="n">
        <v>128799</v>
      </c>
      <c r="L13" s="262" t="n">
        <v>167865.8</v>
      </c>
      <c r="M13" s="262" t="n">
        <v>161570.9</v>
      </c>
      <c r="N13" s="262" t="n">
        <v>193648.6</v>
      </c>
      <c r="O13" s="262" t="n">
        <v>228851.4</v>
      </c>
      <c r="P13" s="262" t="n">
        <v>248213.1</v>
      </c>
      <c r="Q13" s="262" t="n">
        <v>271542.5</v>
      </c>
      <c r="R13" s="262" t="n">
        <v>298287.3</v>
      </c>
      <c r="S13" s="263" t="n">
        <v>336999.4</v>
      </c>
    </row>
    <row r="14" ht="15" customHeight="1" s="226">
      <c r="A14" s="260" t="inlineStr">
        <is>
          <t>Липецкая область</t>
        </is>
      </c>
      <c r="B14" s="261" t="n">
        <v>16400.5</v>
      </c>
      <c r="C14" s="262" t="n">
        <v>31008.7</v>
      </c>
      <c r="D14" s="262" t="n">
        <v>48067.7</v>
      </c>
      <c r="E14" s="262" t="n">
        <v>50574.1</v>
      </c>
      <c r="F14" s="262" t="n">
        <v>70590.5</v>
      </c>
      <c r="G14" s="262" t="n">
        <v>96241.89999999999</v>
      </c>
      <c r="H14" s="262" t="n">
        <v>141778.3</v>
      </c>
      <c r="I14" s="262" t="n">
        <v>145194.4</v>
      </c>
      <c r="J14" s="262" t="n">
        <v>179057.3</v>
      </c>
      <c r="K14" s="262" t="n">
        <v>209821.5</v>
      </c>
      <c r="L14" s="262" t="n">
        <v>259532.2</v>
      </c>
      <c r="M14" s="262" t="n">
        <v>226662</v>
      </c>
      <c r="N14" s="262" t="n">
        <v>248544.9</v>
      </c>
      <c r="O14" s="262" t="n">
        <v>287816.8</v>
      </c>
      <c r="P14" s="262" t="n">
        <v>293301.3</v>
      </c>
      <c r="Q14" s="262" t="n">
        <v>315685.4</v>
      </c>
      <c r="R14" s="262" t="n">
        <v>398464.5</v>
      </c>
      <c r="S14" s="263" t="n">
        <v>448994.3</v>
      </c>
    </row>
    <row r="15" ht="15" customHeight="1" s="226">
      <c r="A15" s="260" t="inlineStr">
        <is>
          <t>Московская область</t>
        </is>
      </c>
      <c r="B15" s="261" t="n">
        <v>82056.8</v>
      </c>
      <c r="C15" s="262" t="n">
        <v>131178.3</v>
      </c>
      <c r="D15" s="262" t="n">
        <v>176693.6</v>
      </c>
      <c r="E15" s="262" t="n">
        <v>235159.6</v>
      </c>
      <c r="F15" s="262" t="n">
        <v>312950</v>
      </c>
      <c r="G15" s="262" t="n">
        <v>412089.3</v>
      </c>
      <c r="H15" s="262" t="n">
        <v>535204.4</v>
      </c>
      <c r="I15" s="262" t="n">
        <v>708062.1</v>
      </c>
      <c r="J15" s="262" t="n">
        <v>934328.9</v>
      </c>
      <c r="K15" s="262" t="n">
        <v>1295649.9</v>
      </c>
      <c r="L15" s="262" t="n">
        <v>1645753</v>
      </c>
      <c r="M15" s="262" t="n">
        <v>1519446.3</v>
      </c>
      <c r="N15" s="262" t="n">
        <v>1832867.3</v>
      </c>
      <c r="O15" s="262" t="n">
        <v>2176795.3</v>
      </c>
      <c r="P15" s="262" t="n">
        <v>2357081.9</v>
      </c>
      <c r="Q15" s="262" t="n">
        <v>2545951.5</v>
      </c>
      <c r="R15" s="262" t="n">
        <v>2742886.1</v>
      </c>
      <c r="S15" s="263" t="n">
        <v>3180924.6</v>
      </c>
    </row>
    <row r="16" ht="15" customHeight="1" s="226">
      <c r="A16" s="260" t="inlineStr">
        <is>
          <t>Орловская область</t>
        </is>
      </c>
      <c r="B16" s="261" t="n">
        <v>9506.9</v>
      </c>
      <c r="C16" s="262" t="n">
        <v>15800</v>
      </c>
      <c r="D16" s="262" t="n">
        <v>22160.8</v>
      </c>
      <c r="E16" s="262" t="n">
        <v>27624.8</v>
      </c>
      <c r="F16" s="262" t="n">
        <v>35657.4</v>
      </c>
      <c r="G16" s="262" t="n">
        <v>42073.3</v>
      </c>
      <c r="H16" s="262" t="n">
        <v>46042.3</v>
      </c>
      <c r="I16" s="262" t="n">
        <v>53181.9</v>
      </c>
      <c r="J16" s="262" t="n">
        <v>64801.6</v>
      </c>
      <c r="K16" s="262" t="n">
        <v>77101.2</v>
      </c>
      <c r="L16" s="262" t="n">
        <v>96669.89999999999</v>
      </c>
      <c r="M16" s="262" t="n">
        <v>90623.60000000001</v>
      </c>
      <c r="N16" s="262" t="n">
        <v>106196.7</v>
      </c>
      <c r="O16" s="262" t="n">
        <v>131198.2</v>
      </c>
      <c r="P16" s="262" t="n">
        <v>146103.2</v>
      </c>
      <c r="Q16" s="262" t="n">
        <v>164797</v>
      </c>
      <c r="R16" s="262" t="n">
        <v>178822.5</v>
      </c>
      <c r="S16" s="263" t="n">
        <v>208237.9</v>
      </c>
    </row>
    <row r="17" ht="15" customHeight="1" s="226">
      <c r="A17" s="260" t="inlineStr">
        <is>
          <t>Рязанская область</t>
        </is>
      </c>
      <c r="B17" s="261" t="n">
        <v>12943.8</v>
      </c>
      <c r="C17" s="262" t="n">
        <v>20108.1</v>
      </c>
      <c r="D17" s="262" t="n">
        <v>27956.5</v>
      </c>
      <c r="E17" s="262" t="n">
        <v>37054.3</v>
      </c>
      <c r="F17" s="262" t="n">
        <v>45797.5</v>
      </c>
      <c r="G17" s="262" t="n">
        <v>59607.2</v>
      </c>
      <c r="H17" s="262" t="n">
        <v>69996</v>
      </c>
      <c r="I17" s="262" t="n">
        <v>84382.7</v>
      </c>
      <c r="J17" s="262" t="n">
        <v>105491.9</v>
      </c>
      <c r="K17" s="262" t="n">
        <v>121305.2</v>
      </c>
      <c r="L17" s="262" t="n">
        <v>150151.2</v>
      </c>
      <c r="M17" s="262" t="n">
        <v>153634.1</v>
      </c>
      <c r="N17" s="262" t="n">
        <v>179127.9</v>
      </c>
      <c r="O17" s="262" t="n">
        <v>214142.6</v>
      </c>
      <c r="P17" s="262" t="n">
        <v>253881.6</v>
      </c>
      <c r="Q17" s="262" t="n">
        <v>279286.5</v>
      </c>
      <c r="R17" s="262" t="n">
        <v>295611.7</v>
      </c>
      <c r="S17" s="263" t="n">
        <v>323131.8</v>
      </c>
    </row>
    <row r="18" ht="15" customHeight="1" s="226">
      <c r="A18" s="260" t="inlineStr">
        <is>
          <t>Смоленская область</t>
        </is>
      </c>
      <c r="B18" s="261" t="n">
        <v>11630.9</v>
      </c>
      <c r="C18" s="262" t="n">
        <v>20564.9</v>
      </c>
      <c r="D18" s="262" t="n">
        <v>28140.6</v>
      </c>
      <c r="E18" s="262" t="n">
        <v>36016.3</v>
      </c>
      <c r="F18" s="262" t="n">
        <v>42166.1</v>
      </c>
      <c r="G18" s="262" t="n">
        <v>49085.7</v>
      </c>
      <c r="H18" s="262" t="n">
        <v>56113.9</v>
      </c>
      <c r="I18" s="262" t="n">
        <v>65525.6</v>
      </c>
      <c r="J18" s="262" t="n">
        <v>79043.39999999999</v>
      </c>
      <c r="K18" s="262" t="n">
        <v>95703.39999999999</v>
      </c>
      <c r="L18" s="262" t="n">
        <v>121601.3</v>
      </c>
      <c r="M18" s="262" t="n">
        <v>125348.9</v>
      </c>
      <c r="N18" s="262" t="n">
        <v>154681.1</v>
      </c>
      <c r="O18" s="262" t="n">
        <v>180811.5</v>
      </c>
      <c r="P18" s="262" t="n">
        <v>201817</v>
      </c>
      <c r="Q18" s="262" t="n">
        <v>225887.1</v>
      </c>
      <c r="R18" s="262" t="n">
        <v>234710.1</v>
      </c>
      <c r="S18" s="263" t="n">
        <v>256706.8</v>
      </c>
    </row>
    <row r="19" ht="15" customHeight="1" s="226">
      <c r="A19" s="260" t="inlineStr">
        <is>
          <t>Тамбовская область</t>
        </is>
      </c>
      <c r="B19" s="261" t="n">
        <v>9871.299999999999</v>
      </c>
      <c r="C19" s="262" t="n">
        <v>16750.9</v>
      </c>
      <c r="D19" s="262" t="n">
        <v>23387.3</v>
      </c>
      <c r="E19" s="262" t="n">
        <v>31086.6</v>
      </c>
      <c r="F19" s="262" t="n">
        <v>38897.8</v>
      </c>
      <c r="G19" s="262" t="n">
        <v>46877.7</v>
      </c>
      <c r="H19" s="262" t="n">
        <v>56775</v>
      </c>
      <c r="I19" s="262" t="n">
        <v>63614.8</v>
      </c>
      <c r="J19" s="262" t="n">
        <v>79766.2</v>
      </c>
      <c r="K19" s="262" t="n">
        <v>106039.6</v>
      </c>
      <c r="L19" s="262" t="n">
        <v>120836</v>
      </c>
      <c r="M19" s="262" t="n">
        <v>136323.9</v>
      </c>
      <c r="N19" s="262" t="n">
        <v>143902.4</v>
      </c>
      <c r="O19" s="262" t="n">
        <v>173283.1</v>
      </c>
      <c r="P19" s="262" t="n">
        <v>203331.5</v>
      </c>
      <c r="Q19" s="262" t="n">
        <v>236335.9</v>
      </c>
      <c r="R19" s="262" t="n">
        <v>285656.5</v>
      </c>
      <c r="S19" s="263" t="n">
        <v>317213.7</v>
      </c>
    </row>
    <row r="20" ht="15" customHeight="1" s="226">
      <c r="A20" s="260" t="inlineStr">
        <is>
          <t>Тверская область</t>
        </is>
      </c>
      <c r="B20" s="261" t="n">
        <v>16784</v>
      </c>
      <c r="C20" s="262" t="n">
        <v>25703.4</v>
      </c>
      <c r="D20" s="262" t="n">
        <v>35341.1</v>
      </c>
      <c r="E20" s="262" t="n">
        <v>46986.4</v>
      </c>
      <c r="F20" s="262" t="n">
        <v>55732.6</v>
      </c>
      <c r="G20" s="262" t="n">
        <v>68805.3</v>
      </c>
      <c r="H20" s="262" t="n">
        <v>88081.5</v>
      </c>
      <c r="I20" s="262" t="n">
        <v>96897.39999999999</v>
      </c>
      <c r="J20" s="262" t="n">
        <v>127363.8</v>
      </c>
      <c r="K20" s="262" t="n">
        <v>156034.6</v>
      </c>
      <c r="L20" s="262" t="n">
        <v>192283</v>
      </c>
      <c r="M20" s="262" t="n">
        <v>197687</v>
      </c>
      <c r="N20" s="262" t="n">
        <v>219004.9</v>
      </c>
      <c r="O20" s="262" t="n">
        <v>255073</v>
      </c>
      <c r="P20" s="262" t="n">
        <v>268063.9</v>
      </c>
      <c r="Q20" s="262" t="n">
        <v>298669.2</v>
      </c>
      <c r="R20" s="262" t="n">
        <v>316613.2</v>
      </c>
      <c r="S20" s="263" t="n">
        <v>329616</v>
      </c>
    </row>
    <row r="21" ht="15" customHeight="1" s="226">
      <c r="A21" s="260" t="inlineStr">
        <is>
          <t>Тульская область</t>
        </is>
      </c>
      <c r="B21" s="261" t="n">
        <v>17890.5</v>
      </c>
      <c r="C21" s="262" t="n">
        <v>28602.2</v>
      </c>
      <c r="D21" s="262" t="n">
        <v>42061.3</v>
      </c>
      <c r="E21" s="262" t="n">
        <v>52891.2</v>
      </c>
      <c r="F21" s="262" t="n">
        <v>65416.3</v>
      </c>
      <c r="G21" s="262" t="n">
        <v>72258</v>
      </c>
      <c r="H21" s="262" t="n">
        <v>88119.60000000001</v>
      </c>
      <c r="I21" s="262" t="n">
        <v>116221.2</v>
      </c>
      <c r="J21" s="262" t="n">
        <v>142240.1</v>
      </c>
      <c r="K21" s="262" t="n">
        <v>174110.9</v>
      </c>
      <c r="L21" s="262" t="n">
        <v>231730.8</v>
      </c>
      <c r="M21" s="262" t="n">
        <v>214925.4</v>
      </c>
      <c r="N21" s="262" t="n">
        <v>237629.2</v>
      </c>
      <c r="O21" s="262" t="n">
        <v>279879.3</v>
      </c>
      <c r="P21" s="262" t="n">
        <v>311240.3</v>
      </c>
      <c r="Q21" s="262" t="n">
        <v>348034.8</v>
      </c>
      <c r="R21" s="262" t="n">
        <v>411122.3</v>
      </c>
      <c r="S21" s="263" t="n">
        <v>477537.8</v>
      </c>
    </row>
    <row r="22" ht="15" customHeight="1" s="226">
      <c r="A22" s="260" t="inlineStr">
        <is>
          <t>Ярославская область</t>
        </is>
      </c>
      <c r="B22" s="261" t="n">
        <v>19811.3</v>
      </c>
      <c r="C22" s="262" t="n">
        <v>33337.4</v>
      </c>
      <c r="D22" s="262" t="n">
        <v>41756.2</v>
      </c>
      <c r="E22" s="262" t="n">
        <v>61149.6</v>
      </c>
      <c r="F22" s="262" t="n">
        <v>75313.39999999999</v>
      </c>
      <c r="G22" s="262" t="n">
        <v>92073.39999999999</v>
      </c>
      <c r="H22" s="262" t="n">
        <v>112438.7</v>
      </c>
      <c r="I22" s="262" t="n">
        <v>131252.1</v>
      </c>
      <c r="J22" s="262" t="n">
        <v>153251.5</v>
      </c>
      <c r="K22" s="262" t="n">
        <v>186577.5</v>
      </c>
      <c r="L22" s="262" t="n">
        <v>214946.3</v>
      </c>
      <c r="M22" s="262" t="n">
        <v>212684.4</v>
      </c>
      <c r="N22" s="262" t="n">
        <v>239644</v>
      </c>
      <c r="O22" s="262" t="n">
        <v>286967.5</v>
      </c>
      <c r="P22" s="262" t="n">
        <v>327279.6</v>
      </c>
      <c r="Q22" s="262" t="n">
        <v>362861.8</v>
      </c>
      <c r="R22" s="262" t="n">
        <v>391462.8</v>
      </c>
      <c r="S22" s="263" t="n">
        <v>443054.1</v>
      </c>
    </row>
    <row r="23" ht="15" customHeight="1" s="226">
      <c r="A23" s="260" t="inlineStr">
        <is>
          <t>г.Москва</t>
        </is>
      </c>
      <c r="B23" s="264" t="n">
        <v>328497.9</v>
      </c>
      <c r="C23" s="265" t="n">
        <v>695059.8</v>
      </c>
      <c r="D23" s="265" t="n">
        <v>1159034</v>
      </c>
      <c r="E23" s="265" t="n">
        <v>1370182.8</v>
      </c>
      <c r="F23" s="265" t="n">
        <v>1767476.7</v>
      </c>
      <c r="G23" s="265" t="n">
        <v>2188231.5</v>
      </c>
      <c r="H23" s="265" t="n">
        <v>2853272.4</v>
      </c>
      <c r="I23" s="265" t="n">
        <v>4135154.6</v>
      </c>
      <c r="J23" s="265" t="n">
        <v>5260232.8</v>
      </c>
      <c r="K23" s="265" t="n">
        <v>6696259.1</v>
      </c>
      <c r="L23" s="265" t="n">
        <v>8248652</v>
      </c>
      <c r="M23" s="265" t="n">
        <v>7126972.4</v>
      </c>
      <c r="N23" s="265" t="n">
        <v>8375863.8</v>
      </c>
      <c r="O23" s="265" t="n">
        <v>9948772.800000001</v>
      </c>
      <c r="P23" s="265" t="n">
        <v>10666870.5</v>
      </c>
      <c r="Q23" s="265" t="n">
        <v>11814897.4</v>
      </c>
      <c r="R23" s="265" t="n">
        <v>12779525.7</v>
      </c>
      <c r="S23" s="266" t="n">
        <v>13520862.9</v>
      </c>
    </row>
    <row r="24" ht="15" customHeight="1" s="226">
      <c r="A24" s="267" t="inlineStr">
        <is>
          <t>Северо-Западный федеральный округ</t>
        </is>
      </c>
      <c r="B24" s="254">
        <f>SUM(B25:B36)</f>
        <v/>
      </c>
      <c r="C24" s="254">
        <f>SUM(C25:C36)</f>
        <v/>
      </c>
      <c r="D24" s="254">
        <f>SUM(D25:D36)-D28</f>
        <v/>
      </c>
      <c r="E24" s="254">
        <f>SUM(E25:E36)-E28</f>
        <v/>
      </c>
      <c r="F24" s="254">
        <f>SUM(F25:F36)-F28</f>
        <v/>
      </c>
      <c r="G24" s="254">
        <f>SUM(G25:G36)-G28</f>
        <v/>
      </c>
      <c r="H24" s="254">
        <f>SUM(H25:H36)-H28</f>
        <v/>
      </c>
      <c r="I24" s="254">
        <f>SUM(I25:I36)-I28</f>
        <v/>
      </c>
      <c r="J24" s="254">
        <f>SUM(J25:J36)-J28</f>
        <v/>
      </c>
      <c r="K24" s="254">
        <f>SUM(K25:K36)-K28</f>
        <v/>
      </c>
      <c r="L24" s="254">
        <f>SUM(L25:L36)-L28</f>
        <v/>
      </c>
      <c r="M24" s="254">
        <f>SUM(M25:M36)-M28</f>
        <v/>
      </c>
      <c r="N24" s="254">
        <f>SUM(N25:N36)-N28</f>
        <v/>
      </c>
      <c r="O24" s="254">
        <f>SUM(O25:O36)-O28-O29</f>
        <v/>
      </c>
      <c r="P24" s="254">
        <f>SUM(P25:P36)-P28-P29</f>
        <v/>
      </c>
      <c r="Q24" s="254">
        <f>SUM(Q25:Q36)-Q28-Q29</f>
        <v/>
      </c>
      <c r="R24" s="254">
        <f>SUM(R25:R36)-R28-R29</f>
        <v/>
      </c>
      <c r="S24" s="254">
        <f>SUM(S25:S36)-S28-S29</f>
        <v/>
      </c>
    </row>
    <row r="25" ht="15" customHeight="1" s="226">
      <c r="A25" s="268" t="inlineStr">
        <is>
          <t>Республика Карелия</t>
        </is>
      </c>
      <c r="B25" s="262" t="n">
        <v>11241.6</v>
      </c>
      <c r="C25" s="262" t="n">
        <v>20040.4</v>
      </c>
      <c r="D25" s="262" t="n">
        <v>28214.6</v>
      </c>
      <c r="E25" s="262" t="n">
        <v>33721.2</v>
      </c>
      <c r="F25" s="262" t="n">
        <v>41362.4</v>
      </c>
      <c r="G25" s="262" t="n">
        <v>46588.9</v>
      </c>
      <c r="H25" s="262" t="n">
        <v>53964.1</v>
      </c>
      <c r="I25" s="262" t="n">
        <v>77124.8</v>
      </c>
      <c r="J25" s="262" t="n">
        <v>84228.3</v>
      </c>
      <c r="K25" s="262" t="n">
        <v>104603.3</v>
      </c>
      <c r="L25" s="262" t="n">
        <v>115208.2</v>
      </c>
      <c r="M25" s="262" t="n">
        <v>105924.1</v>
      </c>
      <c r="N25" s="262" t="n">
        <v>120511.3</v>
      </c>
      <c r="O25" s="262" t="n">
        <v>154953.7</v>
      </c>
      <c r="P25" s="262" t="n">
        <v>160841.5</v>
      </c>
      <c r="Q25" s="262" t="n">
        <v>178636.2</v>
      </c>
      <c r="R25" s="262" t="n">
        <v>191192.1</v>
      </c>
      <c r="S25" s="263" t="n">
        <v>212049.5</v>
      </c>
    </row>
    <row r="26" ht="15" customHeight="1" s="226">
      <c r="A26" s="268" t="inlineStr">
        <is>
          <t>Республика Коми</t>
        </is>
      </c>
      <c r="B26" s="262" t="n">
        <v>29127.5</v>
      </c>
      <c r="C26" s="262" t="n">
        <v>43810.6</v>
      </c>
      <c r="D26" s="262" t="n">
        <v>59473.1</v>
      </c>
      <c r="E26" s="262" t="n">
        <v>78276.5</v>
      </c>
      <c r="F26" s="262" t="n">
        <v>86019.39999999999</v>
      </c>
      <c r="G26" s="262" t="n">
        <v>107149</v>
      </c>
      <c r="H26" s="262" t="n">
        <v>131588</v>
      </c>
      <c r="I26" s="262" t="n">
        <v>171307.2</v>
      </c>
      <c r="J26" s="262" t="n">
        <v>218490.7</v>
      </c>
      <c r="K26" s="262" t="n">
        <v>241150.5</v>
      </c>
      <c r="L26" s="262" t="n">
        <v>291812.1</v>
      </c>
      <c r="M26" s="262" t="n">
        <v>302629.2</v>
      </c>
      <c r="N26" s="262" t="n">
        <v>353853</v>
      </c>
      <c r="O26" s="262" t="n">
        <v>435959.3</v>
      </c>
      <c r="P26" s="262" t="n">
        <v>479051.3</v>
      </c>
      <c r="Q26" s="262" t="n">
        <v>482329.9</v>
      </c>
      <c r="R26" s="262" t="n">
        <v>484166.5</v>
      </c>
      <c r="S26" s="263" t="n">
        <v>528403.4</v>
      </c>
    </row>
    <row r="27" ht="15" customHeight="1" s="226">
      <c r="A27" s="268" t="inlineStr">
        <is>
          <t>Архангельская область</t>
        </is>
      </c>
      <c r="B27" s="262" t="n">
        <v>22435.5</v>
      </c>
      <c r="C27" s="262" t="n">
        <v>35928.4</v>
      </c>
      <c r="D27" s="262" t="n">
        <v>61806.9</v>
      </c>
      <c r="E27" s="262" t="n">
        <v>67274.7</v>
      </c>
      <c r="F27" s="262" t="n">
        <v>83158.8</v>
      </c>
      <c r="G27" s="262" t="n">
        <v>103951.3</v>
      </c>
      <c r="H27" s="262" t="n">
        <v>142564.7</v>
      </c>
      <c r="I27" s="262" t="n">
        <v>166433.4</v>
      </c>
      <c r="J27" s="262" t="n">
        <v>215932.7</v>
      </c>
      <c r="K27" s="262" t="n">
        <v>268672.1</v>
      </c>
      <c r="L27" s="262" t="n">
        <v>289755.9</v>
      </c>
      <c r="M27" s="262" t="n">
        <v>323606.8</v>
      </c>
      <c r="N27" s="262" t="n">
        <v>372804.8</v>
      </c>
      <c r="O27" s="262" t="n">
        <v>439116.8</v>
      </c>
      <c r="P27" s="262" t="n">
        <v>472470.9</v>
      </c>
      <c r="Q27" s="262" t="n">
        <v>500095.1</v>
      </c>
      <c r="R27" s="262" t="n">
        <v>542695.3</v>
      </c>
      <c r="S27" s="263" t="n">
        <v>627698.1</v>
      </c>
    </row>
    <row r="28" ht="15" customHeight="1" s="226">
      <c r="A28" s="268" t="inlineStr">
        <is>
          <t xml:space="preserve">  в т.ч. Ненецкий авт. округ</t>
        </is>
      </c>
      <c r="B28" s="262" t="inlineStr">
        <is>
          <t>…</t>
        </is>
      </c>
      <c r="C28" s="262" t="inlineStr">
        <is>
          <t>…</t>
        </is>
      </c>
      <c r="D28" s="262" t="n">
        <v>11924</v>
      </c>
      <c r="E28" s="262" t="n">
        <v>11883.5</v>
      </c>
      <c r="F28" s="262" t="n">
        <v>16480.8</v>
      </c>
      <c r="G28" s="262" t="n">
        <v>25040.6</v>
      </c>
      <c r="H28" s="262" t="n">
        <v>39586.7</v>
      </c>
      <c r="I28" s="262" t="n">
        <v>44718.3</v>
      </c>
      <c r="J28" s="262" t="n">
        <v>67248.39999999999</v>
      </c>
      <c r="K28" s="262" t="n">
        <v>97838.3</v>
      </c>
      <c r="L28" s="262" t="n">
        <v>91476.39999999999</v>
      </c>
      <c r="M28" s="262" t="n">
        <v>130177.7</v>
      </c>
      <c r="N28" s="262" t="n">
        <v>145928.3</v>
      </c>
      <c r="O28" s="262" t="n">
        <v>165431.3</v>
      </c>
      <c r="P28" s="262" t="n">
        <v>157067.1</v>
      </c>
      <c r="Q28" s="262" t="n">
        <v>173170.2</v>
      </c>
      <c r="R28" s="262" t="n">
        <v>187009.8</v>
      </c>
      <c r="S28" s="263" t="n">
        <v>227193.5</v>
      </c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9" t="inlineStr">
        <is>
          <t>…</t>
        </is>
      </c>
      <c r="C29" s="269" t="inlineStr">
        <is>
          <t>…</t>
        </is>
      </c>
      <c r="D29" s="269" t="inlineStr">
        <is>
          <t>…</t>
        </is>
      </c>
      <c r="E29" s="269" t="inlineStr">
        <is>
          <t>…</t>
        </is>
      </c>
      <c r="F29" s="269" t="inlineStr">
        <is>
          <t>…</t>
        </is>
      </c>
      <c r="G29" s="269" t="inlineStr">
        <is>
          <t>…</t>
        </is>
      </c>
      <c r="H29" s="269" t="inlineStr">
        <is>
          <t>…</t>
        </is>
      </c>
      <c r="I29" s="269" t="inlineStr">
        <is>
          <t>…</t>
        </is>
      </c>
      <c r="J29" s="269" t="inlineStr">
        <is>
          <t>…</t>
        </is>
      </c>
      <c r="K29" s="269" t="inlineStr">
        <is>
          <t>…</t>
        </is>
      </c>
      <c r="L29" s="269" t="inlineStr">
        <is>
          <t>…</t>
        </is>
      </c>
      <c r="M29" s="269" t="inlineStr">
        <is>
          <t>…</t>
        </is>
      </c>
      <c r="N29" s="269" t="inlineStr">
        <is>
          <t>…</t>
        </is>
      </c>
      <c r="O29" s="262" t="n">
        <v>273685.5</v>
      </c>
      <c r="P29" s="262" t="n">
        <v>315403.8</v>
      </c>
      <c r="Q29" s="262" t="n">
        <v>326924.9</v>
      </c>
      <c r="R29" s="262" t="n">
        <v>355685.5</v>
      </c>
      <c r="S29" s="263" t="n">
        <v>400504.6</v>
      </c>
    </row>
    <row r="30" ht="15" customHeight="1" s="226">
      <c r="A30" s="268" t="inlineStr">
        <is>
          <t>Вологодская область</t>
        </is>
      </c>
      <c r="B30" s="262" t="n">
        <v>23748.4</v>
      </c>
      <c r="C30" s="262" t="n">
        <v>44974.4</v>
      </c>
      <c r="D30" s="262" t="n">
        <v>69195.5</v>
      </c>
      <c r="E30" s="262" t="n">
        <v>65425.3</v>
      </c>
      <c r="F30" s="262" t="n">
        <v>80731.89999999999</v>
      </c>
      <c r="G30" s="262" t="n">
        <v>107544.6</v>
      </c>
      <c r="H30" s="262" t="n">
        <v>161378.6</v>
      </c>
      <c r="I30" s="262" t="n">
        <v>193966.1</v>
      </c>
      <c r="J30" s="262" t="n">
        <v>201939.2</v>
      </c>
      <c r="K30" s="262" t="n">
        <v>243336.3</v>
      </c>
      <c r="L30" s="262" t="n">
        <v>294926.2</v>
      </c>
      <c r="M30" s="262" t="n">
        <v>213396.9</v>
      </c>
      <c r="N30" s="262" t="n">
        <v>262432.7</v>
      </c>
      <c r="O30" s="262" t="n">
        <v>323067.9</v>
      </c>
      <c r="P30" s="262" t="n">
        <v>355291.3</v>
      </c>
      <c r="Q30" s="262" t="n">
        <v>346227.6</v>
      </c>
      <c r="R30" s="262" t="n">
        <v>387211.7</v>
      </c>
      <c r="S30" s="263" t="n">
        <v>478893</v>
      </c>
    </row>
    <row r="31" ht="15" customHeight="1" s="226">
      <c r="A31" s="268" t="inlineStr">
        <is>
          <t>Калининградская область</t>
        </is>
      </c>
      <c r="B31" s="262" t="n">
        <v>8405.799999999999</v>
      </c>
      <c r="C31" s="262" t="n">
        <v>15619.6</v>
      </c>
      <c r="D31" s="262" t="n">
        <v>23290.3</v>
      </c>
      <c r="E31" s="262" t="n">
        <v>32327.2</v>
      </c>
      <c r="F31" s="262" t="n">
        <v>40120.3</v>
      </c>
      <c r="G31" s="262" t="n">
        <v>46757.7</v>
      </c>
      <c r="H31" s="262" t="n">
        <v>66552.10000000001</v>
      </c>
      <c r="I31" s="262" t="n">
        <v>81837.60000000001</v>
      </c>
      <c r="J31" s="262" t="n">
        <v>103138.7</v>
      </c>
      <c r="K31" s="262" t="n">
        <v>143927.7</v>
      </c>
      <c r="L31" s="262" t="n">
        <v>179266.7</v>
      </c>
      <c r="M31" s="262" t="n">
        <v>169519.6</v>
      </c>
      <c r="N31" s="262" t="n">
        <v>195749.1</v>
      </c>
      <c r="O31" s="262" t="n">
        <v>241004.8</v>
      </c>
      <c r="P31" s="262" t="n">
        <v>265361.2</v>
      </c>
      <c r="Q31" s="262" t="n">
        <v>275885.8</v>
      </c>
      <c r="R31" s="262" t="n">
        <v>314088.3</v>
      </c>
      <c r="S31" s="263" t="n">
        <v>349818.6</v>
      </c>
    </row>
    <row r="32" ht="15" customHeight="1" s="226">
      <c r="A32" s="268" t="inlineStr">
        <is>
          <t>Ленинградская область</t>
        </is>
      </c>
      <c r="B32" s="262" t="n">
        <v>21515.9</v>
      </c>
      <c r="C32" s="262" t="n">
        <v>39742.8</v>
      </c>
      <c r="D32" s="262" t="n">
        <v>56001.9</v>
      </c>
      <c r="E32" s="262" t="n">
        <v>75858.60000000001</v>
      </c>
      <c r="F32" s="262" t="n">
        <v>94747</v>
      </c>
      <c r="G32" s="262" t="n">
        <v>121222.3</v>
      </c>
      <c r="H32" s="262" t="n">
        <v>166445</v>
      </c>
      <c r="I32" s="262" t="n">
        <v>205416.9</v>
      </c>
      <c r="J32" s="262" t="n">
        <v>265260.4</v>
      </c>
      <c r="K32" s="262" t="n">
        <v>309028.6</v>
      </c>
      <c r="L32" s="262" t="n">
        <v>383255.4</v>
      </c>
      <c r="M32" s="262" t="n">
        <v>430395.5</v>
      </c>
      <c r="N32" s="262" t="n">
        <v>490303.7</v>
      </c>
      <c r="O32" s="262" t="n">
        <v>581712</v>
      </c>
      <c r="P32" s="262" t="n">
        <v>672066.9</v>
      </c>
      <c r="Q32" s="262" t="n">
        <v>678718.3</v>
      </c>
      <c r="R32" s="262" t="n">
        <v>703325.6</v>
      </c>
      <c r="S32" s="263" t="n">
        <v>849616.6</v>
      </c>
    </row>
    <row r="33" ht="15" customHeight="1" s="226">
      <c r="A33" s="268" t="inlineStr">
        <is>
          <t>Мурманская область</t>
        </is>
      </c>
      <c r="B33" s="262" t="n">
        <v>22675.9</v>
      </c>
      <c r="C33" s="262" t="n">
        <v>40973.5</v>
      </c>
      <c r="D33" s="262" t="n">
        <v>55135</v>
      </c>
      <c r="E33" s="262" t="n">
        <v>57569.3</v>
      </c>
      <c r="F33" s="262" t="n">
        <v>68445.39999999999</v>
      </c>
      <c r="G33" s="262" t="n">
        <v>80604.10000000001</v>
      </c>
      <c r="H33" s="262" t="n">
        <v>124972</v>
      </c>
      <c r="I33" s="262" t="n">
        <v>132870.2</v>
      </c>
      <c r="J33" s="262" t="n">
        <v>158127</v>
      </c>
      <c r="K33" s="262" t="n">
        <v>191584.6</v>
      </c>
      <c r="L33" s="262" t="n">
        <v>213733.5</v>
      </c>
      <c r="M33" s="262" t="n">
        <v>202235.5</v>
      </c>
      <c r="N33" s="262" t="n">
        <v>233438.9</v>
      </c>
      <c r="O33" s="262" t="n">
        <v>263811.7</v>
      </c>
      <c r="P33" s="262" t="n">
        <v>283846.2</v>
      </c>
      <c r="Q33" s="262" t="n">
        <v>306578.7</v>
      </c>
      <c r="R33" s="262" t="n">
        <v>328291.8</v>
      </c>
      <c r="S33" s="263" t="n">
        <v>401582.7</v>
      </c>
    </row>
    <row r="34" ht="15" customHeight="1" s="226">
      <c r="A34" s="268" t="inlineStr">
        <is>
          <t>Новгородская область</t>
        </is>
      </c>
      <c r="B34" s="262" t="n">
        <v>9361</v>
      </c>
      <c r="C34" s="262" t="n">
        <v>15726.4</v>
      </c>
      <c r="D34" s="262" t="n">
        <v>20965.5</v>
      </c>
      <c r="E34" s="262" t="n">
        <v>27501</v>
      </c>
      <c r="F34" s="262" t="n">
        <v>31466.8</v>
      </c>
      <c r="G34" s="262" t="n">
        <v>38081.7</v>
      </c>
      <c r="H34" s="262" t="n">
        <v>49242.3</v>
      </c>
      <c r="I34" s="262" t="n">
        <v>63848.3</v>
      </c>
      <c r="J34" s="262" t="n">
        <v>74923.8</v>
      </c>
      <c r="K34" s="262" t="n">
        <v>86664.89999999999</v>
      </c>
      <c r="L34" s="262" t="n">
        <v>115141.3</v>
      </c>
      <c r="M34" s="262" t="n">
        <v>117710</v>
      </c>
      <c r="N34" s="262" t="n">
        <v>127407.8</v>
      </c>
      <c r="O34" s="262" t="n">
        <v>153419.7</v>
      </c>
      <c r="P34" s="262" t="n">
        <v>170605.7</v>
      </c>
      <c r="Q34" s="262" t="n">
        <v>178818.1</v>
      </c>
      <c r="R34" s="262" t="n">
        <v>209304.4</v>
      </c>
      <c r="S34" s="263" t="n">
        <v>234075.7</v>
      </c>
    </row>
    <row r="35" ht="15" customHeight="1" s="226">
      <c r="A35" s="268" t="inlineStr">
        <is>
          <t>Псковская область</t>
        </is>
      </c>
      <c r="B35" s="262" t="n">
        <v>6161.2</v>
      </c>
      <c r="C35" s="262" t="n">
        <v>11142.4</v>
      </c>
      <c r="D35" s="262" t="n">
        <v>16178.9</v>
      </c>
      <c r="E35" s="262" t="n">
        <v>19416.9</v>
      </c>
      <c r="F35" s="262" t="n">
        <v>24098.9</v>
      </c>
      <c r="G35" s="262" t="n">
        <v>29488.4</v>
      </c>
      <c r="H35" s="262" t="n">
        <v>35816</v>
      </c>
      <c r="I35" s="262" t="n">
        <v>40582.9</v>
      </c>
      <c r="J35" s="262" t="n">
        <v>51464.9</v>
      </c>
      <c r="K35" s="262" t="n">
        <v>61561.9</v>
      </c>
      <c r="L35" s="262" t="n">
        <v>73283.2</v>
      </c>
      <c r="M35" s="262" t="n">
        <v>74647.8</v>
      </c>
      <c r="N35" s="262" t="n">
        <v>87066</v>
      </c>
      <c r="O35" s="262" t="n">
        <v>100498.5</v>
      </c>
      <c r="P35" s="262" t="n">
        <v>107547.5</v>
      </c>
      <c r="Q35" s="262" t="n">
        <v>114676.2</v>
      </c>
      <c r="R35" s="262" t="n">
        <v>123825.6</v>
      </c>
      <c r="S35" s="263" t="n">
        <v>135239.5</v>
      </c>
    </row>
    <row r="36" ht="15" customHeight="1" s="226">
      <c r="A36" s="268" t="inlineStr">
        <is>
          <t>г.Санкт-Петербург</t>
        </is>
      </c>
      <c r="B36" s="270" t="n">
        <v>86112.2</v>
      </c>
      <c r="C36" s="270" t="n">
        <v>134354.2</v>
      </c>
      <c r="D36" s="270" t="n">
        <v>188243</v>
      </c>
      <c r="E36" s="270" t="n">
        <v>251654.4</v>
      </c>
      <c r="F36" s="270" t="n">
        <v>336692.3</v>
      </c>
      <c r="G36" s="270" t="n">
        <v>409638.5</v>
      </c>
      <c r="H36" s="270" t="n">
        <v>542359.2</v>
      </c>
      <c r="I36" s="270" t="n">
        <v>666392.8</v>
      </c>
      <c r="J36" s="270" t="n">
        <v>825102.3</v>
      </c>
      <c r="K36" s="270" t="n">
        <v>1119660.3</v>
      </c>
      <c r="L36" s="270" t="n">
        <v>1431839.6</v>
      </c>
      <c r="M36" s="270" t="n">
        <v>1475805.3</v>
      </c>
      <c r="N36" s="270" t="n">
        <v>1699486.4</v>
      </c>
      <c r="O36" s="270" t="n">
        <v>2091914.3</v>
      </c>
      <c r="P36" s="270" t="n">
        <v>2280426</v>
      </c>
      <c r="Q36" s="270" t="n">
        <v>2491423.3</v>
      </c>
      <c r="R36" s="270" t="n">
        <v>2661210</v>
      </c>
      <c r="S36" s="271" t="n">
        <v>3387417.7</v>
      </c>
    </row>
    <row r="37" ht="15" customHeight="1" s="226">
      <c r="A37" s="272" t="inlineStr">
        <is>
          <t>Южный федеральный округ</t>
        </is>
      </c>
      <c r="B37" s="254">
        <f>SUM(B38:B44)</f>
        <v/>
      </c>
      <c r="C37" s="254">
        <f>SUM(C38:C44)</f>
        <v/>
      </c>
      <c r="D37" s="254">
        <f>SUM(D38:D44)</f>
        <v/>
      </c>
      <c r="E37" s="254">
        <f>SUM(E38:E44)</f>
        <v/>
      </c>
      <c r="F37" s="254">
        <f>SUM(F38:F44)</f>
        <v/>
      </c>
      <c r="G37" s="254">
        <f>SUM(G38:G44)</f>
        <v/>
      </c>
      <c r="H37" s="254">
        <f>SUM(H38:H44)</f>
        <v/>
      </c>
      <c r="I37" s="254">
        <f>SUM(I38:I44)</f>
        <v/>
      </c>
      <c r="J37" s="254">
        <f>SUM(J38:J44)</f>
        <v/>
      </c>
      <c r="K37" s="254">
        <f>SUM(K38:K44)</f>
        <v/>
      </c>
      <c r="L37" s="254">
        <f>SUM(L38:L44)</f>
        <v/>
      </c>
      <c r="M37" s="254">
        <f>SUM(M38:M44)</f>
        <v/>
      </c>
      <c r="N37" s="254">
        <f>SUM(N38:N44)</f>
        <v/>
      </c>
      <c r="O37" s="254">
        <f>SUM(O38:O44)</f>
        <v/>
      </c>
      <c r="P37" s="254">
        <f>SUM(P38:P44)</f>
        <v/>
      </c>
      <c r="Q37" s="254">
        <f>SUM(Q38:Q44)</f>
        <v/>
      </c>
      <c r="R37" s="254">
        <f>SUM(R38:R45)</f>
        <v/>
      </c>
      <c r="S37" s="254">
        <f>SUM(S38:S45)</f>
        <v/>
      </c>
    </row>
    <row r="38" ht="15" customHeight="1" s="226">
      <c r="A38" s="268" t="inlineStr">
        <is>
          <t>Республика Адыгея</t>
        </is>
      </c>
      <c r="B38" s="273" t="n">
        <v>3112.6</v>
      </c>
      <c r="C38" s="273" t="n">
        <v>4524.8</v>
      </c>
      <c r="D38" s="273" t="n">
        <v>5519.6</v>
      </c>
      <c r="E38" s="273" t="n">
        <v>6641.8</v>
      </c>
      <c r="F38" s="273" t="n">
        <v>7909.9</v>
      </c>
      <c r="G38" s="273" t="n">
        <v>9849.299999999999</v>
      </c>
      <c r="H38" s="273" t="n">
        <v>12493.2</v>
      </c>
      <c r="I38" s="273" t="n">
        <v>17029.1</v>
      </c>
      <c r="J38" s="273" t="n">
        <v>21132.4</v>
      </c>
      <c r="K38" s="273" t="n">
        <v>29085.1</v>
      </c>
      <c r="L38" s="273" t="n">
        <v>36134.4</v>
      </c>
      <c r="M38" s="273" t="n">
        <v>41511.5</v>
      </c>
      <c r="N38" s="273" t="n">
        <v>47194.5</v>
      </c>
      <c r="O38" s="273" t="n">
        <v>56803.3</v>
      </c>
      <c r="P38" s="273" t="n">
        <v>65300.4</v>
      </c>
      <c r="Q38" s="273" t="n">
        <v>70862.3</v>
      </c>
      <c r="R38" s="273" t="n">
        <v>75622.5</v>
      </c>
      <c r="S38" s="274" t="n">
        <v>84306</v>
      </c>
    </row>
    <row r="39" ht="15" customHeight="1" s="226">
      <c r="A39" s="268" t="inlineStr">
        <is>
          <t>Республика Калмыкия</t>
        </is>
      </c>
      <c r="B39" s="262" t="n">
        <v>1525.3</v>
      </c>
      <c r="C39" s="262" t="n">
        <v>2198</v>
      </c>
      <c r="D39" s="262" t="n">
        <v>6212.6</v>
      </c>
      <c r="E39" s="262" t="n">
        <v>6732</v>
      </c>
      <c r="F39" s="262" t="n">
        <v>7272.3</v>
      </c>
      <c r="G39" s="262" t="n">
        <v>6539.5</v>
      </c>
      <c r="H39" s="262" t="n">
        <v>8518.5</v>
      </c>
      <c r="I39" s="262" t="n">
        <v>9685.700000000001</v>
      </c>
      <c r="J39" s="262" t="n">
        <v>12844.1</v>
      </c>
      <c r="K39" s="262" t="n">
        <v>17225.8</v>
      </c>
      <c r="L39" s="262" t="n">
        <v>20789.7</v>
      </c>
      <c r="M39" s="262" t="n">
        <v>23948.1</v>
      </c>
      <c r="N39" s="262" t="n">
        <v>24404.1</v>
      </c>
      <c r="O39" s="262" t="n">
        <v>29318.7</v>
      </c>
      <c r="P39" s="262" t="n">
        <v>35897.8</v>
      </c>
      <c r="Q39" s="262" t="n">
        <v>41165.9</v>
      </c>
      <c r="R39" s="262" t="n">
        <v>46680.6</v>
      </c>
      <c r="S39" s="263" t="n">
        <v>51958.5</v>
      </c>
    </row>
    <row r="40" ht="15" customHeight="1" s="226">
      <c r="A40" s="268" t="inlineStr">
        <is>
          <t>Республика Крым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>
        <v>189439.2</v>
      </c>
      <c r="S40" s="263" t="n">
        <v>265970.6</v>
      </c>
    </row>
    <row r="41" ht="15" customHeight="1" s="226">
      <c r="A41" s="268" t="inlineStr">
        <is>
          <t>Краснодарский край</t>
        </is>
      </c>
      <c r="B41" s="262" t="n">
        <v>51621.9</v>
      </c>
      <c r="C41" s="262" t="n">
        <v>98882</v>
      </c>
      <c r="D41" s="262" t="n">
        <v>137125.3</v>
      </c>
      <c r="E41" s="262" t="n">
        <v>179177.5</v>
      </c>
      <c r="F41" s="262" t="n">
        <v>217727.6</v>
      </c>
      <c r="G41" s="262" t="n">
        <v>248565.5</v>
      </c>
      <c r="H41" s="262" t="n">
        <v>313623.6</v>
      </c>
      <c r="I41" s="262" t="n">
        <v>372929.8</v>
      </c>
      <c r="J41" s="262" t="n">
        <v>483950.7</v>
      </c>
      <c r="K41" s="262" t="n">
        <v>648211.3</v>
      </c>
      <c r="L41" s="262" t="n">
        <v>803834.1</v>
      </c>
      <c r="M41" s="262" t="n">
        <v>861603.3</v>
      </c>
      <c r="N41" s="262" t="n">
        <v>1028308.4</v>
      </c>
      <c r="O41" s="262" t="n">
        <v>1244652.8</v>
      </c>
      <c r="P41" s="262" t="n">
        <v>1459490.8</v>
      </c>
      <c r="Q41" s="262" t="n">
        <v>1662969.1</v>
      </c>
      <c r="R41" s="262" t="n">
        <v>1784833.5</v>
      </c>
      <c r="S41" s="263" t="n">
        <v>1933512.1</v>
      </c>
    </row>
    <row r="42" ht="15" customHeight="1" s="226">
      <c r="A42" s="268" t="inlineStr">
        <is>
          <t>Астраханская область</t>
        </is>
      </c>
      <c r="B42" s="262" t="n">
        <v>10356.3</v>
      </c>
      <c r="C42" s="262" t="n">
        <v>16032.8</v>
      </c>
      <c r="D42" s="262" t="n">
        <v>28115.7</v>
      </c>
      <c r="E42" s="262" t="n">
        <v>32274.3</v>
      </c>
      <c r="F42" s="262" t="n">
        <v>40994.9</v>
      </c>
      <c r="G42" s="262" t="n">
        <v>50659.8</v>
      </c>
      <c r="H42" s="262" t="n">
        <v>56710.9</v>
      </c>
      <c r="I42" s="262" t="n">
        <v>70127.60000000001</v>
      </c>
      <c r="J42" s="262" t="n">
        <v>85112.10000000001</v>
      </c>
      <c r="K42" s="262" t="n">
        <v>100359.2</v>
      </c>
      <c r="L42" s="262" t="n">
        <v>147549.1</v>
      </c>
      <c r="M42" s="262" t="n">
        <v>134418.2</v>
      </c>
      <c r="N42" s="262" t="n">
        <v>144888.8</v>
      </c>
      <c r="O42" s="262" t="n">
        <v>172616.6</v>
      </c>
      <c r="P42" s="262" t="n">
        <v>209654.4</v>
      </c>
      <c r="Q42" s="262" t="n">
        <v>273917.1</v>
      </c>
      <c r="R42" s="262" t="n">
        <v>296319.3</v>
      </c>
      <c r="S42" s="263" t="n">
        <v>322303</v>
      </c>
    </row>
    <row r="43" ht="15" customHeight="1" s="226">
      <c r="A43" s="268" t="inlineStr">
        <is>
          <t>Волгоградская область</t>
        </is>
      </c>
      <c r="B43" s="262" t="n">
        <v>30261.5</v>
      </c>
      <c r="C43" s="262" t="n">
        <v>44411.1</v>
      </c>
      <c r="D43" s="262" t="n">
        <v>63767.1</v>
      </c>
      <c r="E43" s="262" t="n">
        <v>82919.7</v>
      </c>
      <c r="F43" s="262" t="n">
        <v>104341.2</v>
      </c>
      <c r="G43" s="262" t="n">
        <v>128622.2</v>
      </c>
      <c r="H43" s="262" t="n">
        <v>154337.7</v>
      </c>
      <c r="I43" s="262" t="n">
        <v>203232.2</v>
      </c>
      <c r="J43" s="262" t="n">
        <v>252142.7</v>
      </c>
      <c r="K43" s="262" t="n">
        <v>331766.8</v>
      </c>
      <c r="L43" s="262" t="n">
        <v>416678.5</v>
      </c>
      <c r="M43" s="262" t="n">
        <v>377514.3</v>
      </c>
      <c r="N43" s="262" t="n">
        <v>433473.7</v>
      </c>
      <c r="O43" s="262" t="n">
        <v>508433.3</v>
      </c>
      <c r="P43" s="262" t="n">
        <v>571516.1</v>
      </c>
      <c r="Q43" s="262" t="n">
        <v>607472.2</v>
      </c>
      <c r="R43" s="262" t="n">
        <v>715409.6</v>
      </c>
      <c r="S43" s="263" t="n">
        <v>740458</v>
      </c>
    </row>
    <row r="44" ht="15" customHeight="1" s="226">
      <c r="A44" s="268" t="inlineStr">
        <is>
          <t>Ростовская область</t>
        </is>
      </c>
      <c r="B44" s="262" t="n">
        <v>37891.8</v>
      </c>
      <c r="C44" s="262" t="n">
        <v>64207.2</v>
      </c>
      <c r="D44" s="262" t="n">
        <v>88955</v>
      </c>
      <c r="E44" s="262" t="n">
        <v>118762.5</v>
      </c>
      <c r="F44" s="262" t="n">
        <v>140773.3</v>
      </c>
      <c r="G44" s="262" t="n">
        <v>171849</v>
      </c>
      <c r="H44" s="262" t="n">
        <v>221167.4</v>
      </c>
      <c r="I44" s="262" t="n">
        <v>263051.5</v>
      </c>
      <c r="J44" s="262" t="n">
        <v>340012.5</v>
      </c>
      <c r="K44" s="262" t="n">
        <v>450434.7</v>
      </c>
      <c r="L44" s="262" t="n">
        <v>576125.7</v>
      </c>
      <c r="M44" s="262" t="n">
        <v>555917.1</v>
      </c>
      <c r="N44" s="262" t="n">
        <v>659667.4</v>
      </c>
      <c r="O44" s="262" t="n">
        <v>765967.2</v>
      </c>
      <c r="P44" s="262" t="n">
        <v>843560.3</v>
      </c>
      <c r="Q44" s="262" t="n">
        <v>917689.1</v>
      </c>
      <c r="R44" s="262" t="n">
        <v>1007758.8</v>
      </c>
      <c r="S44" s="263" t="n">
        <v>1189144</v>
      </c>
    </row>
    <row r="45" ht="15" customHeight="1" s="226">
      <c r="A45" s="268" t="inlineStr">
        <is>
          <t>г.Севастополь</t>
        </is>
      </c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>
        <v>30148.6</v>
      </c>
      <c r="S45" s="263" t="n">
        <v>48663.3</v>
      </c>
    </row>
    <row r="46" ht="15" customHeight="1" s="226">
      <c r="A46" s="267" t="inlineStr">
        <is>
          <t>Северо-Кавказский федеральный округ</t>
        </is>
      </c>
      <c r="B46" s="254">
        <f>SUM(B47:B53)</f>
        <v/>
      </c>
      <c r="C46" s="254">
        <f>SUM(C47:C53)</f>
        <v/>
      </c>
      <c r="D46" s="254">
        <f>SUM(D47:D53)</f>
        <v/>
      </c>
      <c r="E46" s="254">
        <f>SUM(E47:E53)</f>
        <v/>
      </c>
      <c r="F46" s="254">
        <f>SUM(F47:F53)</f>
        <v/>
      </c>
      <c r="G46" s="275">
        <f>SUM(G47:G53)</f>
        <v/>
      </c>
      <c r="H46" s="275">
        <f>SUM(H47:H53)</f>
        <v/>
      </c>
      <c r="I46" s="275">
        <f>SUM(I47:I53)</f>
        <v/>
      </c>
      <c r="J46" s="275">
        <f>SUM(J47:J53)</f>
        <v/>
      </c>
      <c r="K46" s="275">
        <f>SUM(K47:K53)</f>
        <v/>
      </c>
      <c r="L46" s="275">
        <f>SUM(L47:L53)</f>
        <v/>
      </c>
      <c r="M46" s="275">
        <f>SUM(M47:M53)</f>
        <v/>
      </c>
      <c r="N46" s="275">
        <f>SUM(N47:N53)</f>
        <v/>
      </c>
      <c r="O46" s="275">
        <f>SUM(O47:O53)</f>
        <v/>
      </c>
      <c r="P46" s="275">
        <f>SUM(P47:P53)</f>
        <v/>
      </c>
      <c r="Q46" s="275">
        <f>SUM(Q47:Q53)</f>
        <v/>
      </c>
      <c r="R46" s="275">
        <f>SUM(R47:R53)</f>
        <v/>
      </c>
      <c r="S46" s="254">
        <f>SUM(S47:S53)</f>
        <v/>
      </c>
    </row>
    <row r="47" ht="15" customHeight="1" s="226">
      <c r="A47" s="268" t="inlineStr">
        <is>
          <t>Республика Дагестан</t>
        </is>
      </c>
      <c r="B47" s="262" t="n">
        <v>8480.299999999999</v>
      </c>
      <c r="C47" s="262" t="n">
        <v>13014.1</v>
      </c>
      <c r="D47" s="262" t="n">
        <v>20921.1</v>
      </c>
      <c r="E47" s="262" t="n">
        <v>31544</v>
      </c>
      <c r="F47" s="262" t="n">
        <v>41441</v>
      </c>
      <c r="G47" s="262" t="n">
        <v>57626.7</v>
      </c>
      <c r="H47" s="262" t="n">
        <v>80712.39999999999</v>
      </c>
      <c r="I47" s="262" t="n">
        <v>90442.60000000001</v>
      </c>
      <c r="J47" s="262" t="n">
        <v>124153.5</v>
      </c>
      <c r="K47" s="262" t="n">
        <v>156928.8</v>
      </c>
      <c r="L47" s="262" t="n">
        <v>216277.2</v>
      </c>
      <c r="M47" s="262" t="n">
        <v>257832.7</v>
      </c>
      <c r="N47" s="262" t="n">
        <v>274354.2</v>
      </c>
      <c r="O47" s="262" t="n">
        <v>330322.8</v>
      </c>
      <c r="P47" s="262" t="n">
        <v>374710.3</v>
      </c>
      <c r="Q47" s="262" t="n">
        <v>452882.2</v>
      </c>
      <c r="R47" s="262" t="n">
        <v>528131.3</v>
      </c>
      <c r="S47" s="263" t="n">
        <v>569297.3</v>
      </c>
    </row>
    <row r="48" ht="15" customHeight="1" s="226">
      <c r="A48" s="268" t="inlineStr">
        <is>
          <t>Республика Ингушетия</t>
        </is>
      </c>
      <c r="B48" s="262" t="n">
        <v>1025.2</v>
      </c>
      <c r="C48" s="262" t="n">
        <v>1635.9</v>
      </c>
      <c r="D48" s="262" t="n">
        <v>2618.5</v>
      </c>
      <c r="E48" s="262" t="n">
        <v>3604.3</v>
      </c>
      <c r="F48" s="262" t="n">
        <v>3582.1</v>
      </c>
      <c r="G48" s="262" t="n">
        <v>4756.6</v>
      </c>
      <c r="H48" s="262" t="n">
        <v>6210.4</v>
      </c>
      <c r="I48" s="262" t="n">
        <v>7419.3</v>
      </c>
      <c r="J48" s="262" t="n">
        <v>9033.5</v>
      </c>
      <c r="K48" s="262" t="n">
        <v>16812.4</v>
      </c>
      <c r="L48" s="262" t="n">
        <v>19172.9</v>
      </c>
      <c r="M48" s="262" t="n">
        <v>18953.3</v>
      </c>
      <c r="N48" s="262" t="n">
        <v>19929.1</v>
      </c>
      <c r="O48" s="262" t="n">
        <v>26858.9</v>
      </c>
      <c r="P48" s="262" t="n">
        <v>37413.9</v>
      </c>
      <c r="Q48" s="262" t="n">
        <v>45766.7</v>
      </c>
      <c r="R48" s="262" t="n">
        <v>51908.2</v>
      </c>
      <c r="S48" s="263" t="n">
        <v>50091</v>
      </c>
    </row>
    <row r="49" ht="15" customHeight="1" s="226">
      <c r="A49" s="268" t="inlineStr">
        <is>
          <t>Кабардино-Балкарская Республика</t>
        </is>
      </c>
      <c r="B49" s="262" t="n">
        <v>5723.1</v>
      </c>
      <c r="C49" s="262" t="n">
        <v>9674</v>
      </c>
      <c r="D49" s="262" t="n">
        <v>14081.3</v>
      </c>
      <c r="E49" s="262" t="n">
        <v>19443.3</v>
      </c>
      <c r="F49" s="262" t="n">
        <v>22774.5</v>
      </c>
      <c r="G49" s="262" t="n">
        <v>25997.4</v>
      </c>
      <c r="H49" s="262" t="n">
        <v>29052.9</v>
      </c>
      <c r="I49" s="262" t="n">
        <v>36833.4</v>
      </c>
      <c r="J49" s="262" t="n">
        <v>43309.7</v>
      </c>
      <c r="K49" s="262" t="n">
        <v>48908.7</v>
      </c>
      <c r="L49" s="262" t="n">
        <v>58093.4</v>
      </c>
      <c r="M49" s="262" t="n">
        <v>65660.10000000001</v>
      </c>
      <c r="N49" s="262" t="n">
        <v>77086.39999999999</v>
      </c>
      <c r="O49" s="262" t="n">
        <v>90594.5</v>
      </c>
      <c r="P49" s="262" t="n">
        <v>106711.2</v>
      </c>
      <c r="Q49" s="262" t="n">
        <v>110971.5</v>
      </c>
      <c r="R49" s="262" t="n">
        <v>116886</v>
      </c>
      <c r="S49" s="263" t="n">
        <v>120528.8</v>
      </c>
    </row>
    <row r="50" ht="15" customHeight="1" s="226">
      <c r="A50" s="268" t="inlineStr">
        <is>
          <t>Карачаево-Черкесская Республика</t>
        </is>
      </c>
      <c r="B50" s="262" t="n">
        <v>2817.3</v>
      </c>
      <c r="C50" s="262" t="n">
        <v>4207.9</v>
      </c>
      <c r="D50" s="262" t="n">
        <v>5461.5</v>
      </c>
      <c r="E50" s="262" t="n">
        <v>7324.8</v>
      </c>
      <c r="F50" s="262" t="n">
        <v>10234.5</v>
      </c>
      <c r="G50" s="262" t="n">
        <v>11481.1</v>
      </c>
      <c r="H50" s="262" t="n">
        <v>13127.2</v>
      </c>
      <c r="I50" s="262" t="n">
        <v>16724.3</v>
      </c>
      <c r="J50" s="262" t="n">
        <v>23260.1</v>
      </c>
      <c r="K50" s="262" t="n">
        <v>27469.7</v>
      </c>
      <c r="L50" s="262" t="n">
        <v>35714.2</v>
      </c>
      <c r="M50" s="262" t="n">
        <v>38584.1</v>
      </c>
      <c r="N50" s="262" t="n">
        <v>43651.5</v>
      </c>
      <c r="O50" s="262" t="n">
        <v>49252.1</v>
      </c>
      <c r="P50" s="262" t="n">
        <v>58712.1</v>
      </c>
      <c r="Q50" s="262" t="n">
        <v>66106.60000000001</v>
      </c>
      <c r="R50" s="262" t="n">
        <v>65326.6</v>
      </c>
      <c r="S50" s="263" t="n">
        <v>67482.7</v>
      </c>
    </row>
    <row r="51" ht="15" customHeight="1" s="226">
      <c r="A51" s="268" t="inlineStr">
        <is>
          <t>Республика Северная Осетия-Алания</t>
        </is>
      </c>
      <c r="B51" s="262" t="n">
        <v>3909.6</v>
      </c>
      <c r="C51" s="262" t="n">
        <v>6774.5</v>
      </c>
      <c r="D51" s="262" t="n">
        <v>8363.200000000001</v>
      </c>
      <c r="E51" s="262" t="n">
        <v>12665.3</v>
      </c>
      <c r="F51" s="262" t="n">
        <v>15997.5</v>
      </c>
      <c r="G51" s="262" t="n">
        <v>18925.2</v>
      </c>
      <c r="H51" s="262" t="n">
        <v>24268</v>
      </c>
      <c r="I51" s="262" t="n">
        <v>31182.2</v>
      </c>
      <c r="J51" s="262" t="n">
        <v>43341.2</v>
      </c>
      <c r="K51" s="262" t="n">
        <v>52804.8</v>
      </c>
      <c r="L51" s="262" t="n">
        <v>57707.4</v>
      </c>
      <c r="M51" s="262" t="n">
        <v>64081.4</v>
      </c>
      <c r="N51" s="262" t="n">
        <v>75327.39999999999</v>
      </c>
      <c r="O51" s="262" t="n">
        <v>85876.7</v>
      </c>
      <c r="P51" s="262" t="n">
        <v>97448.8</v>
      </c>
      <c r="Q51" s="262" t="n">
        <v>118637.5</v>
      </c>
      <c r="R51" s="262" t="n">
        <v>125960.5</v>
      </c>
      <c r="S51" s="263" t="n">
        <v>126051.2</v>
      </c>
    </row>
    <row r="52" ht="15" customHeight="1" s="226">
      <c r="A52" s="268" t="inlineStr">
        <is>
          <t>Чеченская Республика</t>
        </is>
      </c>
      <c r="B52" s="262" t="inlineStr">
        <is>
          <t>…</t>
        </is>
      </c>
      <c r="C52" s="262" t="inlineStr">
        <is>
          <t>…</t>
        </is>
      </c>
      <c r="D52" s="262" t="inlineStr">
        <is>
          <t>…</t>
        </is>
      </c>
      <c r="E52" s="262" t="inlineStr">
        <is>
          <t>…</t>
        </is>
      </c>
      <c r="F52" s="262" t="inlineStr">
        <is>
          <t>…</t>
        </is>
      </c>
      <c r="G52" s="262" t="inlineStr">
        <is>
          <t>…</t>
        </is>
      </c>
      <c r="H52" s="262" t="inlineStr">
        <is>
          <t>…</t>
        </is>
      </c>
      <c r="I52" s="262" t="n">
        <v>22898.9</v>
      </c>
      <c r="J52" s="262" t="n">
        <v>32344.4</v>
      </c>
      <c r="K52" s="262" t="n">
        <v>48056.1</v>
      </c>
      <c r="L52" s="262" t="n">
        <v>66273.8</v>
      </c>
      <c r="M52" s="262" t="n">
        <v>64308.3</v>
      </c>
      <c r="N52" s="262" t="n">
        <v>70694.89999999999</v>
      </c>
      <c r="O52" s="262" t="n">
        <v>86623</v>
      </c>
      <c r="P52" s="262" t="n">
        <v>102289.1</v>
      </c>
      <c r="Q52" s="262" t="n">
        <v>122402.8</v>
      </c>
      <c r="R52" s="262" t="n">
        <v>148942.1</v>
      </c>
      <c r="S52" s="263" t="n">
        <v>154401.4</v>
      </c>
    </row>
    <row r="53" ht="15" customHeight="1" s="226">
      <c r="A53" s="268" t="inlineStr">
        <is>
          <t>Ставропольский край</t>
        </is>
      </c>
      <c r="B53" s="262" t="n">
        <v>28279.8</v>
      </c>
      <c r="C53" s="262" t="n">
        <v>38385.6</v>
      </c>
      <c r="D53" s="262" t="n">
        <v>53732.4</v>
      </c>
      <c r="E53" s="262" t="n">
        <v>67860.39999999999</v>
      </c>
      <c r="F53" s="262" t="n">
        <v>80534.5</v>
      </c>
      <c r="G53" s="262" t="n">
        <v>101382.6</v>
      </c>
      <c r="H53" s="262" t="n">
        <v>122235.4</v>
      </c>
      <c r="I53" s="262" t="n">
        <v>146569.3</v>
      </c>
      <c r="J53" s="262" t="n">
        <v>181675.1</v>
      </c>
      <c r="K53" s="262" t="n">
        <v>222239.6</v>
      </c>
      <c r="L53" s="262" t="n">
        <v>274992</v>
      </c>
      <c r="M53" s="262" t="n">
        <v>277251</v>
      </c>
      <c r="N53" s="262" t="n">
        <v>330790.8</v>
      </c>
      <c r="O53" s="262" t="n">
        <v>396791.6</v>
      </c>
      <c r="P53" s="262" t="n">
        <v>431753.4</v>
      </c>
      <c r="Q53" s="262" t="n">
        <v>480905.3</v>
      </c>
      <c r="R53" s="262" t="n">
        <v>540796.8</v>
      </c>
      <c r="S53" s="263" t="n">
        <v>621198.3</v>
      </c>
    </row>
    <row r="54" ht="15" customHeight="1" s="226">
      <c r="A54" s="276" t="inlineStr">
        <is>
          <t>Приволжский федеральный округ</t>
        </is>
      </c>
      <c r="B54" s="254">
        <f>SUM(B55:B68)</f>
        <v/>
      </c>
      <c r="C54" s="254">
        <f>SUM(C55:C68)</f>
        <v/>
      </c>
      <c r="D54" s="254">
        <f>SUM(D55:D68)</f>
        <v/>
      </c>
      <c r="E54" s="254">
        <f>SUM(E55:E68)</f>
        <v/>
      </c>
      <c r="F54" s="254">
        <f>SUM(F55:F68)</f>
        <v/>
      </c>
      <c r="G54" s="275">
        <f>SUM(G55:G68)</f>
        <v/>
      </c>
      <c r="H54" s="275">
        <f>SUM(H55:H68)</f>
        <v/>
      </c>
      <c r="I54" s="275">
        <f>SUM(I55:I68)</f>
        <v/>
      </c>
      <c r="J54" s="275">
        <f>SUM(J55:J68)</f>
        <v/>
      </c>
      <c r="K54" s="275">
        <f>SUM(K55:K68)</f>
        <v/>
      </c>
      <c r="L54" s="275">
        <f>SUM(L55:L68)</f>
        <v/>
      </c>
      <c r="M54" s="275">
        <f>SUM(M55:M68)</f>
        <v/>
      </c>
      <c r="N54" s="275">
        <f>SUM(N55:N68)</f>
        <v/>
      </c>
      <c r="O54" s="275">
        <f>SUM(O55:O68)</f>
        <v/>
      </c>
      <c r="P54" s="275">
        <f>SUM(P55:P68)</f>
        <v/>
      </c>
      <c r="Q54" s="275">
        <f>SUM(Q55:Q68)</f>
        <v/>
      </c>
      <c r="R54" s="275">
        <f>SUM(R55:R68)</f>
        <v/>
      </c>
      <c r="S54" s="254">
        <f>SUM(S55:S68)</f>
        <v/>
      </c>
    </row>
    <row r="55" ht="15" customHeight="1" s="226">
      <c r="A55" s="277" t="inlineStr">
        <is>
          <t>Республика Башкортостан</t>
        </is>
      </c>
      <c r="B55" s="262" t="n">
        <v>56529</v>
      </c>
      <c r="C55" s="262" t="n">
        <v>97653.60000000001</v>
      </c>
      <c r="D55" s="262" t="n">
        <v>145125</v>
      </c>
      <c r="E55" s="262" t="n">
        <v>166974.8</v>
      </c>
      <c r="F55" s="262" t="n">
        <v>187842.2</v>
      </c>
      <c r="G55" s="262" t="n">
        <v>242920.5</v>
      </c>
      <c r="H55" s="262" t="n">
        <v>310845.1</v>
      </c>
      <c r="I55" s="262" t="n">
        <v>381646.5</v>
      </c>
      <c r="J55" s="262" t="n">
        <v>505205.8</v>
      </c>
      <c r="K55" s="262" t="n">
        <v>590054.1</v>
      </c>
      <c r="L55" s="262" t="n">
        <v>743133.4</v>
      </c>
      <c r="M55" s="262" t="n">
        <v>647911.7</v>
      </c>
      <c r="N55" s="262" t="n">
        <v>759203.3</v>
      </c>
      <c r="O55" s="262" t="n">
        <v>941023.6</v>
      </c>
      <c r="P55" s="262" t="n">
        <v>1149384.6</v>
      </c>
      <c r="Q55" s="262" t="n">
        <v>1163219</v>
      </c>
      <c r="R55" s="262" t="n">
        <v>1260010.4</v>
      </c>
      <c r="S55" s="263" t="n">
        <v>1316598.3</v>
      </c>
    </row>
    <row r="56" ht="15" customHeight="1" s="226">
      <c r="A56" s="277" t="inlineStr">
        <is>
          <t>Республика Марий Эл</t>
        </is>
      </c>
      <c r="B56" s="262" t="n">
        <v>6108.1</v>
      </c>
      <c r="C56" s="262" t="n">
        <v>9222.6</v>
      </c>
      <c r="D56" s="262" t="n">
        <v>11207.6</v>
      </c>
      <c r="E56" s="262" t="n">
        <v>15087.8</v>
      </c>
      <c r="F56" s="262" t="n">
        <v>17815.3</v>
      </c>
      <c r="G56" s="262" t="n">
        <v>22987.3</v>
      </c>
      <c r="H56" s="262" t="n">
        <v>30085.6</v>
      </c>
      <c r="I56" s="262" t="n">
        <v>33350.7</v>
      </c>
      <c r="J56" s="262" t="n">
        <v>43663.7</v>
      </c>
      <c r="K56" s="262" t="n">
        <v>55069.2</v>
      </c>
      <c r="L56" s="262" t="n">
        <v>65765.3</v>
      </c>
      <c r="M56" s="262" t="n">
        <v>69271.5</v>
      </c>
      <c r="N56" s="262" t="n">
        <v>82374.39999999999</v>
      </c>
      <c r="O56" s="262" t="n">
        <v>97323.3</v>
      </c>
      <c r="P56" s="262" t="n">
        <v>117201.1</v>
      </c>
      <c r="Q56" s="262" t="n">
        <v>125950.2</v>
      </c>
      <c r="R56" s="262" t="n">
        <v>143396.1</v>
      </c>
      <c r="S56" s="263" t="n">
        <v>171689.5</v>
      </c>
    </row>
    <row r="57" ht="15" customHeight="1" s="226">
      <c r="A57" s="277" t="inlineStr">
        <is>
          <t>Республика Мордовия</t>
        </is>
      </c>
      <c r="B57" s="262" t="n">
        <v>8347.200000000001</v>
      </c>
      <c r="C57" s="262" t="n">
        <v>12160.6</v>
      </c>
      <c r="D57" s="262" t="n">
        <v>17553.4</v>
      </c>
      <c r="E57" s="262" t="n">
        <v>22089.5</v>
      </c>
      <c r="F57" s="262" t="n">
        <v>27508</v>
      </c>
      <c r="G57" s="262" t="n">
        <v>33244</v>
      </c>
      <c r="H57" s="262" t="n">
        <v>38334.9</v>
      </c>
      <c r="I57" s="262" t="n">
        <v>44267</v>
      </c>
      <c r="J57" s="262" t="n">
        <v>57974.2</v>
      </c>
      <c r="K57" s="262" t="n">
        <v>77048.8</v>
      </c>
      <c r="L57" s="262" t="n">
        <v>94058.3</v>
      </c>
      <c r="M57" s="262" t="n">
        <v>90862.39999999999</v>
      </c>
      <c r="N57" s="262" t="n">
        <v>105343.8</v>
      </c>
      <c r="O57" s="262" t="n">
        <v>119955.2</v>
      </c>
      <c r="P57" s="262" t="n">
        <v>134315.6</v>
      </c>
      <c r="Q57" s="262" t="n">
        <v>148705.7</v>
      </c>
      <c r="R57" s="262" t="n">
        <v>173872.7</v>
      </c>
      <c r="S57" s="263" t="n">
        <v>180352.3</v>
      </c>
    </row>
    <row r="58" ht="15" customHeight="1" s="226">
      <c r="A58" s="277" t="inlineStr">
        <is>
          <t>Республика Татарстан</t>
        </is>
      </c>
      <c r="B58" s="262" t="n">
        <v>65727.8</v>
      </c>
      <c r="C58" s="262" t="n">
        <v>108354.9</v>
      </c>
      <c r="D58" s="262" t="n">
        <v>186154.4</v>
      </c>
      <c r="E58" s="262" t="n">
        <v>213740</v>
      </c>
      <c r="F58" s="262" t="n">
        <v>250596</v>
      </c>
      <c r="G58" s="262" t="n">
        <v>305086.1</v>
      </c>
      <c r="H58" s="262" t="n">
        <v>391116</v>
      </c>
      <c r="I58" s="262" t="n">
        <v>482759.2</v>
      </c>
      <c r="J58" s="262" t="n">
        <v>605911.5</v>
      </c>
      <c r="K58" s="262" t="n">
        <v>757401.4</v>
      </c>
      <c r="L58" s="262" t="n">
        <v>926056.7</v>
      </c>
      <c r="M58" s="262" t="n">
        <v>885064</v>
      </c>
      <c r="N58" s="262" t="n">
        <v>1001622.8</v>
      </c>
      <c r="O58" s="262" t="n">
        <v>1305947</v>
      </c>
      <c r="P58" s="262" t="n">
        <v>1437001</v>
      </c>
      <c r="Q58" s="262" t="n">
        <v>1551472.1</v>
      </c>
      <c r="R58" s="262" t="n">
        <v>1661413.8</v>
      </c>
      <c r="S58" s="263" t="n">
        <v>1867258.7</v>
      </c>
    </row>
    <row r="59" ht="15" customHeight="1" s="226">
      <c r="A59" s="277" t="inlineStr">
        <is>
          <t>Удмуртская Республика</t>
        </is>
      </c>
      <c r="B59" s="262" t="n">
        <v>18923.4</v>
      </c>
      <c r="C59" s="262" t="n">
        <v>34596</v>
      </c>
      <c r="D59" s="262" t="n">
        <v>53307.4</v>
      </c>
      <c r="E59" s="262" t="n">
        <v>65551.39999999999</v>
      </c>
      <c r="F59" s="262" t="n">
        <v>78346.3</v>
      </c>
      <c r="G59" s="262" t="n">
        <v>89034.5</v>
      </c>
      <c r="H59" s="262" t="n">
        <v>100833.1</v>
      </c>
      <c r="I59" s="262" t="n">
        <v>139995.3</v>
      </c>
      <c r="J59" s="262" t="n">
        <v>164848.5</v>
      </c>
      <c r="K59" s="262" t="n">
        <v>205647.4</v>
      </c>
      <c r="L59" s="262" t="n">
        <v>243135.5</v>
      </c>
      <c r="M59" s="262" t="n">
        <v>230938.3</v>
      </c>
      <c r="N59" s="262" t="n">
        <v>274578.1</v>
      </c>
      <c r="O59" s="262" t="n">
        <v>335984</v>
      </c>
      <c r="P59" s="262" t="n">
        <v>372782.7</v>
      </c>
      <c r="Q59" s="262" t="n">
        <v>405126.4</v>
      </c>
      <c r="R59" s="262" t="n">
        <v>450548.9</v>
      </c>
      <c r="S59" s="263" t="n">
        <v>517999.8</v>
      </c>
    </row>
    <row r="60" ht="15" customHeight="1" s="226">
      <c r="A60" s="277" t="inlineStr">
        <is>
          <t>Чувашская Республика</t>
        </is>
      </c>
      <c r="B60" s="262" t="n">
        <v>11152.5</v>
      </c>
      <c r="C60" s="262" t="n">
        <v>16582.3</v>
      </c>
      <c r="D60" s="262" t="n">
        <v>22995.1</v>
      </c>
      <c r="E60" s="262" t="n">
        <v>30778.5</v>
      </c>
      <c r="F60" s="262" t="n">
        <v>37180.6</v>
      </c>
      <c r="G60" s="262" t="n">
        <v>45133.1</v>
      </c>
      <c r="H60" s="262" t="n">
        <v>59573.8</v>
      </c>
      <c r="I60" s="262" t="n">
        <v>69391.60000000001</v>
      </c>
      <c r="J60" s="262" t="n">
        <v>93172</v>
      </c>
      <c r="K60" s="262" t="n">
        <v>123453.3</v>
      </c>
      <c r="L60" s="262" t="n">
        <v>155032.3</v>
      </c>
      <c r="M60" s="262" t="n">
        <v>139909.5</v>
      </c>
      <c r="N60" s="262" t="n">
        <v>157704.6</v>
      </c>
      <c r="O60" s="262" t="n">
        <v>188785.7</v>
      </c>
      <c r="P60" s="262" t="n">
        <v>217821.1</v>
      </c>
      <c r="Q60" s="262" t="n">
        <v>223147.9</v>
      </c>
      <c r="R60" s="262" t="n">
        <v>237447.2</v>
      </c>
      <c r="S60" s="263" t="n">
        <v>251307</v>
      </c>
    </row>
    <row r="61" ht="15" customHeight="1" s="226">
      <c r="A61" s="268" t="inlineStr">
        <is>
          <t>Пермский край</t>
        </is>
      </c>
      <c r="B61" s="262" t="n">
        <v>52127.6</v>
      </c>
      <c r="C61" s="262" t="n">
        <v>87331.7</v>
      </c>
      <c r="D61" s="262" t="n">
        <v>124142.2</v>
      </c>
      <c r="E61" s="262" t="n">
        <v>166803.4</v>
      </c>
      <c r="F61" s="262" t="n">
        <v>178091</v>
      </c>
      <c r="G61" s="262" t="n">
        <v>209275.7</v>
      </c>
      <c r="H61" s="262" t="n">
        <v>266325.9</v>
      </c>
      <c r="I61" s="262" t="n">
        <v>327273.3</v>
      </c>
      <c r="J61" s="262" t="n">
        <v>383770.1</v>
      </c>
      <c r="K61" s="262" t="n">
        <v>477794.2</v>
      </c>
      <c r="L61" s="262" t="n">
        <v>607362.7</v>
      </c>
      <c r="M61" s="262" t="n">
        <v>539831.5</v>
      </c>
      <c r="N61" s="262" t="n">
        <v>623116.8</v>
      </c>
      <c r="O61" s="262" t="n">
        <v>840101.1</v>
      </c>
      <c r="P61" s="262" t="n">
        <v>860342.7</v>
      </c>
      <c r="Q61" s="262" t="n">
        <v>880264.4</v>
      </c>
      <c r="R61" s="262" t="n">
        <v>974192.9</v>
      </c>
      <c r="S61" s="263" t="n">
        <v>1063780.3</v>
      </c>
    </row>
    <row r="62" ht="15" customHeight="1" s="226">
      <c r="A62" s="268" t="inlineStr">
        <is>
          <t>Кировская область</t>
        </is>
      </c>
      <c r="B62" s="262" t="n">
        <v>15717.5</v>
      </c>
      <c r="C62" s="262" t="n">
        <v>25236.7</v>
      </c>
      <c r="D62" s="262" t="n">
        <v>35795.4</v>
      </c>
      <c r="E62" s="262" t="n">
        <v>41699</v>
      </c>
      <c r="F62" s="262" t="n">
        <v>49974.2</v>
      </c>
      <c r="G62" s="262" t="n">
        <v>57795.8</v>
      </c>
      <c r="H62" s="262" t="n">
        <v>70706.2</v>
      </c>
      <c r="I62" s="262" t="n">
        <v>79800.60000000001</v>
      </c>
      <c r="J62" s="262" t="n">
        <v>97047.10000000001</v>
      </c>
      <c r="K62" s="262" t="n">
        <v>118154.9</v>
      </c>
      <c r="L62" s="262" t="n">
        <v>151116.7</v>
      </c>
      <c r="M62" s="262" t="n">
        <v>146321.3</v>
      </c>
      <c r="N62" s="262" t="n">
        <v>172352</v>
      </c>
      <c r="O62" s="262" t="n">
        <v>195269.5</v>
      </c>
      <c r="P62" s="262" t="n">
        <v>208505.4</v>
      </c>
      <c r="Q62" s="262" t="n">
        <v>224152.3</v>
      </c>
      <c r="R62" s="262" t="n">
        <v>254089.4</v>
      </c>
      <c r="S62" s="263" t="n">
        <v>282191</v>
      </c>
    </row>
    <row r="63" ht="15" customHeight="1" s="226">
      <c r="A63" s="268" t="inlineStr">
        <is>
          <t>Нижегородская область</t>
        </is>
      </c>
      <c r="B63" s="262" t="n">
        <v>47409.5</v>
      </c>
      <c r="C63" s="262" t="n">
        <v>72132</v>
      </c>
      <c r="D63" s="262" t="n">
        <v>105055.9</v>
      </c>
      <c r="E63" s="262" t="n">
        <v>149322.6</v>
      </c>
      <c r="F63" s="262" t="n">
        <v>170826.5</v>
      </c>
      <c r="G63" s="262" t="n">
        <v>206926</v>
      </c>
      <c r="H63" s="262" t="n">
        <v>241230.4</v>
      </c>
      <c r="I63" s="262" t="n">
        <v>299723.7</v>
      </c>
      <c r="J63" s="262" t="n">
        <v>376180.3</v>
      </c>
      <c r="K63" s="262" t="n">
        <v>473307.4</v>
      </c>
      <c r="L63" s="262" t="n">
        <v>588790.8</v>
      </c>
      <c r="M63" s="262" t="n">
        <v>547223</v>
      </c>
      <c r="N63" s="262" t="n">
        <v>652805.9</v>
      </c>
      <c r="O63" s="262" t="n">
        <v>770774</v>
      </c>
      <c r="P63" s="262" t="n">
        <v>842195.5</v>
      </c>
      <c r="Q63" s="262" t="n">
        <v>925182</v>
      </c>
      <c r="R63" s="262" t="n">
        <v>1009460.1</v>
      </c>
      <c r="S63" s="263" t="n">
        <v>1104643.2</v>
      </c>
    </row>
    <row r="64" ht="15" customHeight="1" s="226">
      <c r="A64" s="268" t="inlineStr">
        <is>
          <t>Оренбургская область</t>
        </is>
      </c>
      <c r="B64" s="262" t="n">
        <v>27271.2</v>
      </c>
      <c r="C64" s="262" t="n">
        <v>51582.1</v>
      </c>
      <c r="D64" s="262" t="n">
        <v>76343.3</v>
      </c>
      <c r="E64" s="262" t="n">
        <v>85168.3</v>
      </c>
      <c r="F64" s="262" t="n">
        <v>94182.5</v>
      </c>
      <c r="G64" s="262" t="n">
        <v>115824.6</v>
      </c>
      <c r="H64" s="262" t="n">
        <v>169876.7</v>
      </c>
      <c r="I64" s="262" t="n">
        <v>213138.2</v>
      </c>
      <c r="J64" s="262" t="n">
        <v>302808.4</v>
      </c>
      <c r="K64" s="262" t="n">
        <v>370880.9</v>
      </c>
      <c r="L64" s="262" t="n">
        <v>430023.1</v>
      </c>
      <c r="M64" s="262" t="n">
        <v>413395.5</v>
      </c>
      <c r="N64" s="262" t="n">
        <v>458145.4</v>
      </c>
      <c r="O64" s="262" t="n">
        <v>553320.9</v>
      </c>
      <c r="P64" s="262" t="n">
        <v>628563.6</v>
      </c>
      <c r="Q64" s="262" t="n">
        <v>717014.8</v>
      </c>
      <c r="R64" s="262" t="n">
        <v>731277.7</v>
      </c>
      <c r="S64" s="263" t="n">
        <v>774962.1</v>
      </c>
    </row>
    <row r="65" ht="15" customHeight="1" s="226">
      <c r="A65" s="268" t="inlineStr">
        <is>
          <t>Пензенская область</t>
        </is>
      </c>
      <c r="B65" s="262" t="n">
        <v>10545.5</v>
      </c>
      <c r="C65" s="262" t="n">
        <v>17825.2</v>
      </c>
      <c r="D65" s="262" t="n">
        <v>25218.7</v>
      </c>
      <c r="E65" s="262" t="n">
        <v>33262.6</v>
      </c>
      <c r="F65" s="262" t="n">
        <v>41623.4</v>
      </c>
      <c r="G65" s="262" t="n">
        <v>48111.5</v>
      </c>
      <c r="H65" s="262" t="n">
        <v>59711.7</v>
      </c>
      <c r="I65" s="262" t="n">
        <v>74362.7</v>
      </c>
      <c r="J65" s="262" t="n">
        <v>88805</v>
      </c>
      <c r="K65" s="262" t="n">
        <v>119104</v>
      </c>
      <c r="L65" s="262" t="n">
        <v>147853.2</v>
      </c>
      <c r="M65" s="262" t="n">
        <v>147185.1</v>
      </c>
      <c r="N65" s="262" t="n">
        <v>172166.7</v>
      </c>
      <c r="O65" s="262" t="n">
        <v>213401.2</v>
      </c>
      <c r="P65" s="262" t="n">
        <v>239962.5</v>
      </c>
      <c r="Q65" s="262" t="n">
        <v>270436.8</v>
      </c>
      <c r="R65" s="262" t="n">
        <v>295238.7</v>
      </c>
      <c r="S65" s="263" t="n">
        <v>343328.6</v>
      </c>
    </row>
    <row r="66" ht="15" customHeight="1" s="226">
      <c r="A66" s="268" t="inlineStr">
        <is>
          <t>Самарская область</t>
        </is>
      </c>
      <c r="B66" s="262" t="n">
        <v>67519.89999999999</v>
      </c>
      <c r="C66" s="262" t="n">
        <v>105581.3</v>
      </c>
      <c r="D66" s="262" t="n">
        <v>140407.4</v>
      </c>
      <c r="E66" s="262" t="n">
        <v>180049.3</v>
      </c>
      <c r="F66" s="262" t="n">
        <v>206320.2</v>
      </c>
      <c r="G66" s="262" t="n">
        <v>256554.6</v>
      </c>
      <c r="H66" s="262" t="n">
        <v>327118.5</v>
      </c>
      <c r="I66" s="262" t="n">
        <v>401812.2</v>
      </c>
      <c r="J66" s="262" t="n">
        <v>487713.5</v>
      </c>
      <c r="K66" s="262" t="n">
        <v>584968.6</v>
      </c>
      <c r="L66" s="262" t="n">
        <v>699295.6</v>
      </c>
      <c r="M66" s="262" t="n">
        <v>583999.9</v>
      </c>
      <c r="N66" s="262" t="n">
        <v>695651.2</v>
      </c>
      <c r="O66" s="262" t="n">
        <v>834149.3</v>
      </c>
      <c r="P66" s="262" t="n">
        <v>937434.5</v>
      </c>
      <c r="Q66" s="262" t="n">
        <v>1048545.8</v>
      </c>
      <c r="R66" s="262" t="n">
        <v>1149147.8</v>
      </c>
      <c r="S66" s="263" t="n">
        <v>1264910.3</v>
      </c>
    </row>
    <row r="67" ht="15" customHeight="1" s="226">
      <c r="A67" s="277" t="inlineStr">
        <is>
          <t>Саратовская область</t>
        </is>
      </c>
      <c r="B67" s="262" t="n">
        <v>27716.1</v>
      </c>
      <c r="C67" s="262" t="n">
        <v>43799.6</v>
      </c>
      <c r="D67" s="262" t="n">
        <v>63068.2</v>
      </c>
      <c r="E67" s="262" t="n">
        <v>83665.7</v>
      </c>
      <c r="F67" s="262" t="n">
        <v>97326.39999999999</v>
      </c>
      <c r="G67" s="262" t="n">
        <v>119909</v>
      </c>
      <c r="H67" s="262" t="n">
        <v>151636.9</v>
      </c>
      <c r="I67" s="262" t="n">
        <v>170930.5</v>
      </c>
      <c r="J67" s="262" t="n">
        <v>204291.2</v>
      </c>
      <c r="K67" s="262" t="n">
        <v>252867.2</v>
      </c>
      <c r="L67" s="262" t="n">
        <v>321747.2</v>
      </c>
      <c r="M67" s="262" t="n">
        <v>326370.4</v>
      </c>
      <c r="N67" s="262" t="n">
        <v>376169.4</v>
      </c>
      <c r="O67" s="262" t="n">
        <v>431028</v>
      </c>
      <c r="P67" s="262" t="n">
        <v>478275.8</v>
      </c>
      <c r="Q67" s="262" t="n">
        <v>526178.9</v>
      </c>
      <c r="R67" s="262" t="n">
        <v>566646.1</v>
      </c>
      <c r="S67" s="263" t="n">
        <v>625176.9</v>
      </c>
    </row>
    <row r="68" ht="15" customHeight="1" s="226">
      <c r="A68" s="277" t="inlineStr">
        <is>
          <t>Ульяновская область</t>
        </is>
      </c>
      <c r="B68" s="262" t="n">
        <v>14786.5</v>
      </c>
      <c r="C68" s="262" t="n">
        <v>23382.9</v>
      </c>
      <c r="D68" s="262" t="n">
        <v>30415</v>
      </c>
      <c r="E68" s="262" t="n">
        <v>38563.6</v>
      </c>
      <c r="F68" s="262" t="n">
        <v>45677</v>
      </c>
      <c r="G68" s="262" t="n">
        <v>55184.3</v>
      </c>
      <c r="H68" s="262" t="n">
        <v>67501</v>
      </c>
      <c r="I68" s="262" t="n">
        <v>80584.39999999999</v>
      </c>
      <c r="J68" s="262" t="n">
        <v>101950.3</v>
      </c>
      <c r="K68" s="262" t="n">
        <v>124676.2</v>
      </c>
      <c r="L68" s="262" t="n">
        <v>150680.3</v>
      </c>
      <c r="M68" s="262" t="n">
        <v>154247.4</v>
      </c>
      <c r="N68" s="262" t="n">
        <v>178235.4</v>
      </c>
      <c r="O68" s="262" t="n">
        <v>223672.7</v>
      </c>
      <c r="P68" s="262" t="n">
        <v>240556.1</v>
      </c>
      <c r="Q68" s="262" t="n">
        <v>265288.7</v>
      </c>
      <c r="R68" s="262" t="n">
        <v>278808.2</v>
      </c>
      <c r="S68" s="263" t="n">
        <v>304479.1</v>
      </c>
    </row>
    <row r="69" ht="15" customHeight="1" s="226">
      <c r="A69" s="267" t="inlineStr">
        <is>
          <t>Уральский федеральный округ</t>
        </is>
      </c>
      <c r="B69" s="254">
        <f>SUM(B70:B76)</f>
        <v/>
      </c>
      <c r="C69" s="254">
        <f>SUM(C70:C76)</f>
        <v/>
      </c>
      <c r="D69" s="254">
        <f>SUM(D70:D76)-D73-D74</f>
        <v/>
      </c>
      <c r="E69" s="254">
        <f>SUM(E70:E76)-E73-E74</f>
        <v/>
      </c>
      <c r="F69" s="254">
        <f>SUM(F70:F76)-F73-F74</f>
        <v/>
      </c>
      <c r="G69" s="275">
        <f>SUM(G70:G76)-G73-G74</f>
        <v/>
      </c>
      <c r="H69" s="275">
        <f>SUM(H70:H76)-H73-H74</f>
        <v/>
      </c>
      <c r="I69" s="275">
        <f>SUM(I70:I76)-I73-I74</f>
        <v/>
      </c>
      <c r="J69" s="275">
        <f>SUM(J70:J76)-J73-J74</f>
        <v/>
      </c>
      <c r="K69" s="275">
        <f>SUM(K70:K76)-K73-K74</f>
        <v/>
      </c>
      <c r="L69" s="275">
        <f>SUM(L70:L76)-L73-L74</f>
        <v/>
      </c>
      <c r="M69" s="275">
        <f>SUM(M70:M76)-M73-M74</f>
        <v/>
      </c>
      <c r="N69" s="275">
        <f>SUM(N70:N76)-N73-N74</f>
        <v/>
      </c>
      <c r="O69" s="275">
        <f>SUM(O70:O76)-O73-O74-O75</f>
        <v/>
      </c>
      <c r="P69" s="275">
        <f>SUM(P70:P76)-P73-P74-P75</f>
        <v/>
      </c>
      <c r="Q69" s="275">
        <f>SUM(Q70:Q76)-Q73-Q74-Q75</f>
        <v/>
      </c>
      <c r="R69" s="275">
        <f>SUM(R70:R76)-R73-R74-R75</f>
        <v/>
      </c>
      <c r="S69" s="254">
        <f>SUM(S70:S76)-S73-S74-S75</f>
        <v/>
      </c>
    </row>
    <row r="70" ht="15" customHeight="1" s="226">
      <c r="A70" s="278" t="inlineStr">
        <is>
          <t>Курганская область</t>
        </is>
      </c>
      <c r="B70" s="262" t="n">
        <v>9466.4</v>
      </c>
      <c r="C70" s="262" t="n">
        <v>14770.6</v>
      </c>
      <c r="D70" s="262" t="n">
        <v>18705.2</v>
      </c>
      <c r="E70" s="262" t="n">
        <v>25379.6</v>
      </c>
      <c r="F70" s="262" t="n">
        <v>29940.8</v>
      </c>
      <c r="G70" s="262" t="n">
        <v>37046.2</v>
      </c>
      <c r="H70" s="262" t="n">
        <v>42470.6</v>
      </c>
      <c r="I70" s="262" t="n">
        <v>50245.8</v>
      </c>
      <c r="J70" s="262" t="n">
        <v>68434.5</v>
      </c>
      <c r="K70" s="262" t="n">
        <v>81076</v>
      </c>
      <c r="L70" s="262" t="n">
        <v>106223.2</v>
      </c>
      <c r="M70" s="262" t="n">
        <v>107914.5</v>
      </c>
      <c r="N70" s="262" t="n">
        <v>117879.5</v>
      </c>
      <c r="O70" s="262" t="n">
        <v>136325.1</v>
      </c>
      <c r="P70" s="262" t="n">
        <v>146045.5</v>
      </c>
      <c r="Q70" s="262" t="n">
        <v>167037.9</v>
      </c>
      <c r="R70" s="262" t="n">
        <v>170310.3</v>
      </c>
      <c r="S70" s="263" t="n">
        <v>179436.3</v>
      </c>
    </row>
    <row r="71" ht="15" customHeight="1" s="226">
      <c r="A71" s="278" t="inlineStr">
        <is>
          <t>Свердловская область</t>
        </is>
      </c>
      <c r="B71" s="262" t="n">
        <v>73056</v>
      </c>
      <c r="C71" s="262" t="n">
        <v>112407</v>
      </c>
      <c r="D71" s="262" t="n">
        <v>156077</v>
      </c>
      <c r="E71" s="262" t="n">
        <v>199859.1</v>
      </c>
      <c r="F71" s="262" t="n">
        <v>234866.4</v>
      </c>
      <c r="G71" s="262" t="n">
        <v>284576.3</v>
      </c>
      <c r="H71" s="262" t="n">
        <v>364368.8</v>
      </c>
      <c r="I71" s="262" t="n">
        <v>475575.5</v>
      </c>
      <c r="J71" s="262" t="n">
        <v>653908.3</v>
      </c>
      <c r="K71" s="262" t="n">
        <v>820792.5</v>
      </c>
      <c r="L71" s="262" t="n">
        <v>923550.8</v>
      </c>
      <c r="M71" s="262" t="n">
        <v>825267.4</v>
      </c>
      <c r="N71" s="262" t="n">
        <v>1046600.1</v>
      </c>
      <c r="O71" s="262" t="n">
        <v>1291019.1</v>
      </c>
      <c r="P71" s="262" t="n">
        <v>1484879</v>
      </c>
      <c r="Q71" s="262" t="n">
        <v>1568655.2</v>
      </c>
      <c r="R71" s="262" t="n">
        <v>1659783.9</v>
      </c>
      <c r="S71" s="263" t="n">
        <v>1822835</v>
      </c>
    </row>
    <row r="72" ht="15" customHeight="1" s="226">
      <c r="A72" s="278" t="inlineStr">
        <is>
          <t>Тюменская область</t>
        </is>
      </c>
      <c r="B72" s="262" t="n">
        <v>188611.3</v>
      </c>
      <c r="C72" s="262" t="n">
        <v>316194.7</v>
      </c>
      <c r="D72" s="262" t="n">
        <v>570790.2</v>
      </c>
      <c r="E72" s="262" t="n">
        <v>753119.2</v>
      </c>
      <c r="F72" s="262" t="n">
        <v>898722.4</v>
      </c>
      <c r="G72" s="262" t="n">
        <v>1117514.4</v>
      </c>
      <c r="H72" s="262" t="n">
        <v>1536733.7</v>
      </c>
      <c r="I72" s="262" t="n">
        <v>2215584.4</v>
      </c>
      <c r="J72" s="262" t="n">
        <v>2551355.4</v>
      </c>
      <c r="K72" s="262" t="n">
        <v>2758813.1</v>
      </c>
      <c r="L72" s="262" t="n">
        <v>3121401.3</v>
      </c>
      <c r="M72" s="262" t="n">
        <v>2870284</v>
      </c>
      <c r="N72" s="262" t="n">
        <v>3301573.3</v>
      </c>
      <c r="O72" s="262" t="n">
        <v>4112596</v>
      </c>
      <c r="P72" s="262" t="n">
        <v>4625467.5</v>
      </c>
      <c r="Q72" s="262" t="n">
        <v>4950207.4</v>
      </c>
      <c r="R72" s="262" t="n">
        <v>5295348.5</v>
      </c>
      <c r="S72" s="263" t="n">
        <v>5851557.8</v>
      </c>
    </row>
    <row r="73" ht="15" customHeight="1" s="226">
      <c r="A73" s="268" t="inlineStr">
        <is>
          <t xml:space="preserve">   в т.ч. Ханты-Мансийский автономный округ-Югра</t>
        </is>
      </c>
      <c r="B73" s="262" t="inlineStr">
        <is>
          <t>…</t>
        </is>
      </c>
      <c r="C73" s="262" t="inlineStr">
        <is>
          <t>…</t>
        </is>
      </c>
      <c r="D73" s="262" t="n">
        <v>403822.2</v>
      </c>
      <c r="E73" s="262" t="n">
        <v>497981.4</v>
      </c>
      <c r="F73" s="262" t="n">
        <v>552483.5</v>
      </c>
      <c r="G73" s="262" t="n">
        <v>717219.7</v>
      </c>
      <c r="H73" s="262" t="n">
        <v>956196.5</v>
      </c>
      <c r="I73" s="262" t="n">
        <v>1399335.9</v>
      </c>
      <c r="J73" s="262" t="n">
        <v>1594097.1</v>
      </c>
      <c r="K73" s="262" t="n">
        <v>1728340.2</v>
      </c>
      <c r="L73" s="262" t="n">
        <v>1937159.1</v>
      </c>
      <c r="M73" s="262" t="n">
        <v>1778637.1</v>
      </c>
      <c r="N73" s="262" t="n">
        <v>1971870.5</v>
      </c>
      <c r="O73" s="262" t="n">
        <v>2440432.6</v>
      </c>
      <c r="P73" s="262" t="n">
        <v>2703558.8</v>
      </c>
      <c r="Q73" s="262" t="n">
        <v>2729122.4</v>
      </c>
      <c r="R73" s="262" t="n">
        <v>2860498.9</v>
      </c>
      <c r="S73" s="263" t="n">
        <v>3154058.7</v>
      </c>
    </row>
    <row r="74" ht="15" customHeight="1" s="226">
      <c r="A74" s="268" t="inlineStr">
        <is>
          <t xml:space="preserve">           Ямало-Ненецкий автономный округ</t>
        </is>
      </c>
      <c r="B74" s="262" t="inlineStr">
        <is>
          <t>…</t>
        </is>
      </c>
      <c r="C74" s="262" t="inlineStr">
        <is>
          <t>…</t>
        </is>
      </c>
      <c r="D74" s="262" t="n">
        <v>117100.8</v>
      </c>
      <c r="E74" s="262" t="n">
        <v>184315.9</v>
      </c>
      <c r="F74" s="262" t="n">
        <v>262447.4</v>
      </c>
      <c r="G74" s="262" t="n">
        <v>283181.2</v>
      </c>
      <c r="H74" s="262" t="n">
        <v>355718.4</v>
      </c>
      <c r="I74" s="262" t="n">
        <v>441721.8</v>
      </c>
      <c r="J74" s="262" t="n">
        <v>546365.8</v>
      </c>
      <c r="K74" s="262" t="n">
        <v>594678.6</v>
      </c>
      <c r="L74" s="262" t="n">
        <v>719397</v>
      </c>
      <c r="M74" s="262" t="n">
        <v>649640</v>
      </c>
      <c r="N74" s="262" t="n">
        <v>782214.9</v>
      </c>
      <c r="O74" s="262" t="n">
        <v>966110.4</v>
      </c>
      <c r="P74" s="262" t="n">
        <v>1191271.9</v>
      </c>
      <c r="Q74" s="262" t="n">
        <v>1375878.8</v>
      </c>
      <c r="R74" s="262" t="n">
        <v>1633382.2</v>
      </c>
      <c r="S74" s="263" t="n">
        <v>1791825.6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inlineStr">
        <is>
          <t>…</t>
        </is>
      </c>
      <c r="C75" s="262" t="inlineStr">
        <is>
          <t>…</t>
        </is>
      </c>
      <c r="D75" s="262" t="inlineStr">
        <is>
          <t>…</t>
        </is>
      </c>
      <c r="E75" s="262" t="inlineStr">
        <is>
          <t>…</t>
        </is>
      </c>
      <c r="F75" s="262" t="inlineStr">
        <is>
          <t>…</t>
        </is>
      </c>
      <c r="G75" s="262" t="inlineStr">
        <is>
          <t>…</t>
        </is>
      </c>
      <c r="H75" s="262" t="inlineStr">
        <is>
          <t>…</t>
        </is>
      </c>
      <c r="I75" s="262" t="inlineStr">
        <is>
          <t>…</t>
        </is>
      </c>
      <c r="J75" s="262" t="inlineStr">
        <is>
          <t>…</t>
        </is>
      </c>
      <c r="K75" s="262" t="inlineStr">
        <is>
          <t>…</t>
        </is>
      </c>
      <c r="L75" s="262" t="inlineStr">
        <is>
          <t>…</t>
        </is>
      </c>
      <c r="M75" s="262" t="inlineStr">
        <is>
          <t>…</t>
        </is>
      </c>
      <c r="N75" s="262" t="inlineStr">
        <is>
          <t>…</t>
        </is>
      </c>
      <c r="O75" s="262" t="n">
        <v>706053</v>
      </c>
      <c r="P75" s="262" t="n">
        <v>730636.8</v>
      </c>
      <c r="Q75" s="262" t="n">
        <v>845206.2</v>
      </c>
      <c r="R75" s="262" t="n">
        <v>801467.4</v>
      </c>
      <c r="S75" s="263" t="n">
        <v>905673.5</v>
      </c>
    </row>
    <row r="76" ht="15" customHeight="1" s="226">
      <c r="A76" s="278" t="inlineStr">
        <is>
          <t>Челябинская область</t>
        </is>
      </c>
      <c r="B76" s="262" t="n">
        <v>44611.9</v>
      </c>
      <c r="C76" s="262" t="n">
        <v>79117.60000000001</v>
      </c>
      <c r="D76" s="262" t="n">
        <v>120561</v>
      </c>
      <c r="E76" s="262" t="n">
        <v>142461.9</v>
      </c>
      <c r="F76" s="262" t="n">
        <v>172446.4</v>
      </c>
      <c r="G76" s="262" t="n">
        <v>220185.2</v>
      </c>
      <c r="H76" s="262" t="n">
        <v>291179.9</v>
      </c>
      <c r="I76" s="262" t="n">
        <v>349957.2</v>
      </c>
      <c r="J76" s="262" t="n">
        <v>446918</v>
      </c>
      <c r="K76" s="262" t="n">
        <v>575643.7</v>
      </c>
      <c r="L76" s="262" t="n">
        <v>664492.7</v>
      </c>
      <c r="M76" s="262" t="n">
        <v>556985.3</v>
      </c>
      <c r="N76" s="262" t="n">
        <v>652865.5</v>
      </c>
      <c r="O76" s="262" t="n">
        <v>774401</v>
      </c>
      <c r="P76" s="262" t="n">
        <v>841972.3</v>
      </c>
      <c r="Q76" s="262" t="n">
        <v>882339.6</v>
      </c>
      <c r="R76" s="262" t="n">
        <v>993900.6</v>
      </c>
      <c r="S76" s="263" t="n">
        <v>1209242.7</v>
      </c>
    </row>
    <row r="77" ht="15" customHeight="1" s="226">
      <c r="A77" s="279" t="inlineStr">
        <is>
          <t>Сибирский федеральный округ</t>
        </is>
      </c>
      <c r="B77" s="254">
        <f>SUM(B78:B87)</f>
        <v/>
      </c>
      <c r="C77" s="254">
        <f>SUM(C78:C87)</f>
        <v/>
      </c>
      <c r="D77" s="254">
        <f>SUM(D78:D87)</f>
        <v/>
      </c>
      <c r="E77" s="254">
        <f>SUM(E78:E87)</f>
        <v/>
      </c>
      <c r="F77" s="254">
        <f>SUM(F78:F87)</f>
        <v/>
      </c>
      <c r="G77" s="254">
        <f>SUM(G78:G87)</f>
        <v/>
      </c>
      <c r="H77" s="254">
        <f>SUM(H78:H87)</f>
        <v/>
      </c>
      <c r="I77" s="254">
        <f>SUM(I78:I87)</f>
        <v/>
      </c>
      <c r="J77" s="254">
        <f>SUM(J78:J87)</f>
        <v/>
      </c>
      <c r="K77" s="254">
        <f>SUM(K78:K87)</f>
        <v/>
      </c>
      <c r="L77" s="254">
        <f>SUM(L78:L87)</f>
        <v/>
      </c>
      <c r="M77" s="254">
        <f>SUM(M78:M87)</f>
        <v/>
      </c>
      <c r="N77" s="254">
        <f>SUM(N78:N87)</f>
        <v/>
      </c>
      <c r="O77" s="254">
        <f>SUM(O78:O87)</f>
        <v/>
      </c>
      <c r="P77" s="254">
        <f>SUM(P78:P87)</f>
        <v/>
      </c>
      <c r="Q77" s="254">
        <f>SUM(Q78:Q87)</f>
        <v/>
      </c>
      <c r="R77" s="254">
        <f>SUM(R78:R87)</f>
        <v/>
      </c>
      <c r="S77" s="254">
        <f>SUM(S78:S87)</f>
        <v/>
      </c>
    </row>
    <row r="78" ht="15" customHeight="1" s="226">
      <c r="A78" s="278" t="inlineStr">
        <is>
          <t>Республика Алтай</t>
        </is>
      </c>
      <c r="B78" s="262" t="n">
        <v>1527.6</v>
      </c>
      <c r="C78" s="262" t="n">
        <v>2186.2</v>
      </c>
      <c r="D78" s="262" t="n">
        <v>2737.5</v>
      </c>
      <c r="E78" s="262" t="n">
        <v>4499.4</v>
      </c>
      <c r="F78" s="262" t="n">
        <v>5310.6</v>
      </c>
      <c r="G78" s="262" t="n">
        <v>6903.9</v>
      </c>
      <c r="H78" s="262" t="n">
        <v>8516.700000000001</v>
      </c>
      <c r="I78" s="262" t="n">
        <v>8805.799999999999</v>
      </c>
      <c r="J78" s="262" t="n">
        <v>11609.4</v>
      </c>
      <c r="K78" s="262" t="n">
        <v>15108.5</v>
      </c>
      <c r="L78" s="262" t="n">
        <v>18701</v>
      </c>
      <c r="M78" s="262" t="n">
        <v>19911.6</v>
      </c>
      <c r="N78" s="262" t="n">
        <v>22393.7</v>
      </c>
      <c r="O78" s="262" t="n">
        <v>26380.8</v>
      </c>
      <c r="P78" s="262" t="n">
        <v>30444.6</v>
      </c>
      <c r="Q78" s="262" t="n">
        <v>33313.5</v>
      </c>
      <c r="R78" s="262" t="n">
        <v>39191.9</v>
      </c>
      <c r="S78" s="263" t="n">
        <v>42165.7</v>
      </c>
    </row>
    <row r="79" ht="15" customHeight="1" s="226">
      <c r="A79" s="278" t="inlineStr">
        <is>
          <t>Республика Тыва</t>
        </is>
      </c>
      <c r="B79" s="262" t="n">
        <v>1958.5</v>
      </c>
      <c r="C79" s="262" t="n">
        <v>2727.9</v>
      </c>
      <c r="D79" s="262" t="n">
        <v>3594.1</v>
      </c>
      <c r="E79" s="262" t="n">
        <v>5197.2</v>
      </c>
      <c r="F79" s="262" t="n">
        <v>6847.4</v>
      </c>
      <c r="G79" s="262" t="n">
        <v>8121.2</v>
      </c>
      <c r="H79" s="262" t="n">
        <v>9838.5</v>
      </c>
      <c r="I79" s="262" t="n">
        <v>11662.5</v>
      </c>
      <c r="J79" s="262" t="n">
        <v>15146.8</v>
      </c>
      <c r="K79" s="262" t="n">
        <v>19384.2</v>
      </c>
      <c r="L79" s="262" t="n">
        <v>23870.5</v>
      </c>
      <c r="M79" s="262" t="n">
        <v>26921.9</v>
      </c>
      <c r="N79" s="262" t="n">
        <v>30772.8</v>
      </c>
      <c r="O79" s="262" t="n">
        <v>33398.9</v>
      </c>
      <c r="P79" s="262" t="n">
        <v>37369.1</v>
      </c>
      <c r="Q79" s="262" t="n">
        <v>41298.7</v>
      </c>
      <c r="R79" s="262" t="n">
        <v>45947.9</v>
      </c>
      <c r="S79" s="263" t="n">
        <v>47289.6</v>
      </c>
    </row>
    <row r="80" ht="15" customHeight="1" s="226">
      <c r="A80" s="278" t="inlineStr">
        <is>
          <t>Республика Хакасия</t>
        </is>
      </c>
      <c r="B80" s="262" t="n">
        <v>8158.8</v>
      </c>
      <c r="C80" s="262" t="n">
        <v>13192.3</v>
      </c>
      <c r="D80" s="262" t="n">
        <v>17418.1</v>
      </c>
      <c r="E80" s="262" t="n">
        <v>20041</v>
      </c>
      <c r="F80" s="262" t="n">
        <v>25423.3</v>
      </c>
      <c r="G80" s="262" t="n">
        <v>28969.2</v>
      </c>
      <c r="H80" s="262" t="n">
        <v>33102.9</v>
      </c>
      <c r="I80" s="262" t="n">
        <v>41727.5</v>
      </c>
      <c r="J80" s="262" t="n">
        <v>53689.3</v>
      </c>
      <c r="K80" s="262" t="n">
        <v>63722</v>
      </c>
      <c r="L80" s="262" t="n">
        <v>72308.8</v>
      </c>
      <c r="M80" s="262" t="n">
        <v>81019.89999999999</v>
      </c>
      <c r="N80" s="262" t="n">
        <v>96039.8</v>
      </c>
      <c r="O80" s="262" t="n">
        <v>113088.1</v>
      </c>
      <c r="P80" s="262" t="n">
        <v>130638.5</v>
      </c>
      <c r="Q80" s="262" t="n">
        <v>141850.5</v>
      </c>
      <c r="R80" s="262" t="n">
        <v>158372.8</v>
      </c>
      <c r="S80" s="263" t="n">
        <v>170413.1</v>
      </c>
    </row>
    <row r="81" ht="15" customHeight="1" s="226">
      <c r="A81" s="278" t="inlineStr">
        <is>
          <t>Алтайский край</t>
        </is>
      </c>
      <c r="B81" s="262" t="n">
        <v>21365.9</v>
      </c>
      <c r="C81" s="262" t="n">
        <v>32430.6</v>
      </c>
      <c r="D81" s="262" t="n">
        <v>46736.8</v>
      </c>
      <c r="E81" s="262" t="n">
        <v>61854.4</v>
      </c>
      <c r="F81" s="262" t="n">
        <v>73107.39999999999</v>
      </c>
      <c r="G81" s="262" t="n">
        <v>88733.3</v>
      </c>
      <c r="H81" s="262" t="n">
        <v>114840.5</v>
      </c>
      <c r="I81" s="262" t="n">
        <v>135686.4</v>
      </c>
      <c r="J81" s="262" t="n">
        <v>173810.5</v>
      </c>
      <c r="K81" s="262" t="n">
        <v>223563.4</v>
      </c>
      <c r="L81" s="262" t="n">
        <v>259343.1</v>
      </c>
      <c r="M81" s="262" t="n">
        <v>265613.3</v>
      </c>
      <c r="N81" s="262" t="n">
        <v>302900.7</v>
      </c>
      <c r="O81" s="262" t="n">
        <v>332117.8</v>
      </c>
      <c r="P81" s="262" t="n">
        <v>368995.2</v>
      </c>
      <c r="Q81" s="262" t="n">
        <v>416110.3</v>
      </c>
      <c r="R81" s="262" t="n">
        <v>446023.8</v>
      </c>
      <c r="S81" s="263" t="n">
        <v>487903.3</v>
      </c>
    </row>
    <row r="82" ht="15" customHeight="1" s="226">
      <c r="A82" s="278" t="inlineStr">
        <is>
          <t>Красноярский край</t>
        </is>
      </c>
      <c r="B82" s="262" t="n">
        <v>70150.10000000001</v>
      </c>
      <c r="C82" s="262" t="n">
        <v>124516.5</v>
      </c>
      <c r="D82" s="262" t="n">
        <v>214662.7</v>
      </c>
      <c r="E82" s="262" t="n">
        <v>239420</v>
      </c>
      <c r="F82" s="262" t="n">
        <v>230994.9</v>
      </c>
      <c r="G82" s="262" t="n">
        <v>272727</v>
      </c>
      <c r="H82" s="262" t="n">
        <v>365454.1</v>
      </c>
      <c r="I82" s="262" t="n">
        <v>439736.9</v>
      </c>
      <c r="J82" s="262" t="n">
        <v>585881.9</v>
      </c>
      <c r="K82" s="262" t="n">
        <v>734154.8</v>
      </c>
      <c r="L82" s="262" t="n">
        <v>737950.5</v>
      </c>
      <c r="M82" s="262" t="n">
        <v>749194.8</v>
      </c>
      <c r="N82" s="262" t="n">
        <v>1055525</v>
      </c>
      <c r="O82" s="262" t="n">
        <v>1170827.3</v>
      </c>
      <c r="P82" s="262" t="n">
        <v>1183228</v>
      </c>
      <c r="Q82" s="262" t="n">
        <v>1256934.1</v>
      </c>
      <c r="R82" s="262" t="n">
        <v>1410719.9</v>
      </c>
      <c r="S82" s="263" t="n">
        <v>1667041.1</v>
      </c>
    </row>
    <row r="83" ht="15" customHeight="1" s="226">
      <c r="A83" s="278" t="inlineStr">
        <is>
          <t>Иркутская область</t>
        </is>
      </c>
      <c r="B83" s="262" t="n">
        <v>50422.2</v>
      </c>
      <c r="C83" s="262" t="n">
        <v>77701.2</v>
      </c>
      <c r="D83" s="262" t="n">
        <v>103013.8</v>
      </c>
      <c r="E83" s="262" t="n">
        <v>120240</v>
      </c>
      <c r="F83" s="262" t="n">
        <v>140195.9</v>
      </c>
      <c r="G83" s="262" t="n">
        <v>167927.1</v>
      </c>
      <c r="H83" s="262" t="n">
        <v>213244.2</v>
      </c>
      <c r="I83" s="262" t="n">
        <v>258095.5</v>
      </c>
      <c r="J83" s="262" t="n">
        <v>330834.3</v>
      </c>
      <c r="K83" s="262" t="n">
        <v>402654.7</v>
      </c>
      <c r="L83" s="262" t="n">
        <v>438852.4</v>
      </c>
      <c r="M83" s="262" t="n">
        <v>458774.9</v>
      </c>
      <c r="N83" s="262" t="n">
        <v>546141</v>
      </c>
      <c r="O83" s="262" t="n">
        <v>634561.4</v>
      </c>
      <c r="P83" s="262" t="n">
        <v>737971.6</v>
      </c>
      <c r="Q83" s="262" t="n">
        <v>805197.5</v>
      </c>
      <c r="R83" s="262" t="n">
        <v>916317.5</v>
      </c>
      <c r="S83" s="263" t="n">
        <v>1001717.6</v>
      </c>
    </row>
    <row r="84" ht="15" customHeight="1" s="226">
      <c r="A84" s="278" t="inlineStr">
        <is>
          <t>Кемеровская область-Кузбасс</t>
        </is>
      </c>
      <c r="B84" s="262" t="n">
        <v>42890.2</v>
      </c>
      <c r="C84" s="262" t="n">
        <v>64491.4</v>
      </c>
      <c r="D84" s="262" t="n">
        <v>88728.10000000001</v>
      </c>
      <c r="E84" s="262" t="n">
        <v>113800.2</v>
      </c>
      <c r="F84" s="262" t="n">
        <v>136156.7</v>
      </c>
      <c r="G84" s="262" t="n">
        <v>164903.1</v>
      </c>
      <c r="H84" s="262" t="n">
        <v>244462</v>
      </c>
      <c r="I84" s="262" t="n">
        <v>295378.4</v>
      </c>
      <c r="J84" s="262" t="n">
        <v>342210.6</v>
      </c>
      <c r="K84" s="262" t="n">
        <v>437790.2</v>
      </c>
      <c r="L84" s="262" t="n">
        <v>575901.9</v>
      </c>
      <c r="M84" s="262" t="n">
        <v>512408</v>
      </c>
      <c r="N84" s="262" t="n">
        <v>625914.9</v>
      </c>
      <c r="O84" s="262" t="n">
        <v>751198.4</v>
      </c>
      <c r="P84" s="262" t="n">
        <v>718320.4</v>
      </c>
      <c r="Q84" s="262" t="n">
        <v>667950.5</v>
      </c>
      <c r="R84" s="262" t="n">
        <v>752024</v>
      </c>
      <c r="S84" s="263" t="n">
        <v>843345.4</v>
      </c>
    </row>
    <row r="85" ht="15" customHeight="1" s="226">
      <c r="A85" s="278" t="inlineStr">
        <is>
          <t>Новосибирская область</t>
        </is>
      </c>
      <c r="B85" s="262" t="n">
        <v>34399</v>
      </c>
      <c r="C85" s="262" t="n">
        <v>52746.5</v>
      </c>
      <c r="D85" s="262" t="n">
        <v>72012.7</v>
      </c>
      <c r="E85" s="262" t="n">
        <v>95298.89999999999</v>
      </c>
      <c r="F85" s="262" t="n">
        <v>123084.5</v>
      </c>
      <c r="G85" s="262" t="n">
        <v>153798.9</v>
      </c>
      <c r="H85" s="262" t="n">
        <v>191826.7</v>
      </c>
      <c r="I85" s="262" t="n">
        <v>235381.8</v>
      </c>
      <c r="J85" s="262" t="n">
        <v>296064.5</v>
      </c>
      <c r="K85" s="262" t="n">
        <v>365531.2</v>
      </c>
      <c r="L85" s="262" t="n">
        <v>453574.6</v>
      </c>
      <c r="M85" s="262" t="n">
        <v>425400.2</v>
      </c>
      <c r="N85" s="262" t="n">
        <v>484141.3</v>
      </c>
      <c r="O85" s="262" t="n">
        <v>598563.5</v>
      </c>
      <c r="P85" s="262" t="n">
        <v>728154</v>
      </c>
      <c r="Q85" s="262" t="n">
        <v>817516.7</v>
      </c>
      <c r="R85" s="262" t="n">
        <v>911219</v>
      </c>
      <c r="S85" s="263" t="n">
        <v>1021642.9</v>
      </c>
    </row>
    <row r="86" ht="15" customHeight="1" s="226">
      <c r="A86" s="278" t="inlineStr">
        <is>
          <t>Омская область</t>
        </is>
      </c>
      <c r="B86" s="262" t="n">
        <v>26855</v>
      </c>
      <c r="C86" s="262" t="n">
        <v>33734.7</v>
      </c>
      <c r="D86" s="262" t="n">
        <v>46028.4</v>
      </c>
      <c r="E86" s="262" t="n">
        <v>61535.7</v>
      </c>
      <c r="F86" s="262" t="n">
        <v>92628.7</v>
      </c>
      <c r="G86" s="262" t="n">
        <v>115029.5</v>
      </c>
      <c r="H86" s="262" t="n">
        <v>192877.3</v>
      </c>
      <c r="I86" s="262" t="n">
        <v>220686.1</v>
      </c>
      <c r="J86" s="262" t="n">
        <v>262506.7</v>
      </c>
      <c r="K86" s="262" t="n">
        <v>296004.7</v>
      </c>
      <c r="L86" s="262" t="n">
        <v>347760.3</v>
      </c>
      <c r="M86" s="262" t="n">
        <v>336259.6</v>
      </c>
      <c r="N86" s="262" t="n">
        <v>382620.4</v>
      </c>
      <c r="O86" s="262" t="n">
        <v>451418.8</v>
      </c>
      <c r="P86" s="262" t="n">
        <v>491507.6</v>
      </c>
      <c r="Q86" s="262" t="n">
        <v>551734</v>
      </c>
      <c r="R86" s="262" t="n">
        <v>602605.1</v>
      </c>
      <c r="S86" s="263" t="n">
        <v>618127.7</v>
      </c>
    </row>
    <row r="87" ht="15" customHeight="1" s="226">
      <c r="A87" s="278" t="inlineStr">
        <is>
          <t>Томская область</t>
        </is>
      </c>
      <c r="B87" s="262" t="n">
        <v>20288.1</v>
      </c>
      <c r="C87" s="262" t="n">
        <v>26663.2</v>
      </c>
      <c r="D87" s="262" t="n">
        <v>40539.5</v>
      </c>
      <c r="E87" s="262" t="n">
        <v>57041.1</v>
      </c>
      <c r="F87" s="262" t="n">
        <v>75547</v>
      </c>
      <c r="G87" s="270" t="n">
        <v>97084.3</v>
      </c>
      <c r="H87" s="270" t="n">
        <v>132439.3</v>
      </c>
      <c r="I87" s="270" t="n">
        <v>159578.5</v>
      </c>
      <c r="J87" s="270" t="n">
        <v>188800.7</v>
      </c>
      <c r="K87" s="270" t="n">
        <v>214487</v>
      </c>
      <c r="L87" s="270" t="n">
        <v>248906.2</v>
      </c>
      <c r="M87" s="270" t="n">
        <v>245808.3</v>
      </c>
      <c r="N87" s="270" t="n">
        <v>284676.7</v>
      </c>
      <c r="O87" s="270" t="n">
        <v>333885.7</v>
      </c>
      <c r="P87" s="270" t="n">
        <v>371472.9</v>
      </c>
      <c r="Q87" s="270" t="n">
        <v>402562.1</v>
      </c>
      <c r="R87" s="270" t="n">
        <v>430266.8</v>
      </c>
      <c r="S87" s="271" t="n">
        <v>471456.7</v>
      </c>
    </row>
    <row r="88" ht="15" customHeight="1" s="226">
      <c r="A88" s="279" t="inlineStr">
        <is>
          <t>Дальневосточный федеральный округ</t>
        </is>
      </c>
      <c r="B88" s="254">
        <f>SUM(B89:B99)</f>
        <v/>
      </c>
      <c r="C88" s="254">
        <f>SUM(C89:C99)</f>
        <v/>
      </c>
      <c r="D88" s="254">
        <f>SUM(D89:D99)</f>
        <v/>
      </c>
      <c r="E88" s="254">
        <f>SUM(E89:E99)</f>
        <v/>
      </c>
      <c r="F88" s="275">
        <f>SUM(F89:F99)</f>
        <v/>
      </c>
      <c r="G88" s="275">
        <f>SUM(G89:G99)</f>
        <v/>
      </c>
      <c r="H88" s="275">
        <f>SUM(H89:H99)</f>
        <v/>
      </c>
      <c r="I88" s="275">
        <f>SUM(I89:I99)</f>
        <v/>
      </c>
      <c r="J88" s="275">
        <f>SUM(J89:J99)</f>
        <v/>
      </c>
      <c r="K88" s="275">
        <f>SUM(K89:K99)</f>
        <v/>
      </c>
      <c r="L88" s="275">
        <f>SUM(L89:L99)</f>
        <v/>
      </c>
      <c r="M88" s="275">
        <f>SUM(M89:M99)</f>
        <v/>
      </c>
      <c r="N88" s="275">
        <f>SUM(N89:N99)</f>
        <v/>
      </c>
      <c r="O88" s="275">
        <f>SUM(O89:O99)</f>
        <v/>
      </c>
      <c r="P88" s="275">
        <f>SUM(P89:P99)</f>
        <v/>
      </c>
      <c r="Q88" s="275">
        <f>SUM(Q89:Q99)</f>
        <v/>
      </c>
      <c r="R88" s="275">
        <f>SUM(R89:R99)</f>
        <v/>
      </c>
      <c r="S88" s="254">
        <f>SUM(S89:S99)</f>
        <v/>
      </c>
    </row>
    <row r="89" ht="15" customHeight="1" s="226">
      <c r="A89" s="278" t="inlineStr">
        <is>
          <t>Республика Бурятия</t>
        </is>
      </c>
      <c r="B89" s="262" t="n">
        <v>11140</v>
      </c>
      <c r="C89" s="262" t="n">
        <v>16185.4</v>
      </c>
      <c r="D89" s="262" t="n">
        <v>21574.5</v>
      </c>
      <c r="E89" s="262" t="n">
        <v>30075.1</v>
      </c>
      <c r="F89" s="262" t="n">
        <v>37884.5</v>
      </c>
      <c r="G89" s="273" t="n">
        <v>52253.7</v>
      </c>
      <c r="H89" s="273" t="n">
        <v>63918.5</v>
      </c>
      <c r="I89" s="273" t="n">
        <v>74912.89999999999</v>
      </c>
      <c r="J89" s="273" t="n">
        <v>91712.39999999999</v>
      </c>
      <c r="K89" s="273" t="n">
        <v>107442</v>
      </c>
      <c r="L89" s="273" t="n">
        <v>124738.5</v>
      </c>
      <c r="M89" s="273" t="n">
        <v>121187.7</v>
      </c>
      <c r="N89" s="273" t="n">
        <v>133525.6</v>
      </c>
      <c r="O89" s="273" t="n">
        <v>153624.1</v>
      </c>
      <c r="P89" s="273" t="n">
        <v>164737.8</v>
      </c>
      <c r="Q89" s="273" t="n">
        <v>176888.9</v>
      </c>
      <c r="R89" s="273" t="n">
        <v>186492.9</v>
      </c>
      <c r="S89" s="274" t="n">
        <v>202823.4</v>
      </c>
    </row>
    <row r="90" ht="15" customHeight="1" s="226">
      <c r="A90" s="278" t="inlineStr">
        <is>
          <t>Республика Саха (Якутия)</t>
        </is>
      </c>
      <c r="B90" s="262" t="n">
        <v>33632.4</v>
      </c>
      <c r="C90" s="262" t="n">
        <v>62750.8</v>
      </c>
      <c r="D90" s="262" t="n">
        <v>81960.39999999999</v>
      </c>
      <c r="E90" s="262" t="n">
        <v>100922.4</v>
      </c>
      <c r="F90" s="262" t="n">
        <v>115117.1</v>
      </c>
      <c r="G90" s="262" t="n">
        <v>132964.1</v>
      </c>
      <c r="H90" s="262" t="n">
        <v>153496.7</v>
      </c>
      <c r="I90" s="262" t="n">
        <v>183027</v>
      </c>
      <c r="J90" s="262" t="n">
        <v>206845</v>
      </c>
      <c r="K90" s="262" t="n">
        <v>242656.5</v>
      </c>
      <c r="L90" s="262" t="n">
        <v>309518.3</v>
      </c>
      <c r="M90" s="262" t="n">
        <v>328201.7</v>
      </c>
      <c r="N90" s="262" t="n">
        <v>386825.1</v>
      </c>
      <c r="O90" s="262" t="n">
        <v>486830.9</v>
      </c>
      <c r="P90" s="262" t="n">
        <v>541306.8</v>
      </c>
      <c r="Q90" s="262" t="n">
        <v>570284.7</v>
      </c>
      <c r="R90" s="262" t="n">
        <v>658140.4</v>
      </c>
      <c r="S90" s="263" t="n">
        <v>747601.7</v>
      </c>
    </row>
    <row r="91" ht="15" customHeight="1" s="226">
      <c r="A91" s="278" t="inlineStr">
        <is>
          <t>Забайкальский край</t>
        </is>
      </c>
      <c r="B91" s="262" t="n">
        <v>12864.6</v>
      </c>
      <c r="C91" s="262" t="n">
        <v>20783.9</v>
      </c>
      <c r="D91" s="262" t="n">
        <v>30024.6</v>
      </c>
      <c r="E91" s="262" t="n">
        <v>35139.2</v>
      </c>
      <c r="F91" s="262" t="n">
        <v>44555.8</v>
      </c>
      <c r="G91" s="262" t="n">
        <v>53145.5</v>
      </c>
      <c r="H91" s="262" t="n">
        <v>61261.8</v>
      </c>
      <c r="I91" s="262" t="n">
        <v>69647.10000000001</v>
      </c>
      <c r="J91" s="262" t="n">
        <v>90732.10000000001</v>
      </c>
      <c r="K91" s="262" t="n">
        <v>110822.4</v>
      </c>
      <c r="L91" s="262" t="n">
        <v>140302</v>
      </c>
      <c r="M91" s="262" t="n">
        <v>148587.9</v>
      </c>
      <c r="N91" s="262" t="n">
        <v>166742.5</v>
      </c>
      <c r="O91" s="262" t="n">
        <v>203869</v>
      </c>
      <c r="P91" s="262" t="n">
        <v>223968.8</v>
      </c>
      <c r="Q91" s="262" t="n">
        <v>229239.4</v>
      </c>
      <c r="R91" s="262" t="n">
        <v>234840.8</v>
      </c>
      <c r="S91" s="263" t="n">
        <v>247666.2</v>
      </c>
    </row>
    <row r="92" ht="15" customHeight="1" s="226">
      <c r="A92" s="278" t="inlineStr">
        <is>
          <t>Камчатский край</t>
        </is>
      </c>
      <c r="B92" s="262" t="n">
        <v>11678.2</v>
      </c>
      <c r="C92" s="262" t="n">
        <v>14919.8</v>
      </c>
      <c r="D92" s="262" t="n">
        <v>18140.7</v>
      </c>
      <c r="E92" s="262" t="n">
        <v>23031.7</v>
      </c>
      <c r="F92" s="262" t="n">
        <v>25881.9</v>
      </c>
      <c r="G92" s="262" t="n">
        <v>29747</v>
      </c>
      <c r="H92" s="262" t="n">
        <v>35139.3</v>
      </c>
      <c r="I92" s="262" t="n">
        <v>43974.3</v>
      </c>
      <c r="J92" s="262" t="n">
        <v>56119.8</v>
      </c>
      <c r="K92" s="262" t="n">
        <v>66076.8</v>
      </c>
      <c r="L92" s="262" t="n">
        <v>77854.3</v>
      </c>
      <c r="M92" s="262" t="n">
        <v>94643.2</v>
      </c>
      <c r="N92" s="262" t="n">
        <v>103123.2</v>
      </c>
      <c r="O92" s="262" t="n">
        <v>114375.9</v>
      </c>
      <c r="P92" s="262" t="n">
        <v>127412.7</v>
      </c>
      <c r="Q92" s="262" t="n">
        <v>133364</v>
      </c>
      <c r="R92" s="262" t="n">
        <v>145761.3</v>
      </c>
      <c r="S92" s="263" t="n">
        <v>175404.8</v>
      </c>
    </row>
    <row r="93" ht="15" customHeight="1" s="226">
      <c r="A93" s="278" t="inlineStr">
        <is>
          <t>Приморский край</t>
        </is>
      </c>
      <c r="B93" s="262" t="n">
        <v>31373.1</v>
      </c>
      <c r="C93" s="262" t="n">
        <v>53242.2</v>
      </c>
      <c r="D93" s="262" t="n">
        <v>62088.5</v>
      </c>
      <c r="E93" s="262" t="n">
        <v>72826.10000000001</v>
      </c>
      <c r="F93" s="262" t="n">
        <v>96832.3</v>
      </c>
      <c r="G93" s="262" t="n">
        <v>119333.7</v>
      </c>
      <c r="H93" s="262" t="n">
        <v>152301.1</v>
      </c>
      <c r="I93" s="262" t="n">
        <v>186623.3</v>
      </c>
      <c r="J93" s="262" t="n">
        <v>215934.4</v>
      </c>
      <c r="K93" s="262" t="n">
        <v>259041.4</v>
      </c>
      <c r="L93" s="262" t="n">
        <v>316581.9</v>
      </c>
      <c r="M93" s="262" t="n">
        <v>368996.7</v>
      </c>
      <c r="N93" s="262" t="n">
        <v>470679.2</v>
      </c>
      <c r="O93" s="262" t="n">
        <v>549722.8</v>
      </c>
      <c r="P93" s="262" t="n">
        <v>557489.3</v>
      </c>
      <c r="Q93" s="262" t="n">
        <v>577473.9</v>
      </c>
      <c r="R93" s="262" t="n">
        <v>642423</v>
      </c>
      <c r="S93" s="263" t="n">
        <v>717609.9</v>
      </c>
    </row>
    <row r="94" ht="15" customHeight="1" s="226">
      <c r="A94" s="278" t="inlineStr">
        <is>
          <t>Хабаровский край</t>
        </is>
      </c>
      <c r="B94" s="262" t="n">
        <v>29309.6</v>
      </c>
      <c r="C94" s="262" t="n">
        <v>40306.9</v>
      </c>
      <c r="D94" s="262" t="n">
        <v>64794.8</v>
      </c>
      <c r="E94" s="262" t="n">
        <v>79891.5</v>
      </c>
      <c r="F94" s="262" t="n">
        <v>101048.6</v>
      </c>
      <c r="G94" s="262" t="n">
        <v>116318.1</v>
      </c>
      <c r="H94" s="262" t="n">
        <v>133330.5</v>
      </c>
      <c r="I94" s="262" t="n">
        <v>161194.4</v>
      </c>
      <c r="J94" s="262" t="n">
        <v>194259.6</v>
      </c>
      <c r="K94" s="262" t="n">
        <v>231293.2</v>
      </c>
      <c r="L94" s="262" t="n">
        <v>269178.6</v>
      </c>
      <c r="M94" s="262" t="n">
        <v>276895.4</v>
      </c>
      <c r="N94" s="262" t="n">
        <v>353590.3</v>
      </c>
      <c r="O94" s="262" t="n">
        <v>399594.2</v>
      </c>
      <c r="P94" s="262" t="n">
        <v>437994.3</v>
      </c>
      <c r="Q94" s="262" t="n">
        <v>498067.2</v>
      </c>
      <c r="R94" s="262" t="n">
        <v>539338.4</v>
      </c>
      <c r="S94" s="263" t="n">
        <v>595792.3</v>
      </c>
    </row>
    <row r="95" ht="15" customHeight="1" s="226">
      <c r="A95" s="278" t="inlineStr">
        <is>
          <t>Амурская область</t>
        </is>
      </c>
      <c r="B95" s="262" t="n">
        <v>14436.1</v>
      </c>
      <c r="C95" s="262" t="n">
        <v>20676.3</v>
      </c>
      <c r="D95" s="262" t="n">
        <v>26315.2</v>
      </c>
      <c r="E95" s="262" t="n">
        <v>39052.8</v>
      </c>
      <c r="F95" s="262" t="n">
        <v>45717.5</v>
      </c>
      <c r="G95" s="262" t="n">
        <v>53199.9</v>
      </c>
      <c r="H95" s="262" t="n">
        <v>64250.2</v>
      </c>
      <c r="I95" s="262" t="n">
        <v>76861.2</v>
      </c>
      <c r="J95" s="262" t="n">
        <v>95090.89999999999</v>
      </c>
      <c r="K95" s="262" t="n">
        <v>111761.2</v>
      </c>
      <c r="L95" s="262" t="n">
        <v>131563.7</v>
      </c>
      <c r="M95" s="262" t="n">
        <v>151118.6</v>
      </c>
      <c r="N95" s="262" t="n">
        <v>178689.6</v>
      </c>
      <c r="O95" s="262" t="n">
        <v>225401.7</v>
      </c>
      <c r="P95" s="262" t="n">
        <v>229407.1</v>
      </c>
      <c r="Q95" s="262" t="n">
        <v>210700.9</v>
      </c>
      <c r="R95" s="262" t="n">
        <v>232053</v>
      </c>
      <c r="S95" s="263" t="n">
        <v>277380.4</v>
      </c>
    </row>
    <row r="96" ht="15" customHeight="1" s="226">
      <c r="A96" s="278" t="inlineStr">
        <is>
          <t>Магаданская область</t>
        </is>
      </c>
      <c r="B96" s="262" t="n">
        <v>6983.4</v>
      </c>
      <c r="C96" s="262" t="n">
        <v>10538.7</v>
      </c>
      <c r="D96" s="262" t="n">
        <v>13009.5</v>
      </c>
      <c r="E96" s="262" t="n">
        <v>17151.6</v>
      </c>
      <c r="F96" s="262" t="n">
        <v>22374.8</v>
      </c>
      <c r="G96" s="262" t="n">
        <v>24325.9</v>
      </c>
      <c r="H96" s="262" t="n">
        <v>24612.3</v>
      </c>
      <c r="I96" s="262" t="n">
        <v>27167.8</v>
      </c>
      <c r="J96" s="262" t="n">
        <v>31203.2</v>
      </c>
      <c r="K96" s="262" t="n">
        <v>35314.4</v>
      </c>
      <c r="L96" s="262" t="n">
        <v>42053.8</v>
      </c>
      <c r="M96" s="262" t="n">
        <v>47895.9</v>
      </c>
      <c r="N96" s="262" t="n">
        <v>59619.7</v>
      </c>
      <c r="O96" s="262" t="n">
        <v>72174.2</v>
      </c>
      <c r="P96" s="262" t="n">
        <v>78417.89999999999</v>
      </c>
      <c r="Q96" s="262" t="n">
        <v>88905.89999999999</v>
      </c>
      <c r="R96" s="262" t="n">
        <v>96936.8</v>
      </c>
      <c r="S96" s="263" t="n">
        <v>125798.3</v>
      </c>
    </row>
    <row r="97" ht="15" customHeight="1" s="226">
      <c r="A97" s="278" t="inlineStr">
        <is>
          <t>Сахалинская область</t>
        </is>
      </c>
      <c r="B97" s="262" t="n">
        <v>12610.5</v>
      </c>
      <c r="C97" s="262" t="n">
        <v>26269.9</v>
      </c>
      <c r="D97" s="262" t="n">
        <v>34777</v>
      </c>
      <c r="E97" s="262" t="n">
        <v>47140.1</v>
      </c>
      <c r="F97" s="262" t="n">
        <v>47139.8</v>
      </c>
      <c r="G97" s="262" t="n">
        <v>63139.2</v>
      </c>
      <c r="H97" s="262" t="n">
        <v>91729.60000000001</v>
      </c>
      <c r="I97" s="262" t="n">
        <v>121014.1</v>
      </c>
      <c r="J97" s="262" t="n">
        <v>166105.4</v>
      </c>
      <c r="K97" s="262" t="n">
        <v>286273</v>
      </c>
      <c r="L97" s="262" t="n">
        <v>333581.6</v>
      </c>
      <c r="M97" s="262" t="n">
        <v>392380.1</v>
      </c>
      <c r="N97" s="262" t="n">
        <v>487659.5</v>
      </c>
      <c r="O97" s="262" t="n">
        <v>600247.9</v>
      </c>
      <c r="P97" s="262" t="n">
        <v>641886.4</v>
      </c>
      <c r="Q97" s="262" t="n">
        <v>671743.6</v>
      </c>
      <c r="R97" s="262" t="n">
        <v>799165.4</v>
      </c>
      <c r="S97" s="263" t="n">
        <v>837495.2</v>
      </c>
    </row>
    <row r="98" ht="15" customHeight="1" s="226">
      <c r="A98" s="278" t="inlineStr">
        <is>
          <t>Еврейская автономная область</t>
        </is>
      </c>
      <c r="B98" s="262" t="n">
        <v>1510.1</v>
      </c>
      <c r="C98" s="262" t="n">
        <v>3026</v>
      </c>
      <c r="D98" s="262" t="n">
        <v>3784</v>
      </c>
      <c r="E98" s="262" t="n">
        <v>4788.9</v>
      </c>
      <c r="F98" s="262" t="n">
        <v>6838.5</v>
      </c>
      <c r="G98" s="262" t="n">
        <v>8564.6</v>
      </c>
      <c r="H98" s="262" t="n">
        <v>11230.9</v>
      </c>
      <c r="I98" s="262" t="n">
        <v>14204.2</v>
      </c>
      <c r="J98" s="262" t="n">
        <v>17976.8</v>
      </c>
      <c r="K98" s="262" t="n">
        <v>23726.1</v>
      </c>
      <c r="L98" s="262" t="n">
        <v>23977</v>
      </c>
      <c r="M98" s="262" t="n">
        <v>25320</v>
      </c>
      <c r="N98" s="262" t="n">
        <v>31555.9</v>
      </c>
      <c r="O98" s="262" t="n">
        <v>39467</v>
      </c>
      <c r="P98" s="262" t="n">
        <v>42743.6</v>
      </c>
      <c r="Q98" s="262" t="n">
        <v>38428.7</v>
      </c>
      <c r="R98" s="262" t="n">
        <v>41948.1</v>
      </c>
      <c r="S98" s="263" t="n">
        <v>44554.8</v>
      </c>
    </row>
    <row r="99" ht="15" customHeight="1" s="226">
      <c r="A99" s="278" t="inlineStr">
        <is>
          <t>Чукотский автономный округ</t>
        </is>
      </c>
      <c r="B99" s="265" t="n">
        <v>2635</v>
      </c>
      <c r="C99" s="265" t="n">
        <v>3198.7</v>
      </c>
      <c r="D99" s="265" t="n">
        <v>3931.4</v>
      </c>
      <c r="E99" s="265" t="n">
        <v>6944.6</v>
      </c>
      <c r="F99" s="265" t="n">
        <v>10155.4</v>
      </c>
      <c r="G99" s="265" t="n">
        <v>13501.1</v>
      </c>
      <c r="H99" s="265" t="n">
        <v>12357.8</v>
      </c>
      <c r="I99" s="265" t="n">
        <v>12355.4</v>
      </c>
      <c r="J99" s="265" t="n">
        <v>15538</v>
      </c>
      <c r="K99" s="265" t="n">
        <v>20984.1</v>
      </c>
      <c r="L99" s="265" t="n">
        <v>30558.7</v>
      </c>
      <c r="M99" s="265" t="n">
        <v>45067.6</v>
      </c>
      <c r="N99" s="265" t="n">
        <v>38978.1</v>
      </c>
      <c r="O99" s="265" t="n">
        <v>44757.6</v>
      </c>
      <c r="P99" s="265" t="n">
        <v>45633.9</v>
      </c>
      <c r="Q99" s="265" t="n">
        <v>44466.9</v>
      </c>
      <c r="R99" s="265" t="n">
        <v>57751.3</v>
      </c>
      <c r="S99" s="266" t="n">
        <v>61735.5</v>
      </c>
    </row>
    <row r="101" ht="15.75" customHeight="1" s="226">
      <c r="A101" s="280" t="n"/>
      <c r="P101" s="280" t="n"/>
    </row>
  </sheetData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2"/>
    </sheetView>
  </sheetViews>
  <sheetFormatPr baseColWidth="8" defaultColWidth="14.5703125" defaultRowHeight="15.75" customHeight="0" zeroHeight="0" outlineLevelRow="0"/>
  <cols>
    <col width="42.42" customWidth="1" style="225" min="1" max="1"/>
    <col width="15.42" customWidth="1" style="225" min="2" max="6"/>
    <col width="16.71" customWidth="1" style="225" min="7" max="9"/>
    <col width="14.57" customWidth="1" style="225" min="10" max="16384"/>
  </cols>
  <sheetData>
    <row r="1" ht="33" customHeight="1" s="226">
      <c r="A1" s="244" t="inlineStr">
        <is>
          <t xml:space="preserve">          К содержанию</t>
        </is>
      </c>
      <c r="B1" s="246" t="n"/>
      <c r="C1" s="246" t="n"/>
      <c r="D1" s="246" t="n"/>
      <c r="E1" s="246" t="n"/>
      <c r="F1" s="281" t="n"/>
      <c r="G1" s="281" t="n"/>
      <c r="H1" s="281" t="n"/>
      <c r="I1" s="281" t="n"/>
    </row>
    <row r="2" ht="38.25" customHeight="1" s="226">
      <c r="A2" s="282" t="inlineStr">
        <is>
          <t>Валовой региональный продукт по субъектам Российской Федерации в 2016-2023 гг.1)2)
(в текущих  ценах; миллионов рублей)</t>
        </is>
      </c>
      <c r="F2" s="283" t="n"/>
      <c r="G2" s="283" t="n"/>
      <c r="H2" s="283" t="n"/>
      <c r="I2" s="283" t="n"/>
    </row>
    <row r="3" ht="23.25" customHeight="1" s="226">
      <c r="A3" s="250" t="n"/>
      <c r="B3" s="284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</t>
        </is>
      </c>
      <c r="B4" s="252" t="n">
        <v>74120174.8</v>
      </c>
      <c r="C4" s="252" t="n">
        <v>79745093.90000001</v>
      </c>
      <c r="D4" s="252" t="n">
        <v>90202901.5</v>
      </c>
      <c r="E4" s="252" t="n">
        <v>95060662.3</v>
      </c>
      <c r="F4" s="252">
        <f>F5+F24+F37+F46+F54+F69+F77+F88</f>
        <v/>
      </c>
      <c r="G4" s="252" t="n">
        <v>122199665.2</v>
      </c>
      <c r="H4" s="252" t="n">
        <v>139504435.5</v>
      </c>
      <c r="I4" s="252" t="n">
        <v>157074172</v>
      </c>
    </row>
    <row r="5" ht="15" customHeight="1" s="226">
      <c r="A5" s="253" t="inlineStr">
        <is>
          <t>Центральный федеральный округ</t>
        </is>
      </c>
      <c r="B5" s="254" t="n">
        <v>25995587.5</v>
      </c>
      <c r="C5" s="254" t="n">
        <v>27915455</v>
      </c>
      <c r="D5" s="254" t="n">
        <v>31191756.5</v>
      </c>
      <c r="E5" s="254" t="n">
        <v>33139758.1</v>
      </c>
      <c r="F5" s="254" t="n">
        <v>34167817.7</v>
      </c>
      <c r="G5" s="254" t="n">
        <v>41592339</v>
      </c>
      <c r="H5" s="254" t="n">
        <v>46522155.1</v>
      </c>
      <c r="I5" s="254" t="n">
        <v>54101687.1</v>
      </c>
    </row>
    <row r="6" ht="15" customHeight="1" s="226">
      <c r="A6" s="255" t="inlineStr">
        <is>
          <t>Белгородская область</t>
        </is>
      </c>
      <c r="B6" s="256" t="n">
        <v>778027.8</v>
      </c>
      <c r="C6" s="257" t="n">
        <v>837306.8</v>
      </c>
      <c r="D6" s="257" t="n">
        <v>911597.9</v>
      </c>
      <c r="E6" s="257" t="n">
        <v>955329.2</v>
      </c>
      <c r="F6" s="257" t="n">
        <v>997330.9</v>
      </c>
      <c r="G6" s="257" t="n">
        <v>1359965.6</v>
      </c>
      <c r="H6" s="257" t="n">
        <v>1282187.9</v>
      </c>
      <c r="I6" s="258" t="n">
        <v>1341408.9</v>
      </c>
    </row>
    <row r="7" ht="15" customHeight="1" s="226">
      <c r="A7" s="260" t="inlineStr">
        <is>
          <t>Брянская область</t>
        </is>
      </c>
      <c r="B7" s="261" t="n">
        <v>316489.4</v>
      </c>
      <c r="C7" s="262" t="n">
        <v>341177.8</v>
      </c>
      <c r="D7" s="262" t="n">
        <v>367157.1</v>
      </c>
      <c r="E7" s="262" t="n">
        <v>399113.8</v>
      </c>
      <c r="F7" s="262" t="n">
        <v>414179.4</v>
      </c>
      <c r="G7" s="262" t="n">
        <v>482669.4</v>
      </c>
      <c r="H7" s="262" t="n">
        <v>547720.9</v>
      </c>
      <c r="I7" s="263" t="n">
        <v>627017.8</v>
      </c>
    </row>
    <row r="8" ht="15" customHeight="1" s="226">
      <c r="A8" s="260" t="inlineStr">
        <is>
          <t>Владимирская область</t>
        </is>
      </c>
      <c r="B8" s="261" t="n">
        <v>431549.8</v>
      </c>
      <c r="C8" s="262" t="n">
        <v>449849.2</v>
      </c>
      <c r="D8" s="262" t="n">
        <v>480027.8</v>
      </c>
      <c r="E8" s="262" t="n">
        <v>535493.4</v>
      </c>
      <c r="F8" s="262" t="n">
        <v>553092.4</v>
      </c>
      <c r="G8" s="262" t="n">
        <v>730328.8</v>
      </c>
      <c r="H8" s="262" t="n">
        <v>779080.5</v>
      </c>
      <c r="I8" s="263" t="n">
        <v>893416.3</v>
      </c>
    </row>
    <row r="9" ht="15" customHeight="1" s="226">
      <c r="A9" s="260" t="inlineStr">
        <is>
          <t>Воронежская область</t>
        </is>
      </c>
      <c r="B9" s="261" t="n">
        <v>827928.6</v>
      </c>
      <c r="C9" s="262" t="n">
        <v>873429.4</v>
      </c>
      <c r="D9" s="262" t="n">
        <v>951292.3</v>
      </c>
      <c r="E9" s="262" t="n">
        <v>1001790.3</v>
      </c>
      <c r="F9" s="262" t="n">
        <v>1062765.4</v>
      </c>
      <c r="G9" s="262" t="n">
        <v>1273851.9</v>
      </c>
      <c r="H9" s="262" t="n">
        <v>1363025.6</v>
      </c>
      <c r="I9" s="263" t="n">
        <v>1494401.9</v>
      </c>
    </row>
    <row r="10" ht="15" customHeight="1" s="226">
      <c r="A10" s="260" t="inlineStr">
        <is>
          <t>Ивановская область</t>
        </is>
      </c>
      <c r="B10" s="261" t="n">
        <v>205818.6</v>
      </c>
      <c r="C10" s="262" t="n">
        <v>212464.7</v>
      </c>
      <c r="D10" s="262" t="n">
        <v>232493.6</v>
      </c>
      <c r="E10" s="262" t="n">
        <v>254968.9</v>
      </c>
      <c r="F10" s="262" t="n">
        <v>269508.8</v>
      </c>
      <c r="G10" s="262" t="n">
        <v>308392.2</v>
      </c>
      <c r="H10" s="262" t="n">
        <v>362816.5</v>
      </c>
      <c r="I10" s="263" t="n">
        <v>435227.7</v>
      </c>
    </row>
    <row r="11" ht="15" customHeight="1" s="226">
      <c r="A11" s="260" t="inlineStr">
        <is>
          <t>Калужская область</t>
        </is>
      </c>
      <c r="B11" s="261" t="n">
        <v>409462.3</v>
      </c>
      <c r="C11" s="262" t="n">
        <v>457052.5</v>
      </c>
      <c r="D11" s="262" t="n">
        <v>507632.2</v>
      </c>
      <c r="E11" s="262" t="n">
        <v>549755.8</v>
      </c>
      <c r="F11" s="262" t="n">
        <v>561895.8</v>
      </c>
      <c r="G11" s="262" t="n">
        <v>671155.5</v>
      </c>
      <c r="H11" s="262" t="n">
        <v>687651.6</v>
      </c>
      <c r="I11" s="263" t="n">
        <v>792281.5</v>
      </c>
    </row>
    <row r="12" ht="15" customHeight="1" s="226">
      <c r="A12" s="260" t="inlineStr">
        <is>
          <t>Костромская область</t>
        </is>
      </c>
      <c r="B12" s="261" t="n">
        <v>170225.1</v>
      </c>
      <c r="C12" s="262" t="n">
        <v>178485.6</v>
      </c>
      <c r="D12" s="262" t="n">
        <v>191812.9</v>
      </c>
      <c r="E12" s="262" t="n">
        <v>203821.4</v>
      </c>
      <c r="F12" s="262" t="n">
        <v>204114.1</v>
      </c>
      <c r="G12" s="262" t="n">
        <v>247508</v>
      </c>
      <c r="H12" s="262" t="n">
        <v>275038.3</v>
      </c>
      <c r="I12" s="263" t="n">
        <v>316018.2</v>
      </c>
    </row>
    <row r="13" ht="15" customHeight="1" s="226">
      <c r="A13" s="260" t="inlineStr">
        <is>
          <t>Курская область</t>
        </is>
      </c>
      <c r="B13" s="261" t="n">
        <v>379011.3</v>
      </c>
      <c r="C13" s="262" t="n">
        <v>404759.8</v>
      </c>
      <c r="D13" s="262" t="n">
        <v>451000.5</v>
      </c>
      <c r="E13" s="262" t="n">
        <v>495864.4</v>
      </c>
      <c r="F13" s="262" t="n">
        <v>523000.5</v>
      </c>
      <c r="G13" s="262" t="n">
        <v>688469.1</v>
      </c>
      <c r="H13" s="262" t="n">
        <v>663507.8</v>
      </c>
      <c r="I13" s="263" t="n">
        <v>747687.1</v>
      </c>
    </row>
    <row r="14" ht="15" customHeight="1" s="226">
      <c r="A14" s="260" t="inlineStr">
        <is>
          <t>Липецкая область</t>
        </is>
      </c>
      <c r="B14" s="261" t="n">
        <v>501263.5</v>
      </c>
      <c r="C14" s="262" t="n">
        <v>522266.2</v>
      </c>
      <c r="D14" s="262" t="n">
        <v>604396.2</v>
      </c>
      <c r="E14" s="262" t="n">
        <v>570022.9</v>
      </c>
      <c r="F14" s="262" t="n">
        <v>618273.1</v>
      </c>
      <c r="G14" s="262" t="n">
        <v>853038.4</v>
      </c>
      <c r="H14" s="262" t="n">
        <v>780138.9</v>
      </c>
      <c r="I14" s="263" t="n">
        <v>950272.5</v>
      </c>
    </row>
    <row r="15" ht="15" customHeight="1" s="226">
      <c r="A15" s="260" t="inlineStr">
        <is>
          <t>Московская область</t>
        </is>
      </c>
      <c r="B15" s="261" t="n">
        <v>4206506</v>
      </c>
      <c r="C15" s="262" t="n">
        <v>4290261.2</v>
      </c>
      <c r="D15" s="262" t="n">
        <v>4644635</v>
      </c>
      <c r="E15" s="262" t="n">
        <v>5196136.4</v>
      </c>
      <c r="F15" s="262" t="n">
        <v>5406076.5</v>
      </c>
      <c r="G15" s="262" t="n">
        <v>6809951.1</v>
      </c>
      <c r="H15" s="262" t="n">
        <v>7774430</v>
      </c>
      <c r="I15" s="263" t="n">
        <v>9244579.6</v>
      </c>
    </row>
    <row r="16" ht="15" customHeight="1" s="226">
      <c r="A16" s="260" t="inlineStr">
        <is>
          <t>Орловская область</t>
        </is>
      </c>
      <c r="B16" s="261" t="n">
        <v>228583.1</v>
      </c>
      <c r="C16" s="262" t="n">
        <v>231118.4</v>
      </c>
      <c r="D16" s="262" t="n">
        <v>247105.5</v>
      </c>
      <c r="E16" s="262" t="n">
        <v>266655.6</v>
      </c>
      <c r="F16" s="262" t="n">
        <v>282883.7</v>
      </c>
      <c r="G16" s="262" t="n">
        <v>338266.1</v>
      </c>
      <c r="H16" s="262" t="n">
        <v>366295.8</v>
      </c>
      <c r="I16" s="263" t="n">
        <v>398720.4</v>
      </c>
    </row>
    <row r="17" ht="15" customHeight="1" s="226">
      <c r="A17" s="260" t="inlineStr">
        <is>
          <t>Рязанская область</t>
        </is>
      </c>
      <c r="B17" s="261" t="n">
        <v>366211.3</v>
      </c>
      <c r="C17" s="262" t="n">
        <v>395276.9</v>
      </c>
      <c r="D17" s="262" t="n">
        <v>416183.2</v>
      </c>
      <c r="E17" s="262" t="n">
        <v>436417.7</v>
      </c>
      <c r="F17" s="262" t="n">
        <v>461214.6</v>
      </c>
      <c r="G17" s="262" t="n">
        <v>544053.6</v>
      </c>
      <c r="H17" s="262" t="n">
        <v>614419.9</v>
      </c>
      <c r="I17" s="263" t="n">
        <v>692685.4</v>
      </c>
    </row>
    <row r="18" ht="15" customHeight="1" s="226">
      <c r="A18" s="260" t="inlineStr">
        <is>
          <t>Смоленская область</t>
        </is>
      </c>
      <c r="B18" s="261" t="n">
        <v>283725.5</v>
      </c>
      <c r="C18" s="262" t="n">
        <v>313615.8</v>
      </c>
      <c r="D18" s="262" t="n">
        <v>335059.9</v>
      </c>
      <c r="E18" s="262" t="n">
        <v>349237.6</v>
      </c>
      <c r="F18" s="262" t="n">
        <v>365048.1</v>
      </c>
      <c r="G18" s="262" t="n">
        <v>428827.5</v>
      </c>
      <c r="H18" s="262" t="n">
        <v>483282.4</v>
      </c>
      <c r="I18" s="263" t="n">
        <v>556552.9</v>
      </c>
    </row>
    <row r="19" ht="15" customHeight="1" s="226">
      <c r="A19" s="260" t="inlineStr">
        <is>
          <t>Тамбовская область</t>
        </is>
      </c>
      <c r="B19" s="261" t="n">
        <v>320623.4</v>
      </c>
      <c r="C19" s="262" t="n">
        <v>320572.4</v>
      </c>
      <c r="D19" s="262" t="n">
        <v>352202.6</v>
      </c>
      <c r="E19" s="262" t="n">
        <v>353745.5</v>
      </c>
      <c r="F19" s="262" t="n">
        <v>376258.7</v>
      </c>
      <c r="G19" s="262" t="n">
        <v>442996.9</v>
      </c>
      <c r="H19" s="262" t="n">
        <v>452306.1</v>
      </c>
      <c r="I19" s="263" t="n">
        <v>522646.8</v>
      </c>
    </row>
    <row r="20" ht="15" customHeight="1" s="226">
      <c r="A20" s="260" t="inlineStr">
        <is>
          <t>Тверская область</t>
        </is>
      </c>
      <c r="B20" s="261" t="n">
        <v>397438.9</v>
      </c>
      <c r="C20" s="262" t="n">
        <v>420671.5</v>
      </c>
      <c r="D20" s="262" t="n">
        <v>471065.5</v>
      </c>
      <c r="E20" s="262" t="n">
        <v>488367.5</v>
      </c>
      <c r="F20" s="262" t="n">
        <v>486599.1</v>
      </c>
      <c r="G20" s="262" t="n">
        <v>564548.5</v>
      </c>
      <c r="H20" s="262" t="n">
        <v>620842.8</v>
      </c>
      <c r="I20" s="263" t="n">
        <v>750838.4</v>
      </c>
    </row>
    <row r="21" ht="15" customHeight="1" s="226">
      <c r="A21" s="260" t="inlineStr">
        <is>
          <t>Тульская область</t>
        </is>
      </c>
      <c r="B21" s="261" t="n">
        <v>552308.4</v>
      </c>
      <c r="C21" s="262" t="n">
        <v>594407.6</v>
      </c>
      <c r="D21" s="262" t="n">
        <v>666763</v>
      </c>
      <c r="E21" s="262" t="n">
        <v>676822.6</v>
      </c>
      <c r="F21" s="262" t="n">
        <v>713110.4</v>
      </c>
      <c r="G21" s="262" t="n">
        <v>887541.1</v>
      </c>
      <c r="H21" s="262" t="n">
        <v>1002419.4</v>
      </c>
      <c r="I21" s="263" t="n">
        <v>1149160.2</v>
      </c>
    </row>
    <row r="22" ht="15" customHeight="1" s="226">
      <c r="A22" s="260" t="inlineStr">
        <is>
          <t>Ярославская область</t>
        </is>
      </c>
      <c r="B22" s="261" t="n">
        <v>498880.3</v>
      </c>
      <c r="C22" s="262" t="n">
        <v>534549.7</v>
      </c>
      <c r="D22" s="262" t="n">
        <v>583605.3</v>
      </c>
      <c r="E22" s="262" t="n">
        <v>609150.8</v>
      </c>
      <c r="F22" s="262" t="n">
        <v>611748.5</v>
      </c>
      <c r="G22" s="262" t="n">
        <v>695015.4</v>
      </c>
      <c r="H22" s="262" t="n">
        <v>740598.6</v>
      </c>
      <c r="I22" s="263" t="n">
        <v>849769.9</v>
      </c>
    </row>
    <row r="23" ht="15" customHeight="1" s="226">
      <c r="A23" s="260" t="inlineStr">
        <is>
          <t>г.Москва</t>
        </is>
      </c>
      <c r="B23" s="264" t="n">
        <v>15121534.2</v>
      </c>
      <c r="C23" s="265" t="n">
        <v>16538189.5</v>
      </c>
      <c r="D23" s="265" t="n">
        <v>18777726</v>
      </c>
      <c r="E23" s="262" t="n">
        <v>19797064.3</v>
      </c>
      <c r="F23" s="265" t="n">
        <v>20260717.7</v>
      </c>
      <c r="G23" s="265" t="n">
        <v>24265759.9</v>
      </c>
      <c r="H23" s="265" t="n">
        <v>27726392.1</v>
      </c>
      <c r="I23" s="263" t="n">
        <v>32339001.6</v>
      </c>
    </row>
    <row r="24" ht="15" customHeight="1" s="226">
      <c r="A24" s="267" t="inlineStr">
        <is>
          <t>Северо-Западный федеральный округ</t>
        </is>
      </c>
      <c r="B24" s="254" t="n">
        <v>8399737.4</v>
      </c>
      <c r="C24" s="254" t="n">
        <v>8814880.800000001</v>
      </c>
      <c r="D24" s="254" t="n">
        <v>9865793.300000001</v>
      </c>
      <c r="E24" s="254" t="n">
        <v>10577620.1</v>
      </c>
      <c r="F24" s="254" t="n">
        <v>10742733.5</v>
      </c>
      <c r="G24" s="254" t="n">
        <v>16682107</v>
      </c>
      <c r="H24" s="254" t="n">
        <v>18927288.3</v>
      </c>
      <c r="I24" s="254" t="n">
        <v>19262161.6</v>
      </c>
    </row>
    <row r="25" ht="15" customHeight="1" s="226">
      <c r="A25" s="268" t="inlineStr">
        <is>
          <t>Республика Карелия</t>
        </is>
      </c>
      <c r="B25" s="261" t="n">
        <v>248140.4</v>
      </c>
      <c r="C25" s="262" t="n">
        <v>270802.5</v>
      </c>
      <c r="D25" s="262" t="n">
        <v>300977.1</v>
      </c>
      <c r="E25" s="262" t="n">
        <v>319050</v>
      </c>
      <c r="F25" s="262" t="n">
        <v>322803.6</v>
      </c>
      <c r="G25" s="262" t="n">
        <v>447564.1</v>
      </c>
      <c r="H25" s="262" t="n">
        <v>392693.2</v>
      </c>
      <c r="I25" s="263" t="n">
        <v>434291.1</v>
      </c>
    </row>
    <row r="26" ht="15" customHeight="1" s="226">
      <c r="A26" s="268" t="inlineStr">
        <is>
          <t>Республика Коми</t>
        </is>
      </c>
      <c r="B26" s="261" t="n">
        <v>578649.1</v>
      </c>
      <c r="C26" s="262" t="n">
        <v>608574.5</v>
      </c>
      <c r="D26" s="262" t="n">
        <v>696242.2</v>
      </c>
      <c r="E26" s="262" t="n">
        <v>718138.7</v>
      </c>
      <c r="F26" s="262" t="n">
        <v>613266.9</v>
      </c>
      <c r="G26" s="262" t="n">
        <v>869995.8</v>
      </c>
      <c r="H26" s="262" t="n">
        <v>971635</v>
      </c>
      <c r="I26" s="263" t="n">
        <v>1049365.5</v>
      </c>
    </row>
    <row r="27" ht="15" customHeight="1" s="226">
      <c r="A27" s="268" t="inlineStr">
        <is>
          <t>Архангельская область</t>
        </is>
      </c>
      <c r="B27" s="261" t="n">
        <v>713043.9</v>
      </c>
      <c r="C27" s="262" t="n">
        <v>759206.5</v>
      </c>
      <c r="D27" s="262" t="n">
        <v>865723.3</v>
      </c>
      <c r="E27" s="262" t="n">
        <v>889974.4</v>
      </c>
      <c r="F27" s="262" t="n">
        <v>781819</v>
      </c>
      <c r="G27" s="262" t="n">
        <v>1080494.9</v>
      </c>
      <c r="H27" s="262" t="n">
        <v>1189495</v>
      </c>
      <c r="I27" s="263" t="n">
        <v>1263045.1</v>
      </c>
    </row>
    <row r="28" ht="15" customHeight="1" s="226">
      <c r="A28" s="268" t="inlineStr">
        <is>
          <t xml:space="preserve">  в т.ч. Ненецкий авт. округ</t>
        </is>
      </c>
      <c r="B28" s="261" t="n">
        <v>261772.5</v>
      </c>
      <c r="C28" s="262" t="n">
        <v>265790.9</v>
      </c>
      <c r="D28" s="262" t="n">
        <v>320405.7</v>
      </c>
      <c r="E28" s="262" t="n">
        <v>330999</v>
      </c>
      <c r="F28" s="262" t="n">
        <v>230674.3</v>
      </c>
      <c r="G28" s="262" t="n">
        <v>409388.3</v>
      </c>
      <c r="H28" s="262" t="n">
        <v>489207.2</v>
      </c>
      <c r="I28" s="263" t="n">
        <v>501455.5</v>
      </c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1" t="n">
        <v>451271.4</v>
      </c>
      <c r="C29" s="262" t="n">
        <v>493415.6</v>
      </c>
      <c r="D29" s="262" t="n">
        <v>545317.6</v>
      </c>
      <c r="E29" s="262" t="n">
        <v>558975.4</v>
      </c>
      <c r="F29" s="262" t="n">
        <v>551144.7</v>
      </c>
      <c r="G29" s="262" t="n">
        <v>671106.7</v>
      </c>
      <c r="H29" s="262" t="n">
        <v>700287.8</v>
      </c>
      <c r="I29" s="263" t="n">
        <v>761589.6</v>
      </c>
    </row>
    <row r="30" ht="15" customHeight="1" s="226">
      <c r="A30" s="268" t="inlineStr">
        <is>
          <t>Вологодская область</t>
        </is>
      </c>
      <c r="B30" s="261" t="n">
        <v>509931.7</v>
      </c>
      <c r="C30" s="262" t="n">
        <v>542663.4</v>
      </c>
      <c r="D30" s="262" t="n">
        <v>615647.7</v>
      </c>
      <c r="E30" s="262" t="n">
        <v>632759.5</v>
      </c>
      <c r="F30" s="262" t="n">
        <v>624437.1</v>
      </c>
      <c r="G30" s="262" t="n">
        <v>1026496.5</v>
      </c>
      <c r="H30" s="262" t="n">
        <v>1020858.9</v>
      </c>
      <c r="I30" s="263" t="n">
        <v>1081822.9</v>
      </c>
    </row>
    <row r="31" ht="15" customHeight="1" s="226">
      <c r="A31" s="268" t="inlineStr">
        <is>
          <t>Калининградская область</t>
        </is>
      </c>
      <c r="B31" s="261" t="n">
        <v>417094.9</v>
      </c>
      <c r="C31" s="262" t="n">
        <v>446677.6</v>
      </c>
      <c r="D31" s="262" t="n">
        <v>493302.4</v>
      </c>
      <c r="E31" s="262" t="n">
        <v>520951.2</v>
      </c>
      <c r="F31" s="262" t="n">
        <v>549311.2</v>
      </c>
      <c r="G31" s="262" t="n">
        <v>683811.6</v>
      </c>
      <c r="H31" s="262" t="n">
        <v>733450.2</v>
      </c>
      <c r="I31" s="263" t="n">
        <v>785205.9</v>
      </c>
    </row>
    <row r="32" ht="15" customHeight="1" s="226">
      <c r="A32" s="268" t="inlineStr">
        <is>
          <t>Ленинградская область</t>
        </is>
      </c>
      <c r="B32" s="261" t="n">
        <v>953668.3</v>
      </c>
      <c r="C32" s="262" t="n">
        <v>1002543.3</v>
      </c>
      <c r="D32" s="262" t="n">
        <v>1147644.4</v>
      </c>
      <c r="E32" s="262" t="n">
        <v>1223679.6</v>
      </c>
      <c r="F32" s="262" t="n">
        <v>1238641.3</v>
      </c>
      <c r="G32" s="262" t="n">
        <v>1473287.1</v>
      </c>
      <c r="H32" s="262" t="n">
        <v>1660133.9</v>
      </c>
      <c r="I32" s="263" t="n">
        <v>1915187.7</v>
      </c>
    </row>
    <row r="33" ht="15" customHeight="1" s="226">
      <c r="A33" s="268" t="inlineStr">
        <is>
          <t>Мурманская область</t>
        </is>
      </c>
      <c r="B33" s="261" t="n">
        <v>467006.5</v>
      </c>
      <c r="C33" s="262" t="n">
        <v>479352.8</v>
      </c>
      <c r="D33" s="262" t="n">
        <v>521051.5</v>
      </c>
      <c r="E33" s="262" t="n">
        <v>616504.1</v>
      </c>
      <c r="F33" s="262" t="n">
        <v>798450.1</v>
      </c>
      <c r="G33" s="262" t="n">
        <v>1106607.7</v>
      </c>
      <c r="H33" s="262" t="n">
        <v>1152107.7</v>
      </c>
      <c r="I33" s="263" t="n">
        <v>1127497.3</v>
      </c>
    </row>
    <row r="34" ht="15" customHeight="1" s="226">
      <c r="A34" s="268" t="inlineStr">
        <is>
          <t>Новгородская область</t>
        </is>
      </c>
      <c r="B34" s="261" t="n">
        <v>253056.8</v>
      </c>
      <c r="C34" s="262" t="n">
        <v>256165.8</v>
      </c>
      <c r="D34" s="262" t="n">
        <v>259255.8</v>
      </c>
      <c r="E34" s="262" t="n">
        <v>273808</v>
      </c>
      <c r="F34" s="262" t="n">
        <v>279689.3</v>
      </c>
      <c r="G34" s="262" t="n">
        <v>345664.3</v>
      </c>
      <c r="H34" s="262" t="n">
        <v>377578.5</v>
      </c>
      <c r="I34" s="263" t="n">
        <v>408968.1</v>
      </c>
    </row>
    <row r="35" ht="15" customHeight="1" s="226">
      <c r="A35" s="268" t="inlineStr">
        <is>
          <t>Псковская область</t>
        </is>
      </c>
      <c r="B35" s="261" t="n">
        <v>159206.1</v>
      </c>
      <c r="C35" s="262" t="n">
        <v>165858.1</v>
      </c>
      <c r="D35" s="262" t="n">
        <v>180730.3</v>
      </c>
      <c r="E35" s="262" t="n">
        <v>196625.3</v>
      </c>
      <c r="F35" s="262" t="n">
        <v>201756.7</v>
      </c>
      <c r="G35" s="262" t="n">
        <v>227739.7</v>
      </c>
      <c r="H35" s="262" t="n">
        <v>255842.8</v>
      </c>
      <c r="I35" s="263" t="n">
        <v>288750</v>
      </c>
    </row>
    <row r="36" ht="15" customHeight="1" s="226">
      <c r="A36" s="268" t="inlineStr">
        <is>
          <t>г.Санкт-Петербург</t>
        </is>
      </c>
      <c r="B36" s="285" t="n">
        <v>4099939.7</v>
      </c>
      <c r="C36" s="270" t="n">
        <v>4283036.3</v>
      </c>
      <c r="D36" s="270" t="n">
        <v>4785218.6</v>
      </c>
      <c r="E36" s="262" t="n">
        <v>5186129.3</v>
      </c>
      <c r="F36" s="270" t="n">
        <v>5332558.3</v>
      </c>
      <c r="G36" s="270" t="n">
        <v>9420445.300000001</v>
      </c>
      <c r="H36" s="270" t="n">
        <v>11173493.1</v>
      </c>
      <c r="I36" s="263" t="n">
        <v>10908028</v>
      </c>
    </row>
    <row r="37" ht="15" customHeight="1" s="226">
      <c r="A37" s="272" t="inlineStr">
        <is>
          <t>Южный федеральный округ</t>
        </is>
      </c>
      <c r="B37" s="254" t="n">
        <v>5448896.2</v>
      </c>
      <c r="C37" s="254" t="n">
        <v>5833454.2</v>
      </c>
      <c r="D37" s="254" t="n">
        <v>6320333</v>
      </c>
      <c r="E37" s="254" t="n">
        <v>6611731.6</v>
      </c>
      <c r="F37" s="254" t="n">
        <v>6783875.1</v>
      </c>
      <c r="G37" s="254" t="n">
        <v>8131122.2</v>
      </c>
      <c r="H37" s="254" t="n">
        <v>9771228.1</v>
      </c>
      <c r="I37" s="254" t="n">
        <v>10993340.8</v>
      </c>
    </row>
    <row r="38" ht="15" customHeight="1" s="226">
      <c r="A38" s="268" t="inlineStr">
        <is>
          <t>Республика Адыгея</t>
        </is>
      </c>
      <c r="B38" s="286" t="n">
        <v>101102.7</v>
      </c>
      <c r="C38" s="273" t="n">
        <v>109714.5</v>
      </c>
      <c r="D38" s="273" t="n">
        <v>119961.8</v>
      </c>
      <c r="E38" s="262" t="n">
        <v>131125.8</v>
      </c>
      <c r="F38" s="273" t="n">
        <v>142913.5</v>
      </c>
      <c r="G38" s="273" t="n">
        <v>171386.1</v>
      </c>
      <c r="H38" s="273" t="n">
        <v>191559.8</v>
      </c>
      <c r="I38" s="263" t="n">
        <v>223013</v>
      </c>
    </row>
    <row r="39" ht="15" customHeight="1" s="226">
      <c r="A39" s="268" t="inlineStr">
        <is>
          <t>Республика Калмыкия</t>
        </is>
      </c>
      <c r="B39" s="261" t="n">
        <v>69564.2</v>
      </c>
      <c r="C39" s="262" t="n">
        <v>80126.89999999999</v>
      </c>
      <c r="D39" s="262" t="n">
        <v>86107.10000000001</v>
      </c>
      <c r="E39" s="262" t="n">
        <v>88986.89999999999</v>
      </c>
      <c r="F39" s="262" t="n">
        <v>94025.89999999999</v>
      </c>
      <c r="G39" s="262" t="n">
        <v>102377.2</v>
      </c>
      <c r="H39" s="262" t="n">
        <v>119775.6</v>
      </c>
      <c r="I39" s="263" t="n">
        <v>166710.2</v>
      </c>
    </row>
    <row r="40" ht="15" customHeight="1" s="226">
      <c r="A40" s="268" t="inlineStr">
        <is>
          <t>Республика Крым</t>
        </is>
      </c>
      <c r="B40" s="261" t="n">
        <v>362671.7</v>
      </c>
      <c r="C40" s="262" t="n">
        <v>384983.4</v>
      </c>
      <c r="D40" s="262" t="n">
        <v>437438</v>
      </c>
      <c r="E40" s="262" t="n">
        <v>475525.3</v>
      </c>
      <c r="F40" s="262" t="n">
        <v>517147.3</v>
      </c>
      <c r="G40" s="262" t="n">
        <v>614282.9</v>
      </c>
      <c r="H40" s="262" t="n">
        <v>652451.7</v>
      </c>
      <c r="I40" s="263" t="n">
        <v>722497.8</v>
      </c>
    </row>
    <row r="41" ht="15" customHeight="1" s="226">
      <c r="A41" s="268" t="inlineStr">
        <is>
          <t>Краснодарский край</t>
        </is>
      </c>
      <c r="B41" s="261" t="n">
        <v>2257074.5</v>
      </c>
      <c r="C41" s="262" t="n">
        <v>2422752.7</v>
      </c>
      <c r="D41" s="262" t="n">
        <v>2499915.5</v>
      </c>
      <c r="E41" s="262" t="n">
        <v>2577131.1</v>
      </c>
      <c r="F41" s="262" t="n">
        <v>2667228.2</v>
      </c>
      <c r="G41" s="262" t="n">
        <v>3280988.8</v>
      </c>
      <c r="H41" s="262" t="n">
        <v>4289164.5</v>
      </c>
      <c r="I41" s="263" t="n">
        <v>4772036</v>
      </c>
    </row>
    <row r="42" ht="15" customHeight="1" s="226">
      <c r="A42" s="268" t="inlineStr">
        <is>
          <t>Астраханская область</t>
        </is>
      </c>
      <c r="B42" s="261" t="n">
        <v>368485.4</v>
      </c>
      <c r="C42" s="262" t="n">
        <v>442608.8</v>
      </c>
      <c r="D42" s="262" t="n">
        <v>579210</v>
      </c>
      <c r="E42" s="262" t="n">
        <v>601811.2</v>
      </c>
      <c r="F42" s="262" t="n">
        <v>527290.2</v>
      </c>
      <c r="G42" s="262" t="n">
        <v>663770.6</v>
      </c>
      <c r="H42" s="262" t="n">
        <v>763880.4</v>
      </c>
      <c r="I42" s="263" t="n">
        <v>777718.3</v>
      </c>
    </row>
    <row r="43" ht="15" customHeight="1" s="226">
      <c r="A43" s="268" t="inlineStr">
        <is>
          <t>Волгоградская область</t>
        </is>
      </c>
      <c r="B43" s="261" t="n">
        <v>825586.5</v>
      </c>
      <c r="C43" s="262" t="n">
        <v>850263.7</v>
      </c>
      <c r="D43" s="262" t="n">
        <v>927811.7</v>
      </c>
      <c r="E43" s="262" t="n">
        <v>963214.4</v>
      </c>
      <c r="F43" s="262" t="n">
        <v>977707.7</v>
      </c>
      <c r="G43" s="262" t="n">
        <v>1067376.2</v>
      </c>
      <c r="H43" s="262" t="n">
        <v>1208235.4</v>
      </c>
      <c r="I43" s="263" t="n">
        <v>1384980.9</v>
      </c>
    </row>
    <row r="44" ht="15" customHeight="1" s="226">
      <c r="A44" s="268" t="inlineStr">
        <is>
          <t>Ростовская область</t>
        </is>
      </c>
      <c r="B44" s="261" t="n">
        <v>1375107.4</v>
      </c>
      <c r="C44" s="262" t="n">
        <v>1441723.3</v>
      </c>
      <c r="D44" s="262" t="n">
        <v>1548222.9</v>
      </c>
      <c r="E44" s="262" t="n">
        <v>1636017.5</v>
      </c>
      <c r="F44" s="262" t="n">
        <v>1714576.7</v>
      </c>
      <c r="G44" s="262" t="n">
        <v>2042953.9</v>
      </c>
      <c r="H44" s="262" t="n">
        <v>2317782</v>
      </c>
      <c r="I44" s="263" t="n">
        <v>2693193</v>
      </c>
    </row>
    <row r="45" ht="15" customHeight="1" s="226">
      <c r="A45" s="268" t="inlineStr">
        <is>
          <t>г.Севастополь</t>
        </is>
      </c>
      <c r="B45" s="261" t="n">
        <v>89303.8</v>
      </c>
      <c r="C45" s="262" t="n">
        <v>101280.9</v>
      </c>
      <c r="D45" s="262" t="n">
        <v>121666</v>
      </c>
      <c r="E45" s="262" t="n">
        <v>137919.4</v>
      </c>
      <c r="F45" s="262" t="n">
        <v>142985.6</v>
      </c>
      <c r="G45" s="262" t="n">
        <v>187986.5</v>
      </c>
      <c r="H45" s="262" t="n">
        <v>228378.7</v>
      </c>
      <c r="I45" s="263" t="n">
        <v>253191.6</v>
      </c>
    </row>
    <row r="46" ht="15" customHeight="1" s="226">
      <c r="A46" s="267" t="inlineStr">
        <is>
          <t>Северо-Кавказский федеральный округ</t>
        </is>
      </c>
      <c r="B46" s="275" t="n">
        <v>1970260.4</v>
      </c>
      <c r="C46" s="275" t="n">
        <v>2042468.3</v>
      </c>
      <c r="D46" s="275" t="n">
        <v>2159836.5</v>
      </c>
      <c r="E46" s="254" t="n">
        <v>2294816.6</v>
      </c>
      <c r="F46" s="254" t="n">
        <v>2364953.1</v>
      </c>
      <c r="G46" s="275" t="n">
        <v>2710364.8</v>
      </c>
      <c r="H46" s="275" t="n">
        <v>3044752.2</v>
      </c>
      <c r="I46" s="254" t="n">
        <v>3568997.3</v>
      </c>
    </row>
    <row r="47" ht="15" customHeight="1" s="226">
      <c r="A47" s="268" t="inlineStr">
        <is>
          <t>Республика Дагестан</t>
        </is>
      </c>
      <c r="B47" s="261" t="n">
        <v>617587.6</v>
      </c>
      <c r="C47" s="262" t="n">
        <v>639513.3</v>
      </c>
      <c r="D47" s="262" t="n">
        <v>676060.8</v>
      </c>
      <c r="E47" s="262" t="n">
        <v>713723.6</v>
      </c>
      <c r="F47" s="262" t="n">
        <v>740798.8</v>
      </c>
      <c r="G47" s="262" t="n">
        <v>802523.3</v>
      </c>
      <c r="H47" s="262" t="n">
        <v>876956.5</v>
      </c>
      <c r="I47" s="263" t="n">
        <v>1034705.4</v>
      </c>
    </row>
    <row r="48" ht="15" customHeight="1" s="226">
      <c r="A48" s="268" t="inlineStr">
        <is>
          <t>Республика Ингушетия</t>
        </is>
      </c>
      <c r="B48" s="261" t="n">
        <v>58141.5</v>
      </c>
      <c r="C48" s="262" t="n">
        <v>60855.8</v>
      </c>
      <c r="D48" s="262" t="n">
        <v>67468.2</v>
      </c>
      <c r="E48" s="262" t="n">
        <v>73791.60000000001</v>
      </c>
      <c r="F48" s="262" t="n">
        <v>70857.39999999999</v>
      </c>
      <c r="G48" s="262" t="n">
        <v>71831.7</v>
      </c>
      <c r="H48" s="262" t="n">
        <v>83872.5</v>
      </c>
      <c r="I48" s="263" t="n">
        <v>95319.7</v>
      </c>
    </row>
    <row r="49" ht="15" customHeight="1" s="226">
      <c r="A49" s="268" t="inlineStr">
        <is>
          <t>Кабардино-Балкарская Республика</t>
        </is>
      </c>
      <c r="B49" s="261" t="n">
        <v>152970.8</v>
      </c>
      <c r="C49" s="262" t="n">
        <v>155221.8</v>
      </c>
      <c r="D49" s="262" t="n">
        <v>161577.5</v>
      </c>
      <c r="E49" s="262" t="n">
        <v>171544.7</v>
      </c>
      <c r="F49" s="262" t="n">
        <v>180077.5</v>
      </c>
      <c r="G49" s="262" t="n">
        <v>212776.9</v>
      </c>
      <c r="H49" s="262" t="n">
        <v>246552.8</v>
      </c>
      <c r="I49" s="263" t="n">
        <v>291100.4</v>
      </c>
    </row>
    <row r="50" ht="15" customHeight="1" s="226">
      <c r="A50" s="268" t="inlineStr">
        <is>
          <t>Карачаево-Черкесская Республика</t>
        </is>
      </c>
      <c r="B50" s="261" t="n">
        <v>78521.10000000001</v>
      </c>
      <c r="C50" s="262" t="n">
        <v>82765.60000000001</v>
      </c>
      <c r="D50" s="262" t="n">
        <v>85737.89999999999</v>
      </c>
      <c r="E50" s="262" t="n">
        <v>91430</v>
      </c>
      <c r="F50" s="262" t="n">
        <v>95297.10000000001</v>
      </c>
      <c r="G50" s="262" t="n">
        <v>108591.7</v>
      </c>
      <c r="H50" s="262" t="n">
        <v>123939.3</v>
      </c>
      <c r="I50" s="263" t="n">
        <v>143310.6</v>
      </c>
    </row>
    <row r="51" ht="15" customHeight="1" s="226">
      <c r="A51" s="268" t="inlineStr">
        <is>
          <t>Республика Северная Осетия-Алания</t>
        </is>
      </c>
      <c r="B51" s="261" t="n">
        <v>148810.1</v>
      </c>
      <c r="C51" s="262" t="n">
        <v>152526.4</v>
      </c>
      <c r="D51" s="262" t="n">
        <v>161092.7</v>
      </c>
      <c r="E51" s="262" t="n">
        <v>173459.4</v>
      </c>
      <c r="F51" s="262" t="n">
        <v>179159</v>
      </c>
      <c r="G51" s="262" t="n">
        <v>197993.1</v>
      </c>
      <c r="H51" s="262" t="n">
        <v>221180.7</v>
      </c>
      <c r="I51" s="263" t="n">
        <v>266555.8</v>
      </c>
    </row>
    <row r="52" ht="15" customHeight="1" s="226">
      <c r="A52" s="268" t="inlineStr">
        <is>
          <t>Чеченская Республика</t>
        </is>
      </c>
      <c r="B52" s="261" t="n">
        <v>201634.8</v>
      </c>
      <c r="C52" s="262" t="n">
        <v>215975.9</v>
      </c>
      <c r="D52" s="262" t="n">
        <v>223853.7</v>
      </c>
      <c r="E52" s="262" t="n">
        <v>241643.4</v>
      </c>
      <c r="F52" s="262" t="n">
        <v>251873.2</v>
      </c>
      <c r="G52" s="262" t="n">
        <v>278784.6</v>
      </c>
      <c r="H52" s="262" t="n">
        <v>314434.5</v>
      </c>
      <c r="I52" s="263" t="n">
        <v>397223.4</v>
      </c>
    </row>
    <row r="53" ht="15" customHeight="1" s="226">
      <c r="A53" s="268" t="inlineStr">
        <is>
          <t>Ставропольский край</t>
        </is>
      </c>
      <c r="B53" s="261" t="n">
        <v>712594.5</v>
      </c>
      <c r="C53" s="262" t="n">
        <v>735609.5</v>
      </c>
      <c r="D53" s="262" t="n">
        <v>784045.7</v>
      </c>
      <c r="E53" s="262" t="n">
        <v>829223.9</v>
      </c>
      <c r="F53" s="262" t="n">
        <v>846890.1</v>
      </c>
      <c r="G53" s="262" t="n">
        <v>1037863.5</v>
      </c>
      <c r="H53" s="262" t="n">
        <v>1177815.9</v>
      </c>
      <c r="I53" s="263" t="n">
        <v>1340782</v>
      </c>
    </row>
    <row r="54" ht="15" customHeight="1" s="226">
      <c r="A54" s="276" t="inlineStr">
        <is>
          <t>Приволжский федеральный округ</t>
        </is>
      </c>
      <c r="B54" s="275" t="n">
        <v>11078328.3</v>
      </c>
      <c r="C54" s="275" t="n">
        <v>11822590.9</v>
      </c>
      <c r="D54" s="275" t="n">
        <v>13330797</v>
      </c>
      <c r="E54" s="254" t="n">
        <v>14103743.8</v>
      </c>
      <c r="F54" s="254" t="n">
        <v>13655382</v>
      </c>
      <c r="G54" s="275" t="n">
        <v>17158637.5</v>
      </c>
      <c r="H54" s="275" t="n">
        <v>19514756.3</v>
      </c>
      <c r="I54" s="254" t="n">
        <v>22012826.5</v>
      </c>
    </row>
    <row r="55" ht="15" customHeight="1" s="226">
      <c r="A55" s="277" t="inlineStr">
        <is>
          <t>Республика Башкортостан</t>
        </is>
      </c>
      <c r="B55" s="261" t="n">
        <v>1421517.6</v>
      </c>
      <c r="C55" s="262" t="n">
        <v>1487892.2</v>
      </c>
      <c r="D55" s="262" t="n">
        <v>1739362.9</v>
      </c>
      <c r="E55" s="262" t="n">
        <v>1803321.7</v>
      </c>
      <c r="F55" s="262" t="n">
        <v>1694189.7</v>
      </c>
      <c r="G55" s="262" t="n">
        <v>2016023.7</v>
      </c>
      <c r="H55" s="262" t="n">
        <v>2217066.7</v>
      </c>
      <c r="I55" s="263" t="n">
        <v>2460269.4</v>
      </c>
    </row>
    <row r="56" ht="15" customHeight="1" s="226">
      <c r="A56" s="277" t="inlineStr">
        <is>
          <t>Республика Марий Эл</t>
        </is>
      </c>
      <c r="B56" s="261" t="n">
        <v>170890.5</v>
      </c>
      <c r="C56" s="262" t="n">
        <v>178193.2</v>
      </c>
      <c r="D56" s="262" t="n">
        <v>192690.3</v>
      </c>
      <c r="E56" s="262" t="n">
        <v>203282.1</v>
      </c>
      <c r="F56" s="262" t="n">
        <v>197948.7</v>
      </c>
      <c r="G56" s="262" t="n">
        <v>226451.5</v>
      </c>
      <c r="H56" s="262" t="n">
        <v>252741.9</v>
      </c>
      <c r="I56" s="263" t="n">
        <v>304473.1</v>
      </c>
    </row>
    <row r="57" ht="15" customHeight="1" s="226">
      <c r="A57" s="277" t="inlineStr">
        <is>
          <t>Республика Мордовия</t>
        </is>
      </c>
      <c r="B57" s="261" t="n">
        <v>223297.8</v>
      </c>
      <c r="C57" s="262" t="n">
        <v>236090.8</v>
      </c>
      <c r="D57" s="262" t="n">
        <v>245675.6</v>
      </c>
      <c r="E57" s="262" t="n">
        <v>262760.6</v>
      </c>
      <c r="F57" s="262" t="n">
        <v>266387</v>
      </c>
      <c r="G57" s="262" t="n">
        <v>304167.2</v>
      </c>
      <c r="H57" s="262" t="n">
        <v>338912.4</v>
      </c>
      <c r="I57" s="263" t="n">
        <v>396833</v>
      </c>
    </row>
    <row r="58" ht="15" customHeight="1" s="226">
      <c r="A58" s="277" t="inlineStr">
        <is>
          <t>Республика Татарстан</t>
        </is>
      </c>
      <c r="B58" s="261" t="n">
        <v>2058139.9</v>
      </c>
      <c r="C58" s="262" t="n">
        <v>2264655.8</v>
      </c>
      <c r="D58" s="262" t="n">
        <v>2622773.9</v>
      </c>
      <c r="E58" s="262" t="n">
        <v>2808753.3</v>
      </c>
      <c r="F58" s="262" t="n">
        <v>2631286.8</v>
      </c>
      <c r="G58" s="262" t="n">
        <v>3533272.5</v>
      </c>
      <c r="H58" s="262" t="n">
        <v>4144697.3</v>
      </c>
      <c r="I58" s="263" t="n">
        <v>4583352.3</v>
      </c>
    </row>
    <row r="59" ht="15" customHeight="1" s="226">
      <c r="A59" s="277" t="inlineStr">
        <is>
          <t>Удмуртская Республика</t>
        </is>
      </c>
      <c r="B59" s="261" t="n">
        <v>570254.8</v>
      </c>
      <c r="C59" s="262" t="n">
        <v>592037.6</v>
      </c>
      <c r="D59" s="262" t="n">
        <v>679938.9</v>
      </c>
      <c r="E59" s="262" t="n">
        <v>722846</v>
      </c>
      <c r="F59" s="262" t="n">
        <v>684430.6</v>
      </c>
      <c r="G59" s="262" t="n">
        <v>867612.5</v>
      </c>
      <c r="H59" s="262" t="n">
        <v>965539.8</v>
      </c>
      <c r="I59" s="263" t="n">
        <v>1102900.3</v>
      </c>
    </row>
    <row r="60" ht="15" customHeight="1" s="226">
      <c r="A60" s="277" t="inlineStr">
        <is>
          <t>Чувашская Республика</t>
        </is>
      </c>
      <c r="B60" s="261" t="n">
        <v>284659.1</v>
      </c>
      <c r="C60" s="262" t="n">
        <v>296505.8</v>
      </c>
      <c r="D60" s="262" t="n">
        <v>316622.9</v>
      </c>
      <c r="E60" s="262" t="n">
        <v>339490.4</v>
      </c>
      <c r="F60" s="262" t="n">
        <v>346046.4</v>
      </c>
      <c r="G60" s="262" t="n">
        <v>399899.3</v>
      </c>
      <c r="H60" s="262" t="n">
        <v>489177.6</v>
      </c>
      <c r="I60" s="263" t="n">
        <v>601316.7</v>
      </c>
    </row>
    <row r="61" ht="15" customHeight="1" s="226">
      <c r="A61" s="268" t="inlineStr">
        <is>
          <t>Пермский край</t>
        </is>
      </c>
      <c r="B61" s="261" t="n">
        <v>1147634</v>
      </c>
      <c r="C61" s="262" t="n">
        <v>1245826.9</v>
      </c>
      <c r="D61" s="262" t="n">
        <v>1422704.6</v>
      </c>
      <c r="E61" s="262" t="n">
        <v>1496401.4</v>
      </c>
      <c r="F61" s="262" t="n">
        <v>1385352.5</v>
      </c>
      <c r="G61" s="262" t="n">
        <v>1765366.6</v>
      </c>
      <c r="H61" s="262" t="n">
        <v>1997004.2</v>
      </c>
      <c r="I61" s="263" t="n">
        <v>2197280.1</v>
      </c>
    </row>
    <row r="62" ht="15" customHeight="1" s="226">
      <c r="A62" s="268" t="inlineStr">
        <is>
          <t>Кировская область</t>
        </is>
      </c>
      <c r="B62" s="261" t="n">
        <v>313533.8</v>
      </c>
      <c r="C62" s="262" t="n">
        <v>331754.4</v>
      </c>
      <c r="D62" s="262" t="n">
        <v>353265.5</v>
      </c>
      <c r="E62" s="262" t="n">
        <v>370472.6</v>
      </c>
      <c r="F62" s="262" t="n">
        <v>396946.8</v>
      </c>
      <c r="G62" s="262" t="n">
        <v>488594.5</v>
      </c>
      <c r="H62" s="262" t="n">
        <v>548013.8</v>
      </c>
      <c r="I62" s="263" t="n">
        <v>605915.5</v>
      </c>
    </row>
    <row r="63" ht="15" customHeight="1" s="226">
      <c r="A63" s="268" t="inlineStr">
        <is>
          <t>Нижегородская область</t>
        </is>
      </c>
      <c r="B63" s="261" t="n">
        <v>1282751.7</v>
      </c>
      <c r="C63" s="262" t="n">
        <v>1387920.9</v>
      </c>
      <c r="D63" s="262" t="n">
        <v>1502156.2</v>
      </c>
      <c r="E63" s="262" t="n">
        <v>1617171.7</v>
      </c>
      <c r="F63" s="262" t="n">
        <v>1600333.4</v>
      </c>
      <c r="G63" s="262" t="n">
        <v>1931254.1</v>
      </c>
      <c r="H63" s="262" t="n">
        <v>2277255.2</v>
      </c>
      <c r="I63" s="263" t="n">
        <v>2672241.8</v>
      </c>
    </row>
    <row r="64" ht="15" customHeight="1" s="226">
      <c r="A64" s="268" t="inlineStr">
        <is>
          <t>Оренбургская область</t>
        </is>
      </c>
      <c r="B64" s="261" t="n">
        <v>814765.4</v>
      </c>
      <c r="C64" s="262" t="n">
        <v>872857.1</v>
      </c>
      <c r="D64" s="262" t="n">
        <v>1058504.8</v>
      </c>
      <c r="E64" s="262" t="n">
        <v>1106329.3</v>
      </c>
      <c r="F64" s="262" t="n">
        <v>1046728.3</v>
      </c>
      <c r="G64" s="262" t="n">
        <v>1409921</v>
      </c>
      <c r="H64" s="262" t="n">
        <v>1565767.7</v>
      </c>
      <c r="I64" s="263" t="n">
        <v>1763998.8</v>
      </c>
    </row>
    <row r="65" ht="15" customHeight="1" s="226">
      <c r="A65" s="268" t="inlineStr">
        <is>
          <t>Пензенская область</t>
        </is>
      </c>
      <c r="B65" s="261" t="n">
        <v>358258.2</v>
      </c>
      <c r="C65" s="262" t="n">
        <v>376076.2</v>
      </c>
      <c r="D65" s="262" t="n">
        <v>411028.7</v>
      </c>
      <c r="E65" s="262" t="n">
        <v>448521.1</v>
      </c>
      <c r="F65" s="262" t="n">
        <v>484785.4</v>
      </c>
      <c r="G65" s="262" t="n">
        <v>540115.8</v>
      </c>
      <c r="H65" s="262" t="n">
        <v>588291.7</v>
      </c>
      <c r="I65" s="263" t="n">
        <v>659002.8</v>
      </c>
    </row>
    <row r="66" ht="15" customHeight="1" s="226">
      <c r="A66" s="268" t="inlineStr">
        <is>
          <t>Самарская область</t>
        </is>
      </c>
      <c r="B66" s="261" t="n">
        <v>1364822.2</v>
      </c>
      <c r="C66" s="262" t="n">
        <v>1449005.7</v>
      </c>
      <c r="D66" s="262" t="n">
        <v>1625558.7</v>
      </c>
      <c r="E66" s="262" t="n">
        <v>1689575.4</v>
      </c>
      <c r="F66" s="262" t="n">
        <v>1625461.8</v>
      </c>
      <c r="G66" s="262" t="n">
        <v>2157662</v>
      </c>
      <c r="H66" s="262" t="n">
        <v>2367618.4</v>
      </c>
      <c r="I66" s="263" t="n">
        <v>2646488.2</v>
      </c>
    </row>
    <row r="67" ht="15" customHeight="1" s="226">
      <c r="A67" s="277" t="inlineStr">
        <is>
          <t>Саратовская область</t>
        </is>
      </c>
      <c r="B67" s="261" t="n">
        <v>700848.6</v>
      </c>
      <c r="C67" s="262" t="n">
        <v>728946.4</v>
      </c>
      <c r="D67" s="262" t="n">
        <v>773838.6</v>
      </c>
      <c r="E67" s="262" t="n">
        <v>809822.6</v>
      </c>
      <c r="F67" s="262" t="n">
        <v>856515.7</v>
      </c>
      <c r="G67" s="262" t="n">
        <v>1009797.7</v>
      </c>
      <c r="H67" s="262" t="n">
        <v>1176232</v>
      </c>
      <c r="I67" s="263" t="n">
        <v>1345119</v>
      </c>
    </row>
    <row r="68" ht="15" customHeight="1" s="226">
      <c r="A68" s="277" t="inlineStr">
        <is>
          <t>Ульяновская область</t>
        </is>
      </c>
      <c r="B68" s="261" t="n">
        <v>366954.7</v>
      </c>
      <c r="C68" s="262" t="n">
        <v>374827.9</v>
      </c>
      <c r="D68" s="262" t="n">
        <v>386675.4</v>
      </c>
      <c r="E68" s="262" t="n">
        <v>424995.6</v>
      </c>
      <c r="F68" s="262" t="n">
        <v>438968.9</v>
      </c>
      <c r="G68" s="262" t="n">
        <v>508499.1</v>
      </c>
      <c r="H68" s="262" t="n">
        <v>586437.6</v>
      </c>
      <c r="I68" s="263" t="n">
        <v>673635.5</v>
      </c>
    </row>
    <row r="69" ht="15" customHeight="1" s="226">
      <c r="A69" s="267" t="inlineStr">
        <is>
          <t>Уральский федеральный округ</t>
        </is>
      </c>
      <c r="B69" s="275" t="n">
        <v>9770442.699999999</v>
      </c>
      <c r="C69" s="275" t="n">
        <v>10983195</v>
      </c>
      <c r="D69" s="275" t="n">
        <v>13035608.4</v>
      </c>
      <c r="E69" s="254" t="n">
        <v>13272019.3</v>
      </c>
      <c r="F69" s="254" t="n">
        <v>11636178.1</v>
      </c>
      <c r="G69" s="275" t="n">
        <v>16913972.2</v>
      </c>
      <c r="H69" s="275" t="n">
        <v>19917472.6</v>
      </c>
      <c r="I69" s="254" t="n">
        <v>23044267.6</v>
      </c>
    </row>
    <row r="70" ht="15" customHeight="1" s="226">
      <c r="A70" s="278" t="inlineStr">
        <is>
          <t>Курганская область</t>
        </is>
      </c>
      <c r="B70" s="261" t="n">
        <v>202100.4</v>
      </c>
      <c r="C70" s="262" t="n">
        <v>209985.5</v>
      </c>
      <c r="D70" s="262" t="n">
        <v>215589.9</v>
      </c>
      <c r="E70" s="262" t="n">
        <v>236825.8</v>
      </c>
      <c r="F70" s="262" t="n">
        <v>240188.2</v>
      </c>
      <c r="G70" s="262" t="n">
        <v>272175.2</v>
      </c>
      <c r="H70" s="262" t="n">
        <v>336231.3</v>
      </c>
      <c r="I70" s="263" t="n">
        <v>380466.7</v>
      </c>
    </row>
    <row r="71" ht="15" customHeight="1" s="226">
      <c r="A71" s="278" t="inlineStr">
        <is>
          <t>Свердловская область</t>
        </is>
      </c>
      <c r="B71" s="261" t="n">
        <v>2109619.1</v>
      </c>
      <c r="C71" s="262" t="n">
        <v>2259526</v>
      </c>
      <c r="D71" s="262" t="n">
        <v>2423689.4</v>
      </c>
      <c r="E71" s="262" t="n">
        <v>2535215</v>
      </c>
      <c r="F71" s="262" t="n">
        <v>2512654.9</v>
      </c>
      <c r="G71" s="262" t="n">
        <v>3083947.1</v>
      </c>
      <c r="H71" s="262" t="n">
        <v>3443588.6</v>
      </c>
      <c r="I71" s="263" t="n">
        <v>4128119.1</v>
      </c>
    </row>
    <row r="72" ht="15" customHeight="1" s="226">
      <c r="A72" s="278" t="inlineStr">
        <is>
          <t>Тюменская область</t>
        </is>
      </c>
      <c r="B72" s="261" t="n">
        <v>6125961.8</v>
      </c>
      <c r="C72" s="262" t="n">
        <v>7097070.2</v>
      </c>
      <c r="D72" s="262" t="n">
        <v>8875003.699999999</v>
      </c>
      <c r="E72" s="262" t="n">
        <v>8952460.5</v>
      </c>
      <c r="F72" s="262" t="n">
        <v>7280595.6</v>
      </c>
      <c r="G72" s="262" t="n">
        <v>11492922.3</v>
      </c>
      <c r="H72" s="262" t="n">
        <v>13908749.1</v>
      </c>
      <c r="I72" s="263" t="n">
        <v>15946597.2</v>
      </c>
    </row>
    <row r="73" ht="15" customHeight="1" s="226">
      <c r="A73" s="268" t="inlineStr">
        <is>
          <t xml:space="preserve">   в т.ч. Ханты-Мансийский автономный округ-Югра</t>
        </is>
      </c>
      <c r="B73" s="261" t="n">
        <v>3130196.4</v>
      </c>
      <c r="C73" s="262" t="n">
        <v>3557367.1</v>
      </c>
      <c r="D73" s="262" t="n">
        <v>4506739.7</v>
      </c>
      <c r="E73" s="262" t="n">
        <v>4558879.8</v>
      </c>
      <c r="F73" s="262" t="n">
        <v>3341832</v>
      </c>
      <c r="G73" s="262" t="n">
        <v>5700228.3</v>
      </c>
      <c r="H73" s="262" t="n">
        <v>6880235.3</v>
      </c>
      <c r="I73" s="263" t="n">
        <v>8628903.5</v>
      </c>
    </row>
    <row r="74" ht="15" customHeight="1" s="226">
      <c r="A74" s="268" t="inlineStr">
        <is>
          <t xml:space="preserve">           Ямало-Ненецкий автономный округ</t>
        </is>
      </c>
      <c r="B74" s="261" t="n">
        <v>2028234.6</v>
      </c>
      <c r="C74" s="262" t="n">
        <v>2456293.7</v>
      </c>
      <c r="D74" s="262" t="n">
        <v>3051613.1</v>
      </c>
      <c r="E74" s="262" t="n">
        <v>3158827.6</v>
      </c>
      <c r="F74" s="262" t="n">
        <v>2767734.5</v>
      </c>
      <c r="G74" s="262" t="n">
        <v>4219244.6</v>
      </c>
      <c r="H74" s="262" t="n">
        <v>5305603.6</v>
      </c>
      <c r="I74" s="263" t="n">
        <v>5379401.8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1" t="n">
        <v>967530.8</v>
      </c>
      <c r="C75" s="262" t="n">
        <v>1083409.4</v>
      </c>
      <c r="D75" s="262" t="n">
        <v>1316650.9</v>
      </c>
      <c r="E75" s="262" t="n">
        <v>1234753.1</v>
      </c>
      <c r="F75" s="262" t="n">
        <v>1171029.2</v>
      </c>
      <c r="G75" s="262" t="n">
        <v>1573449.4</v>
      </c>
      <c r="H75" s="262" t="n">
        <v>1722910.2</v>
      </c>
      <c r="I75" s="263" t="n">
        <v>1938291.9</v>
      </c>
    </row>
    <row r="76" ht="15" customHeight="1" s="226">
      <c r="A76" s="278" t="inlineStr">
        <is>
          <t>Челябинская область</t>
        </is>
      </c>
      <c r="B76" s="261" t="n">
        <v>1332761.4</v>
      </c>
      <c r="C76" s="262" t="n">
        <v>1416613.3</v>
      </c>
      <c r="D76" s="262" t="n">
        <v>1521325.4</v>
      </c>
      <c r="E76" s="262" t="n">
        <v>1547518</v>
      </c>
      <c r="F76" s="262" t="n">
        <v>1602739.4</v>
      </c>
      <c r="G76" s="262" t="n">
        <v>2064927.6</v>
      </c>
      <c r="H76" s="262" t="n">
        <v>2228903.6</v>
      </c>
      <c r="I76" s="263" t="n">
        <v>2589084.6</v>
      </c>
    </row>
    <row r="77" ht="15" customHeight="1" s="226">
      <c r="A77" s="279" t="inlineStr">
        <is>
          <t>Сибирский федеральный округ</t>
        </is>
      </c>
      <c r="B77" s="254" t="n">
        <v>6975354.3</v>
      </c>
      <c r="C77" s="254" t="n">
        <v>7653768.9</v>
      </c>
      <c r="D77" s="254" t="n">
        <v>8701658.800000001</v>
      </c>
      <c r="E77" s="254" t="n">
        <v>9090340.5</v>
      </c>
      <c r="F77" s="254" t="n">
        <v>9021766.5</v>
      </c>
      <c r="G77" s="254" t="n">
        <v>11417377.7</v>
      </c>
      <c r="H77" s="254" t="n">
        <v>12972641.5</v>
      </c>
      <c r="I77" s="254" t="n">
        <v>13962117.7</v>
      </c>
    </row>
    <row r="78" ht="15" customHeight="1" s="226">
      <c r="A78" s="278" t="inlineStr">
        <is>
          <t>Республика Алтай</t>
        </is>
      </c>
      <c r="B78" s="261" t="n">
        <v>47434.9</v>
      </c>
      <c r="C78" s="262" t="n">
        <v>48415.2</v>
      </c>
      <c r="D78" s="262" t="n">
        <v>54069.4</v>
      </c>
      <c r="E78" s="262" t="n">
        <v>57064</v>
      </c>
      <c r="F78" s="262" t="n">
        <v>62850.8</v>
      </c>
      <c r="G78" s="262" t="n">
        <v>74513.39999999999</v>
      </c>
      <c r="H78" s="262" t="n">
        <v>89613.10000000001</v>
      </c>
      <c r="I78" s="263" t="n">
        <v>108336.5</v>
      </c>
    </row>
    <row r="79" ht="15" customHeight="1" s="226">
      <c r="A79" s="278" t="inlineStr">
        <is>
          <t>Республика Тыва</t>
        </is>
      </c>
      <c r="B79" s="261" t="n">
        <v>58001.1</v>
      </c>
      <c r="C79" s="262" t="n">
        <v>65038.9</v>
      </c>
      <c r="D79" s="262" t="n">
        <v>73681.60000000001</v>
      </c>
      <c r="E79" s="262" t="n">
        <v>79321.3</v>
      </c>
      <c r="F79" s="262" t="n">
        <v>82230.8</v>
      </c>
      <c r="G79" s="262" t="n">
        <v>91529.3</v>
      </c>
      <c r="H79" s="262" t="n">
        <v>107913.7</v>
      </c>
      <c r="I79" s="263" t="n">
        <v>122532.5</v>
      </c>
    </row>
    <row r="80" ht="15" customHeight="1" s="226">
      <c r="A80" s="278" t="inlineStr">
        <is>
          <t>Республика Хакасия</t>
        </is>
      </c>
      <c r="B80" s="261" t="n">
        <v>207742.6</v>
      </c>
      <c r="C80" s="262" t="n">
        <v>218148.4</v>
      </c>
      <c r="D80" s="262" t="n">
        <v>242341.1</v>
      </c>
      <c r="E80" s="262" t="n">
        <v>256322.3</v>
      </c>
      <c r="F80" s="262" t="n">
        <v>266213.2</v>
      </c>
      <c r="G80" s="262" t="n">
        <v>315304.4</v>
      </c>
      <c r="H80" s="262" t="n">
        <v>345846.6</v>
      </c>
      <c r="I80" s="263" t="n">
        <v>378551.6</v>
      </c>
    </row>
    <row r="81" ht="15" customHeight="1" s="226">
      <c r="A81" s="278" t="inlineStr">
        <is>
          <t>Алтайский край</t>
        </is>
      </c>
      <c r="B81" s="261" t="n">
        <v>532401.5</v>
      </c>
      <c r="C81" s="262" t="n">
        <v>545303</v>
      </c>
      <c r="D81" s="262" t="n">
        <v>579740.5</v>
      </c>
      <c r="E81" s="262" t="n">
        <v>628146.1</v>
      </c>
      <c r="F81" s="262" t="n">
        <v>664129.2</v>
      </c>
      <c r="G81" s="262" t="n">
        <v>869672.1</v>
      </c>
      <c r="H81" s="262" t="n">
        <v>929614.2</v>
      </c>
      <c r="I81" s="263" t="n">
        <v>1024355.4</v>
      </c>
    </row>
    <row r="82" ht="15" customHeight="1" s="226">
      <c r="A82" s="278" t="inlineStr">
        <is>
          <t>Красноярский край</t>
        </is>
      </c>
      <c r="B82" s="261" t="n">
        <v>1821899.9</v>
      </c>
      <c r="C82" s="262" t="n">
        <v>1977016.1</v>
      </c>
      <c r="D82" s="262" t="n">
        <v>2374749.9</v>
      </c>
      <c r="E82" s="262" t="n">
        <v>2696158.9</v>
      </c>
      <c r="F82" s="262" t="n">
        <v>2725096.7</v>
      </c>
      <c r="G82" s="262" t="n">
        <v>3122115.3</v>
      </c>
      <c r="H82" s="262" t="n">
        <v>3314866.6</v>
      </c>
      <c r="I82" s="263" t="n">
        <v>3719646.8</v>
      </c>
    </row>
    <row r="83" ht="15" customHeight="1" s="226">
      <c r="A83" s="278" t="inlineStr">
        <is>
          <t>Иркутская область</t>
        </is>
      </c>
      <c r="B83" s="261" t="n">
        <v>1139206.8</v>
      </c>
      <c r="C83" s="262" t="n">
        <v>1268311.7</v>
      </c>
      <c r="D83" s="262" t="n">
        <v>1460512.2</v>
      </c>
      <c r="E83" s="262" t="n">
        <v>1540237.8</v>
      </c>
      <c r="F83" s="262" t="n">
        <v>1494326.6</v>
      </c>
      <c r="G83" s="262" t="n">
        <v>1972480.5</v>
      </c>
      <c r="H83" s="262" t="n">
        <v>2347579.8</v>
      </c>
      <c r="I83" s="263" t="n">
        <v>2539383.9</v>
      </c>
    </row>
    <row r="84" ht="15" customHeight="1" s="226">
      <c r="A84" s="278" t="inlineStr">
        <is>
          <t>Кемеровская область-Кузбасс</t>
        </is>
      </c>
      <c r="B84" s="261" t="n">
        <v>903348.9</v>
      </c>
      <c r="C84" s="262" t="n">
        <v>1097861</v>
      </c>
      <c r="D84" s="262" t="n">
        <v>1266424.5</v>
      </c>
      <c r="E84" s="262" t="n">
        <v>1110194.8</v>
      </c>
      <c r="F84" s="262" t="n">
        <v>1045077.1</v>
      </c>
      <c r="G84" s="262" t="n">
        <v>1823647.7</v>
      </c>
      <c r="H84" s="262" t="n">
        <v>2170130.3</v>
      </c>
      <c r="I84" s="263" t="n">
        <v>1883825.1</v>
      </c>
    </row>
    <row r="85" ht="15" customHeight="1" s="226">
      <c r="A85" s="278" t="inlineStr">
        <is>
          <t>Новосибирская область</t>
        </is>
      </c>
      <c r="B85" s="261" t="n">
        <v>1074794.7</v>
      </c>
      <c r="C85" s="262" t="n">
        <v>1179564.2</v>
      </c>
      <c r="D85" s="262" t="n">
        <v>1301631.1</v>
      </c>
      <c r="E85" s="262" t="n">
        <v>1332895.8</v>
      </c>
      <c r="F85" s="262" t="n">
        <v>1358350.1</v>
      </c>
      <c r="G85" s="262" t="n">
        <v>1628844.4</v>
      </c>
      <c r="H85" s="262" t="n">
        <v>1927143.6</v>
      </c>
      <c r="I85" s="263" t="n">
        <v>2216436.2</v>
      </c>
    </row>
    <row r="86" ht="15" customHeight="1" s="226">
      <c r="A86" s="278" t="inlineStr">
        <is>
          <t>Омская область</t>
        </is>
      </c>
      <c r="B86" s="261" t="n">
        <v>669480.4</v>
      </c>
      <c r="C86" s="262" t="n">
        <v>699716.5</v>
      </c>
      <c r="D86" s="262" t="n">
        <v>736076.8</v>
      </c>
      <c r="E86" s="262" t="n">
        <v>772095.9</v>
      </c>
      <c r="F86" s="262" t="n">
        <v>770280.4</v>
      </c>
      <c r="G86" s="262" t="n">
        <v>796044.1</v>
      </c>
      <c r="H86" s="262" t="n">
        <v>926750.2</v>
      </c>
      <c r="I86" s="263" t="n">
        <v>1056600.3</v>
      </c>
    </row>
    <row r="87" ht="15" customHeight="1" s="226">
      <c r="A87" s="278" t="inlineStr">
        <is>
          <t>Томская область</t>
        </is>
      </c>
      <c r="B87" s="285" t="n">
        <v>521043.5</v>
      </c>
      <c r="C87" s="270" t="n">
        <v>554393.9</v>
      </c>
      <c r="D87" s="270" t="n">
        <v>612431.7</v>
      </c>
      <c r="E87" s="262" t="n">
        <v>617903.6</v>
      </c>
      <c r="F87" s="270" t="n">
        <v>553211.6</v>
      </c>
      <c r="G87" s="270" t="n">
        <v>723226.5</v>
      </c>
      <c r="H87" s="270" t="n">
        <v>813183.4</v>
      </c>
      <c r="I87" s="263" t="n">
        <v>912449.4</v>
      </c>
    </row>
    <row r="88" ht="15" customHeight="1" s="226">
      <c r="A88" s="279" t="inlineStr">
        <is>
          <t>Дальневосточный федеральный округ</t>
        </is>
      </c>
      <c r="B88" s="275" t="n">
        <v>4481568</v>
      </c>
      <c r="C88" s="275" t="n">
        <v>4679280.8</v>
      </c>
      <c r="D88" s="275" t="n">
        <v>5597118</v>
      </c>
      <c r="E88" s="254" t="n">
        <v>5970632.3</v>
      </c>
      <c r="F88" s="254" t="n">
        <v>6037509.3</v>
      </c>
      <c r="G88" s="275" t="n">
        <v>7593744.8</v>
      </c>
      <c r="H88" s="275" t="n">
        <v>8834141.4</v>
      </c>
      <c r="I88" s="254" t="n">
        <v>10128773.4</v>
      </c>
    </row>
    <row r="89" ht="15" customHeight="1" s="226">
      <c r="A89" s="278" t="inlineStr">
        <is>
          <t>Республика Бурятия</t>
        </is>
      </c>
      <c r="B89" s="286" t="n">
        <v>220764.6</v>
      </c>
      <c r="C89" s="273" t="n">
        <v>224594.1</v>
      </c>
      <c r="D89" s="273" t="n">
        <v>258578.6</v>
      </c>
      <c r="E89" s="262" t="n">
        <v>285490.6</v>
      </c>
      <c r="F89" s="273" t="n">
        <v>302800.4</v>
      </c>
      <c r="G89" s="273" t="n">
        <v>356150.2</v>
      </c>
      <c r="H89" s="273" t="n">
        <v>447267.3</v>
      </c>
      <c r="I89" s="263" t="n">
        <v>503918.8</v>
      </c>
    </row>
    <row r="90" ht="15" customHeight="1" s="226">
      <c r="A90" s="278" t="inlineStr">
        <is>
          <t>Республика Саха (Якутия)</t>
        </is>
      </c>
      <c r="B90" s="261" t="n">
        <v>889449.3</v>
      </c>
      <c r="C90" s="262" t="n">
        <v>942029.6</v>
      </c>
      <c r="D90" s="262" t="n">
        <v>1126774.7</v>
      </c>
      <c r="E90" s="262" t="n">
        <v>1227680.3</v>
      </c>
      <c r="F90" s="262" t="n">
        <v>1133688.2</v>
      </c>
      <c r="G90" s="262" t="n">
        <v>1672273.8</v>
      </c>
      <c r="H90" s="262" t="n">
        <v>2009286.6</v>
      </c>
      <c r="I90" s="263" t="n">
        <v>2229816.5</v>
      </c>
    </row>
    <row r="91" ht="15" customHeight="1" s="226">
      <c r="A91" s="278" t="inlineStr">
        <is>
          <t>Забайкальский край</t>
        </is>
      </c>
      <c r="B91" s="261" t="n">
        <v>279140.7</v>
      </c>
      <c r="C91" s="262" t="n">
        <v>306596.5</v>
      </c>
      <c r="D91" s="262" t="n">
        <v>339838.9</v>
      </c>
      <c r="E91" s="262" t="n">
        <v>369476.5</v>
      </c>
      <c r="F91" s="262" t="n">
        <v>422734.5</v>
      </c>
      <c r="G91" s="262" t="n">
        <v>516630.1</v>
      </c>
      <c r="H91" s="262" t="n">
        <v>561679.6</v>
      </c>
      <c r="I91" s="263" t="n">
        <v>718358.3</v>
      </c>
    </row>
    <row r="92" ht="15" customHeight="1" s="226">
      <c r="A92" s="278" t="inlineStr">
        <is>
          <t>Камчатский край</t>
        </is>
      </c>
      <c r="B92" s="261" t="n">
        <v>224091</v>
      </c>
      <c r="C92" s="262" t="n">
        <v>228167.2</v>
      </c>
      <c r="D92" s="262" t="n">
        <v>263151.3</v>
      </c>
      <c r="E92" s="262" t="n">
        <v>279337.8</v>
      </c>
      <c r="F92" s="262" t="n">
        <v>296429.4</v>
      </c>
      <c r="G92" s="262" t="n">
        <v>351233.7</v>
      </c>
      <c r="H92" s="262" t="n">
        <v>357461.7</v>
      </c>
      <c r="I92" s="263" t="n">
        <v>440147.3</v>
      </c>
    </row>
    <row r="93" ht="15" customHeight="1" s="226">
      <c r="A93" s="278" t="inlineStr">
        <is>
          <t>Приморский край</t>
        </is>
      </c>
      <c r="B93" s="261" t="n">
        <v>860803.6</v>
      </c>
      <c r="C93" s="262" t="n">
        <v>906265</v>
      </c>
      <c r="D93" s="262" t="n">
        <v>965485.2</v>
      </c>
      <c r="E93" s="262" t="n">
        <v>1069330.7</v>
      </c>
      <c r="F93" s="262" t="n">
        <v>1105672.6</v>
      </c>
      <c r="G93" s="262" t="n">
        <v>1354099.5</v>
      </c>
      <c r="H93" s="262" t="n">
        <v>1575745.3</v>
      </c>
      <c r="I93" s="263" t="n">
        <v>1862934.3</v>
      </c>
    </row>
    <row r="94" ht="15" customHeight="1" s="226">
      <c r="A94" s="278" t="inlineStr">
        <is>
          <t>Хабаровский край</t>
        </is>
      </c>
      <c r="B94" s="261" t="n">
        <v>672660.4</v>
      </c>
      <c r="C94" s="262" t="n">
        <v>697951</v>
      </c>
      <c r="D94" s="262" t="n">
        <v>761589.2</v>
      </c>
      <c r="E94" s="262" t="n">
        <v>805215.6</v>
      </c>
      <c r="F94" s="262" t="n">
        <v>856904.8</v>
      </c>
      <c r="G94" s="262" t="n">
        <v>1017795.1</v>
      </c>
      <c r="H94" s="262" t="n">
        <v>1065100.8</v>
      </c>
      <c r="I94" s="263" t="n">
        <v>1262368.1</v>
      </c>
    </row>
    <row r="95" ht="15" customHeight="1" s="226">
      <c r="A95" s="278" t="inlineStr">
        <is>
          <t>Амурская область</t>
        </is>
      </c>
      <c r="B95" s="261" t="n">
        <v>297531</v>
      </c>
      <c r="C95" s="262" t="n">
        <v>299181</v>
      </c>
      <c r="D95" s="262" t="n">
        <v>334164.4</v>
      </c>
      <c r="E95" s="262" t="n">
        <v>395617.2</v>
      </c>
      <c r="F95" s="262" t="n">
        <v>449317.5</v>
      </c>
      <c r="G95" s="262" t="n">
        <v>548269.8</v>
      </c>
      <c r="H95" s="262" t="n">
        <v>603562.5</v>
      </c>
      <c r="I95" s="263" t="n">
        <v>793851.9</v>
      </c>
    </row>
    <row r="96" ht="15" customHeight="1" s="226">
      <c r="A96" s="278" t="inlineStr">
        <is>
          <t>Магаданская область</t>
        </is>
      </c>
      <c r="B96" s="261" t="n">
        <v>153879.8</v>
      </c>
      <c r="C96" s="262" t="n">
        <v>161851.2</v>
      </c>
      <c r="D96" s="262" t="n">
        <v>176370.6</v>
      </c>
      <c r="E96" s="262" t="n">
        <v>214414.9</v>
      </c>
      <c r="F96" s="262" t="n">
        <v>285146</v>
      </c>
      <c r="G96" s="262" t="n">
        <v>320159.6</v>
      </c>
      <c r="H96" s="262" t="n">
        <v>315361.1</v>
      </c>
      <c r="I96" s="263" t="n">
        <v>403892.8</v>
      </c>
    </row>
    <row r="97" ht="15" customHeight="1" s="226">
      <c r="A97" s="278" t="inlineStr">
        <is>
          <t>Сахалинская область</t>
        </is>
      </c>
      <c r="B97" s="261" t="n">
        <v>762510.3</v>
      </c>
      <c r="C97" s="262" t="n">
        <v>784503.4</v>
      </c>
      <c r="D97" s="262" t="n">
        <v>1233164.7</v>
      </c>
      <c r="E97" s="262" t="n">
        <v>1172226.1</v>
      </c>
      <c r="F97" s="262" t="n">
        <v>1001689.4</v>
      </c>
      <c r="G97" s="262" t="n">
        <v>1237949.8</v>
      </c>
      <c r="H97" s="262" t="n">
        <v>1672496.2</v>
      </c>
      <c r="I97" s="263" t="n">
        <v>1624560.7</v>
      </c>
    </row>
    <row r="98" ht="15" customHeight="1" s="226">
      <c r="A98" s="278" t="inlineStr">
        <is>
          <t>Еврейская автономная область</t>
        </is>
      </c>
      <c r="B98" s="261" t="n">
        <v>48563.2</v>
      </c>
      <c r="C98" s="262" t="n">
        <v>55268</v>
      </c>
      <c r="D98" s="262" t="n">
        <v>54577.8</v>
      </c>
      <c r="E98" s="262" t="n">
        <v>56847.6</v>
      </c>
      <c r="F98" s="262" t="n">
        <v>63177.1</v>
      </c>
      <c r="G98" s="262" t="n">
        <v>79156.89999999999</v>
      </c>
      <c r="H98" s="262" t="n">
        <v>81120.5</v>
      </c>
      <c r="I98" s="263" t="n">
        <v>102215.3</v>
      </c>
    </row>
    <row r="99" ht="15" customHeight="1" s="226">
      <c r="A99" s="278" t="inlineStr">
        <is>
          <t>Чукотский автономный округ</t>
        </is>
      </c>
      <c r="B99" s="264" t="n">
        <v>72174.10000000001</v>
      </c>
      <c r="C99" s="265" t="n">
        <v>72873.8</v>
      </c>
      <c r="D99" s="265" t="n">
        <v>83422.60000000001</v>
      </c>
      <c r="E99" s="265" t="n">
        <v>94995</v>
      </c>
      <c r="F99" s="265" t="n">
        <v>119949.4</v>
      </c>
      <c r="G99" s="265" t="n">
        <v>140026.3</v>
      </c>
      <c r="H99" s="265" t="n">
        <v>145059.8</v>
      </c>
      <c r="I99" s="266" t="n">
        <v>186709.4</v>
      </c>
    </row>
    <row r="101" ht="75" customHeight="1" s="226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7.5" customHeight="1" s="226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2" s="290" t="n"/>
      <c r="G102" s="290" t="n"/>
      <c r="H102" s="290" t="n"/>
      <c r="I102" s="290" t="n"/>
      <c r="J102" s="290" t="n"/>
      <c r="K102" s="290" t="n"/>
    </row>
  </sheetData>
  <mergeCells count="3">
    <mergeCell ref="A2:E2"/>
    <mergeCell ref="A102:E10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8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45.71" customWidth="1" style="291" min="1" max="1"/>
    <col width="12.71" customWidth="1" style="225" min="2" max="7"/>
    <col width="12.71" customWidth="1" style="225" min="8" max="10"/>
    <col width="12.71" customWidth="1" style="225" min="11" max="12"/>
    <col width="12.71" customWidth="1" style="225" min="13" max="13"/>
    <col width="12.71" customWidth="1" style="243" min="14" max="14"/>
    <col width="13.42" customWidth="1" style="225" min="15" max="15"/>
    <col width="13.42" customWidth="1" style="225" min="16" max="19"/>
    <col width="9.140000000000001" customWidth="1" style="225" min="20" max="16384"/>
  </cols>
  <sheetData>
    <row r="1" ht="33" customHeight="1" s="226">
      <c r="A1" s="244" t="inlineStr">
        <is>
          <t xml:space="preserve">          К содержанию</t>
        </is>
      </c>
      <c r="J1" s="225" t="n"/>
      <c r="L1" s="225" t="n"/>
      <c r="P1" s="225" t="n"/>
      <c r="Q1" s="225" t="n"/>
      <c r="R1" s="225" t="n"/>
      <c r="S1" s="225" t="n"/>
    </row>
    <row r="2" ht="45" customHeight="1" s="226">
      <c r="A2" s="292" t="inlineStr">
        <is>
          <t>Валовой региональный продукт на душу населения по субъектам Российской Федерации в 1998-2015 гг.
(рублей)</t>
        </is>
      </c>
      <c r="F2" s="248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</row>
    <row r="3" ht="15.75" customHeight="1" s="226">
      <c r="A3" s="250" t="n"/>
      <c r="B3" s="251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251" t="n">
        <v>2005</v>
      </c>
      <c r="J3" s="251" t="n">
        <v>2006</v>
      </c>
      <c r="K3" s="251" t="n">
        <v>2007</v>
      </c>
      <c r="L3" s="251" t="n">
        <v>2008</v>
      </c>
      <c r="M3" s="251" t="n">
        <v>2009</v>
      </c>
      <c r="N3" s="251" t="n">
        <v>2010</v>
      </c>
      <c r="O3" s="251" t="inlineStr">
        <is>
          <t>20111)</t>
        </is>
      </c>
      <c r="P3" s="251" t="inlineStr">
        <is>
          <t>20121)</t>
        </is>
      </c>
      <c r="Q3" s="251" t="inlineStr">
        <is>
          <t>20131)</t>
        </is>
      </c>
      <c r="R3" s="251" t="inlineStr">
        <is>
          <t>20141)</t>
        </is>
      </c>
      <c r="S3" s="251" t="inlineStr">
        <is>
          <t>20151)</t>
        </is>
      </c>
    </row>
    <row r="4" ht="60" customHeight="1" s="226">
      <c r="A4" s="250" t="inlineStr">
        <is>
          <t>Валовой региональный продукт по субъектам Российской Федерации (валовая добавленная стоимость в текущих основных ценах)-всего</t>
        </is>
      </c>
      <c r="B4" s="252" t="n">
        <v>15371.1</v>
      </c>
      <c r="C4" s="252" t="n">
        <v>26200.6</v>
      </c>
      <c r="D4" s="252" t="n">
        <v>39532.3</v>
      </c>
      <c r="E4" s="252" t="n">
        <v>49474.8</v>
      </c>
      <c r="F4" s="252" t="n">
        <v>60611.4</v>
      </c>
      <c r="G4" s="252" t="n">
        <v>74840.5</v>
      </c>
      <c r="H4" s="252" t="n">
        <v>97691.89999999999</v>
      </c>
      <c r="I4" s="252" t="n">
        <v>125658.7</v>
      </c>
      <c r="J4" s="252" t="n">
        <v>157233</v>
      </c>
      <c r="K4" s="252" t="n">
        <v>195819</v>
      </c>
      <c r="L4" s="252" t="n">
        <v>237552.2</v>
      </c>
      <c r="M4" s="252" t="n">
        <v>224163.3</v>
      </c>
      <c r="N4" s="252" t="n">
        <v>263828.6</v>
      </c>
      <c r="O4" s="252" t="n">
        <v>317388.1</v>
      </c>
      <c r="P4" s="252" t="n">
        <v>348211.8</v>
      </c>
      <c r="Q4" s="252" t="n">
        <v>376223.1</v>
      </c>
      <c r="R4" s="252" t="n">
        <v>403993</v>
      </c>
      <c r="S4" s="252" t="n">
        <v>447395.3</v>
      </c>
    </row>
    <row r="5" ht="15" customFormat="1" customHeight="1" s="225">
      <c r="A5" s="253" t="inlineStr">
        <is>
          <t>Центральный федеральный округ</t>
        </is>
      </c>
      <c r="B5" s="254" t="n">
        <v>16564.4</v>
      </c>
      <c r="C5" s="254" t="n">
        <v>31118.7</v>
      </c>
      <c r="D5" s="254" t="n">
        <v>48205</v>
      </c>
      <c r="E5" s="254" t="n">
        <v>58851.5</v>
      </c>
      <c r="F5" s="254" t="n">
        <v>75739.2</v>
      </c>
      <c r="G5" s="254" t="n">
        <v>94244.60000000001</v>
      </c>
      <c r="H5" s="254" t="n">
        <v>121487.7</v>
      </c>
      <c r="I5" s="254" t="n">
        <v>164887.9</v>
      </c>
      <c r="J5" s="254" t="n">
        <v>208806.5</v>
      </c>
      <c r="K5" s="254" t="n">
        <v>267272.1</v>
      </c>
      <c r="L5" s="254" t="n">
        <v>331472.2</v>
      </c>
      <c r="M5" s="254" t="n">
        <v>297793</v>
      </c>
      <c r="N5" s="254" t="n">
        <v>350204.2</v>
      </c>
      <c r="O5" s="254" t="n">
        <v>416729.1</v>
      </c>
      <c r="P5" s="254" t="n">
        <v>449676.6</v>
      </c>
      <c r="Q5" s="254" t="n">
        <v>491090.7</v>
      </c>
      <c r="R5" s="254" t="n">
        <v>531455.4</v>
      </c>
      <c r="S5" s="254" t="n">
        <v>573524.1</v>
      </c>
    </row>
    <row r="6" ht="15" customHeight="1" s="226">
      <c r="A6" s="255" t="inlineStr">
        <is>
          <t>Белгородская область</t>
        </is>
      </c>
      <c r="B6" s="256" t="n">
        <v>12242.8</v>
      </c>
      <c r="C6" s="257" t="n">
        <v>21398</v>
      </c>
      <c r="D6" s="257" t="n">
        <v>27969.5</v>
      </c>
      <c r="E6" s="257" t="n">
        <v>33126.7</v>
      </c>
      <c r="F6" s="257" t="n">
        <v>41327.4</v>
      </c>
      <c r="G6" s="257" t="n">
        <v>50271.4</v>
      </c>
      <c r="H6" s="257" t="n">
        <v>75629.39999999999</v>
      </c>
      <c r="I6" s="257" t="n">
        <v>95911.2</v>
      </c>
      <c r="J6" s="257" t="n">
        <v>118211.4</v>
      </c>
      <c r="K6" s="257" t="n">
        <v>156225.1</v>
      </c>
      <c r="L6" s="257" t="n">
        <v>208548.1</v>
      </c>
      <c r="M6" s="257" t="n">
        <v>199046.1</v>
      </c>
      <c r="N6" s="257" t="n">
        <v>260015.6</v>
      </c>
      <c r="O6" s="257" t="n">
        <v>330952.8</v>
      </c>
      <c r="P6" s="257" t="n">
        <v>354400.6</v>
      </c>
      <c r="Q6" s="257" t="n">
        <v>368593.1</v>
      </c>
      <c r="R6" s="257" t="n">
        <v>400396.8</v>
      </c>
      <c r="S6" s="258" t="n">
        <v>447022.6</v>
      </c>
    </row>
    <row r="7" ht="15" customHeight="1" s="226">
      <c r="A7" s="260" t="inlineStr">
        <is>
          <t>Брянская область</t>
        </is>
      </c>
      <c r="B7" s="261" t="n">
        <v>7659.1</v>
      </c>
      <c r="C7" s="262" t="n">
        <v>11752.4</v>
      </c>
      <c r="D7" s="262" t="n">
        <v>17413.5</v>
      </c>
      <c r="E7" s="262" t="n">
        <v>21511.9</v>
      </c>
      <c r="F7" s="262" t="n">
        <v>27020</v>
      </c>
      <c r="G7" s="262" t="n">
        <v>31953.4</v>
      </c>
      <c r="H7" s="262" t="n">
        <v>37719.1</v>
      </c>
      <c r="I7" s="262" t="n">
        <v>49923.4</v>
      </c>
      <c r="J7" s="262" t="n">
        <v>62187.8</v>
      </c>
      <c r="K7" s="262" t="n">
        <v>78518.8</v>
      </c>
      <c r="L7" s="262" t="n">
        <v>96885.39999999999</v>
      </c>
      <c r="M7" s="262" t="n">
        <v>98014.5</v>
      </c>
      <c r="N7" s="262" t="n">
        <v>114777.6</v>
      </c>
      <c r="O7" s="262" t="n">
        <v>137227.5</v>
      </c>
      <c r="P7" s="262" t="n">
        <v>164867.2</v>
      </c>
      <c r="Q7" s="262" t="n">
        <v>176108</v>
      </c>
      <c r="R7" s="262" t="n">
        <v>196473.1</v>
      </c>
      <c r="S7" s="263" t="n">
        <v>221557.6</v>
      </c>
    </row>
    <row r="8" ht="15" customHeight="1" s="226">
      <c r="A8" s="260" t="inlineStr">
        <is>
          <t>Владимирская область</t>
        </is>
      </c>
      <c r="B8" s="261" t="n">
        <v>9350.200000000001</v>
      </c>
      <c r="C8" s="262" t="n">
        <v>15457.1</v>
      </c>
      <c r="D8" s="262" t="n">
        <v>21073.3</v>
      </c>
      <c r="E8" s="262" t="n">
        <v>27170</v>
      </c>
      <c r="F8" s="262" t="n">
        <v>32923.6</v>
      </c>
      <c r="G8" s="262" t="n">
        <v>40809.4</v>
      </c>
      <c r="H8" s="262" t="n">
        <v>49353.4</v>
      </c>
      <c r="I8" s="262" t="n">
        <v>58261</v>
      </c>
      <c r="J8" s="262" t="n">
        <v>76184.8</v>
      </c>
      <c r="K8" s="262" t="n">
        <v>99682.5</v>
      </c>
      <c r="L8" s="262" t="n">
        <v>119941.8</v>
      </c>
      <c r="M8" s="262" t="n">
        <v>127815.1</v>
      </c>
      <c r="N8" s="262" t="n">
        <v>155494.2</v>
      </c>
      <c r="O8" s="262" t="n">
        <v>181742</v>
      </c>
      <c r="P8" s="262" t="n">
        <v>200118.5</v>
      </c>
      <c r="Q8" s="262" t="n">
        <v>215705.7</v>
      </c>
      <c r="R8" s="262" t="n">
        <v>231824.2</v>
      </c>
      <c r="S8" s="263" t="n">
        <v>261560.4</v>
      </c>
    </row>
    <row r="9" ht="15" customHeight="1" s="226">
      <c r="A9" s="260" t="inlineStr">
        <is>
          <t>Воронежская область</t>
        </is>
      </c>
      <c r="B9" s="261" t="n">
        <v>9082.1</v>
      </c>
      <c r="C9" s="262" t="n">
        <v>14808.3</v>
      </c>
      <c r="D9" s="262" t="n">
        <v>20365.1</v>
      </c>
      <c r="E9" s="262" t="n">
        <v>24905.4</v>
      </c>
      <c r="F9" s="262" t="n">
        <v>34789.6</v>
      </c>
      <c r="G9" s="262" t="n">
        <v>42237.5</v>
      </c>
      <c r="H9" s="262" t="n">
        <v>49530</v>
      </c>
      <c r="I9" s="262" t="n">
        <v>56534.5</v>
      </c>
      <c r="J9" s="262" t="n">
        <v>70492.7</v>
      </c>
      <c r="K9" s="262" t="n">
        <v>94849.5</v>
      </c>
      <c r="L9" s="262" t="n">
        <v>122591.1</v>
      </c>
      <c r="M9" s="262" t="n">
        <v>129112.5</v>
      </c>
      <c r="N9" s="262" t="n">
        <v>148432.6</v>
      </c>
      <c r="O9" s="262" t="n">
        <v>203523.7</v>
      </c>
      <c r="P9" s="262" t="n">
        <v>241754</v>
      </c>
      <c r="Q9" s="262" t="n">
        <v>262215.8</v>
      </c>
      <c r="R9" s="262" t="n">
        <v>307400.6</v>
      </c>
      <c r="S9" s="263" t="n">
        <v>344688.2</v>
      </c>
    </row>
    <row r="10" ht="15" customHeight="1" s="226">
      <c r="A10" s="260" t="inlineStr">
        <is>
          <t>Ивановская область</t>
        </is>
      </c>
      <c r="B10" s="261" t="n">
        <v>6804.5</v>
      </c>
      <c r="C10" s="262" t="n">
        <v>9765.200000000001</v>
      </c>
      <c r="D10" s="262" t="n">
        <v>14240</v>
      </c>
      <c r="E10" s="262" t="n">
        <v>18947.2</v>
      </c>
      <c r="F10" s="262" t="n">
        <v>23396.9</v>
      </c>
      <c r="G10" s="262" t="n">
        <v>29192.4</v>
      </c>
      <c r="H10" s="262" t="n">
        <v>35732.7</v>
      </c>
      <c r="I10" s="262" t="n">
        <v>40039.1</v>
      </c>
      <c r="J10" s="262" t="n">
        <v>50271.5</v>
      </c>
      <c r="K10" s="262" t="n">
        <v>68865.7</v>
      </c>
      <c r="L10" s="262" t="n">
        <v>80708.5</v>
      </c>
      <c r="M10" s="262" t="n">
        <v>81286.7</v>
      </c>
      <c r="N10" s="262" t="n">
        <v>103280</v>
      </c>
      <c r="O10" s="262" t="n">
        <v>122231.4</v>
      </c>
      <c r="P10" s="262" t="n">
        <v>130362.4</v>
      </c>
      <c r="Q10" s="262" t="n">
        <v>153048.9</v>
      </c>
      <c r="R10" s="262" t="n">
        <v>148470.2</v>
      </c>
      <c r="S10" s="263" t="n">
        <v>178498</v>
      </c>
    </row>
    <row r="11" ht="15" customHeight="1" s="226">
      <c r="A11" s="260" t="inlineStr">
        <is>
          <t>Калужская область</t>
        </is>
      </c>
      <c r="B11" s="261" t="n">
        <v>9330.4</v>
      </c>
      <c r="C11" s="262" t="n">
        <v>14891.4</v>
      </c>
      <c r="D11" s="262" t="n">
        <v>22438</v>
      </c>
      <c r="E11" s="262" t="n">
        <v>30201.9</v>
      </c>
      <c r="F11" s="262" t="n">
        <v>35708.4</v>
      </c>
      <c r="G11" s="262" t="n">
        <v>47136.5</v>
      </c>
      <c r="H11" s="262" t="n">
        <v>56325.6</v>
      </c>
      <c r="I11" s="262" t="n">
        <v>69192.2</v>
      </c>
      <c r="J11" s="262" t="n">
        <v>84317.39999999999</v>
      </c>
      <c r="K11" s="262" t="n">
        <v>109790.3</v>
      </c>
      <c r="L11" s="262" t="n">
        <v>147929.5</v>
      </c>
      <c r="M11" s="262" t="n">
        <v>152611.6</v>
      </c>
      <c r="N11" s="262" t="n">
        <v>186347.8</v>
      </c>
      <c r="O11" s="262" t="n">
        <v>232085.4</v>
      </c>
      <c r="P11" s="262" t="n">
        <v>280982.6</v>
      </c>
      <c r="Q11" s="262" t="n">
        <v>287440.6</v>
      </c>
      <c r="R11" s="262" t="n">
        <v>318031.6</v>
      </c>
      <c r="S11" s="263" t="n">
        <v>328423.9</v>
      </c>
    </row>
    <row r="12" ht="15" customHeight="1" s="226">
      <c r="A12" s="260" t="inlineStr">
        <is>
          <t>Костромская область</t>
        </is>
      </c>
      <c r="B12" s="261" t="n">
        <v>10971.7</v>
      </c>
      <c r="C12" s="262" t="n">
        <v>17450.4</v>
      </c>
      <c r="D12" s="262" t="n">
        <v>21984.7</v>
      </c>
      <c r="E12" s="262" t="n">
        <v>29668.3</v>
      </c>
      <c r="F12" s="262" t="n">
        <v>35109.5</v>
      </c>
      <c r="G12" s="262" t="n">
        <v>40741.1</v>
      </c>
      <c r="H12" s="262" t="n">
        <v>52661</v>
      </c>
      <c r="I12" s="262" t="n">
        <v>63304.4</v>
      </c>
      <c r="J12" s="262" t="n">
        <v>78226.89999999999</v>
      </c>
      <c r="K12" s="262" t="n">
        <v>95687.2</v>
      </c>
      <c r="L12" s="262" t="n">
        <v>119071.5</v>
      </c>
      <c r="M12" s="262" t="n">
        <v>116856.2</v>
      </c>
      <c r="N12" s="262" t="n">
        <v>146536.9</v>
      </c>
      <c r="O12" s="262" t="n">
        <v>176159.8</v>
      </c>
      <c r="P12" s="262" t="n">
        <v>199938</v>
      </c>
      <c r="Q12" s="262" t="n">
        <v>214581.7</v>
      </c>
      <c r="R12" s="262" t="n">
        <v>228669.8</v>
      </c>
      <c r="S12" s="263" t="n">
        <v>252781.6</v>
      </c>
    </row>
    <row r="13" ht="15" customHeight="1" s="226">
      <c r="A13" s="260" t="inlineStr">
        <is>
          <t>Курская область</t>
        </is>
      </c>
      <c r="B13" s="261" t="n">
        <v>11909.9</v>
      </c>
      <c r="C13" s="262" t="n">
        <v>17093.8</v>
      </c>
      <c r="D13" s="262" t="n">
        <v>23677.7</v>
      </c>
      <c r="E13" s="262" t="n">
        <v>28946.1</v>
      </c>
      <c r="F13" s="262" t="n">
        <v>36545.7</v>
      </c>
      <c r="G13" s="262" t="n">
        <v>46131.2</v>
      </c>
      <c r="H13" s="262" t="n">
        <v>63512.1</v>
      </c>
      <c r="I13" s="262" t="n">
        <v>72995.3</v>
      </c>
      <c r="J13" s="262" t="n">
        <v>88949.39999999999</v>
      </c>
      <c r="K13" s="262" t="n">
        <v>111348.4</v>
      </c>
      <c r="L13" s="262" t="n">
        <v>146276.4</v>
      </c>
      <c r="M13" s="262" t="n">
        <v>141833.5</v>
      </c>
      <c r="N13" s="262" t="n">
        <v>171322.1</v>
      </c>
      <c r="O13" s="262" t="n">
        <v>203725.7</v>
      </c>
      <c r="P13" s="262" t="n">
        <v>221698.6</v>
      </c>
      <c r="Q13" s="262" t="n">
        <v>242938</v>
      </c>
      <c r="R13" s="262" t="n">
        <v>267217.4</v>
      </c>
      <c r="S13" s="263" t="n">
        <v>301870.7</v>
      </c>
    </row>
    <row r="14" ht="15" customHeight="1" s="226">
      <c r="A14" s="260" t="inlineStr">
        <is>
          <t>Липецкая область</t>
        </is>
      </c>
      <c r="B14" s="261" t="n">
        <v>13216.6</v>
      </c>
      <c r="C14" s="262" t="n">
        <v>25079.9</v>
      </c>
      <c r="D14" s="262" t="n">
        <v>39050.9</v>
      </c>
      <c r="E14" s="262" t="n">
        <v>41308.6</v>
      </c>
      <c r="F14" s="262" t="n">
        <v>58065.7</v>
      </c>
      <c r="G14" s="262" t="n">
        <v>79661.2</v>
      </c>
      <c r="H14" s="262" t="n">
        <v>117959.2</v>
      </c>
      <c r="I14" s="262" t="n">
        <v>121376.2</v>
      </c>
      <c r="J14" s="262" t="n">
        <v>150197.1</v>
      </c>
      <c r="K14" s="262" t="n">
        <v>176534.6</v>
      </c>
      <c r="L14" s="262" t="n">
        <v>219135.8</v>
      </c>
      <c r="M14" s="262" t="n">
        <v>192165.2</v>
      </c>
      <c r="N14" s="262" t="n">
        <v>211610.6</v>
      </c>
      <c r="O14" s="262" t="n">
        <v>245988.4</v>
      </c>
      <c r="P14" s="262" t="n">
        <v>251272.6</v>
      </c>
      <c r="Q14" s="262" t="n">
        <v>270671.8</v>
      </c>
      <c r="R14" s="262" t="n">
        <v>341690.5</v>
      </c>
      <c r="S14" s="263" t="n">
        <v>384877.6</v>
      </c>
    </row>
    <row r="15" ht="15" customHeight="1" s="226">
      <c r="A15" s="260" t="inlineStr">
        <is>
          <t>Московская область</t>
        </is>
      </c>
      <c r="B15" s="261" t="n">
        <v>12329.5</v>
      </c>
      <c r="C15" s="262" t="n">
        <v>19753.4</v>
      </c>
      <c r="D15" s="262" t="n">
        <v>26687.7</v>
      </c>
      <c r="E15" s="262" t="n">
        <v>35569.3</v>
      </c>
      <c r="F15" s="262" t="n">
        <v>47323.5</v>
      </c>
      <c r="G15" s="262" t="n">
        <v>62023.3</v>
      </c>
      <c r="H15" s="262" t="n">
        <v>79833.2</v>
      </c>
      <c r="I15" s="262" t="n">
        <v>104738.3</v>
      </c>
      <c r="J15" s="262" t="n">
        <v>137092.1</v>
      </c>
      <c r="K15" s="262" t="n">
        <v>188565.3</v>
      </c>
      <c r="L15" s="262" t="n">
        <v>237595.8</v>
      </c>
      <c r="M15" s="262" t="n">
        <v>217339.7</v>
      </c>
      <c r="N15" s="262" t="n">
        <v>259421.5</v>
      </c>
      <c r="O15" s="262" t="n">
        <v>303386.9</v>
      </c>
      <c r="P15" s="262" t="n">
        <v>322242.7</v>
      </c>
      <c r="Q15" s="262" t="n">
        <v>341618.7</v>
      </c>
      <c r="R15" s="262" t="n">
        <v>361238.5</v>
      </c>
      <c r="S15" s="263" t="n">
        <v>411183.7</v>
      </c>
    </row>
    <row r="16" ht="15" customHeight="1" s="226">
      <c r="A16" s="260" t="inlineStr">
        <is>
          <t>Орловская область</t>
        </is>
      </c>
      <c r="B16" s="261" t="n">
        <v>10641.3</v>
      </c>
      <c r="C16" s="262" t="n">
        <v>17800.8</v>
      </c>
      <c r="D16" s="262" t="n">
        <v>25168.4</v>
      </c>
      <c r="E16" s="262" t="n">
        <v>31676.1</v>
      </c>
      <c r="F16" s="262" t="n">
        <v>41322.8</v>
      </c>
      <c r="G16" s="262" t="n">
        <v>49342.3</v>
      </c>
      <c r="H16" s="262" t="n">
        <v>54740.1</v>
      </c>
      <c r="I16" s="262" t="n">
        <v>64180.4</v>
      </c>
      <c r="J16" s="262" t="n">
        <v>79341.5</v>
      </c>
      <c r="K16" s="262" t="n">
        <v>95387.10000000001</v>
      </c>
      <c r="L16" s="262" t="n">
        <v>120531.4</v>
      </c>
      <c r="M16" s="262" t="n">
        <v>113848.8</v>
      </c>
      <c r="N16" s="262" t="n">
        <v>134533.8</v>
      </c>
      <c r="O16" s="262" t="n">
        <v>167501.7</v>
      </c>
      <c r="P16" s="262" t="n">
        <v>187787.5</v>
      </c>
      <c r="Q16" s="262" t="n">
        <v>213467.3</v>
      </c>
      <c r="R16" s="262" t="n">
        <v>233349.5</v>
      </c>
      <c r="S16" s="263" t="n">
        <v>273699.1</v>
      </c>
    </row>
    <row r="17" ht="15" customHeight="1" s="226">
      <c r="A17" s="260" t="inlineStr">
        <is>
          <t>Рязанская область</t>
        </is>
      </c>
      <c r="B17" s="261" t="n">
        <v>10000.6</v>
      </c>
      <c r="C17" s="262" t="n">
        <v>15691</v>
      </c>
      <c r="D17" s="262" t="n">
        <v>22070.3</v>
      </c>
      <c r="E17" s="262" t="n">
        <v>29645.8</v>
      </c>
      <c r="F17" s="262" t="n">
        <v>37164.2</v>
      </c>
      <c r="G17" s="262" t="n">
        <v>48977.6</v>
      </c>
      <c r="H17" s="262" t="n">
        <v>58094.5</v>
      </c>
      <c r="I17" s="262" t="n">
        <v>70665.8</v>
      </c>
      <c r="J17" s="262" t="n">
        <v>89010.89999999999</v>
      </c>
      <c r="K17" s="262" t="n">
        <v>102982.5</v>
      </c>
      <c r="L17" s="262" t="n">
        <v>128211.5</v>
      </c>
      <c r="M17" s="262" t="n">
        <v>131891.2</v>
      </c>
      <c r="N17" s="262" t="n">
        <v>154844.8</v>
      </c>
      <c r="O17" s="262" t="n">
        <v>186095.1</v>
      </c>
      <c r="P17" s="262" t="n">
        <v>221093.6</v>
      </c>
      <c r="Q17" s="262" t="n">
        <v>243767.6</v>
      </c>
      <c r="R17" s="262" t="n">
        <v>258782.3</v>
      </c>
      <c r="S17" s="263" t="n">
        <v>283906.2</v>
      </c>
    </row>
    <row r="18" ht="15" customHeight="1" s="226">
      <c r="A18" s="260" t="inlineStr">
        <is>
          <t>Смоленская область</t>
        </is>
      </c>
      <c r="B18" s="261" t="n">
        <v>10358.8</v>
      </c>
      <c r="C18" s="262" t="n">
        <v>18562</v>
      </c>
      <c r="D18" s="262" t="n">
        <v>25798.1</v>
      </c>
      <c r="E18" s="262" t="n">
        <v>33575.4</v>
      </c>
      <c r="F18" s="262" t="n">
        <v>39983.1</v>
      </c>
      <c r="G18" s="262" t="n">
        <v>47084.3</v>
      </c>
      <c r="H18" s="262" t="n">
        <v>54178.9</v>
      </c>
      <c r="I18" s="262" t="n">
        <v>63687</v>
      </c>
      <c r="J18" s="262" t="n">
        <v>77366.8</v>
      </c>
      <c r="K18" s="262" t="n">
        <v>94432.39999999999</v>
      </c>
      <c r="L18" s="262" t="n">
        <v>121012.7</v>
      </c>
      <c r="M18" s="262" t="n">
        <v>125743.1</v>
      </c>
      <c r="N18" s="262" t="n">
        <v>156567.3</v>
      </c>
      <c r="O18" s="262" t="n">
        <v>184391.7</v>
      </c>
      <c r="P18" s="262" t="n">
        <v>207085.5</v>
      </c>
      <c r="Q18" s="262" t="n">
        <v>233809</v>
      </c>
      <c r="R18" s="262" t="n">
        <v>244802.8</v>
      </c>
      <c r="S18" s="263" t="n">
        <v>269634.7</v>
      </c>
    </row>
    <row r="19" ht="15" customHeight="1" s="226">
      <c r="A19" s="260" t="inlineStr">
        <is>
          <t>Тамбовская область</t>
        </is>
      </c>
      <c r="B19" s="261" t="n">
        <v>7866.9</v>
      </c>
      <c r="C19" s="262" t="n">
        <v>13514.2</v>
      </c>
      <c r="D19" s="262" t="n">
        <v>19133.8</v>
      </c>
      <c r="E19" s="262" t="n">
        <v>25830.2</v>
      </c>
      <c r="F19" s="262" t="n">
        <v>32858.4</v>
      </c>
      <c r="G19" s="262" t="n">
        <v>40133.5</v>
      </c>
      <c r="H19" s="262" t="n">
        <v>49098.8</v>
      </c>
      <c r="I19" s="262" t="n">
        <v>55573.9</v>
      </c>
      <c r="J19" s="262" t="n">
        <v>70416.2</v>
      </c>
      <c r="K19" s="262" t="n">
        <v>94532.5</v>
      </c>
      <c r="L19" s="262" t="n">
        <v>108653.3</v>
      </c>
      <c r="M19" s="262" t="n">
        <v>123512</v>
      </c>
      <c r="N19" s="262" t="n">
        <v>131456.7</v>
      </c>
      <c r="O19" s="262" t="n">
        <v>159557.4</v>
      </c>
      <c r="P19" s="262" t="n">
        <v>188466.7</v>
      </c>
      <c r="Q19" s="262" t="n">
        <v>220457.3</v>
      </c>
      <c r="R19" s="262" t="n">
        <v>268146.6</v>
      </c>
      <c r="S19" s="263" t="n">
        <v>300421.9</v>
      </c>
    </row>
    <row r="20" ht="15" customHeight="1" s="226">
      <c r="A20" s="260" t="inlineStr">
        <is>
          <t>Тверская область</t>
        </is>
      </c>
      <c r="B20" s="261" t="n">
        <v>10655.2</v>
      </c>
      <c r="C20" s="262" t="n">
        <v>16527.4</v>
      </c>
      <c r="D20" s="262" t="n">
        <v>23073.1</v>
      </c>
      <c r="E20" s="262" t="n">
        <v>31209.8</v>
      </c>
      <c r="F20" s="262" t="n">
        <v>37695.3</v>
      </c>
      <c r="G20" s="262" t="n">
        <v>47233.8</v>
      </c>
      <c r="H20" s="262" t="n">
        <v>61158.4</v>
      </c>
      <c r="I20" s="262" t="n">
        <v>68048.7</v>
      </c>
      <c r="J20" s="262" t="n">
        <v>90517.8</v>
      </c>
      <c r="K20" s="262" t="n">
        <v>112021.5</v>
      </c>
      <c r="L20" s="262" t="n">
        <v>139216.2</v>
      </c>
      <c r="M20" s="262" t="n">
        <v>144257.9</v>
      </c>
      <c r="N20" s="262" t="n">
        <v>161305</v>
      </c>
      <c r="O20" s="262" t="n">
        <v>189512.2</v>
      </c>
      <c r="P20" s="262" t="n">
        <v>200414.7</v>
      </c>
      <c r="Q20" s="262" t="n">
        <v>224784</v>
      </c>
      <c r="R20" s="262" t="n">
        <v>240072.5</v>
      </c>
      <c r="S20" s="263" t="n">
        <v>251962.5</v>
      </c>
    </row>
    <row r="21" ht="15" customHeight="1" s="226">
      <c r="A21" s="260" t="inlineStr">
        <is>
          <t>Тульская область</t>
        </is>
      </c>
      <c r="B21" s="261" t="n">
        <v>10084.8</v>
      </c>
      <c r="C21" s="262" t="n">
        <v>16300.3</v>
      </c>
      <c r="D21" s="262" t="n">
        <v>24291.8</v>
      </c>
      <c r="E21" s="262" t="n">
        <v>30988.5</v>
      </c>
      <c r="F21" s="262" t="n">
        <v>38894.3</v>
      </c>
      <c r="G21" s="262" t="n">
        <v>43541.9</v>
      </c>
      <c r="H21" s="262" t="n">
        <v>53715.1</v>
      </c>
      <c r="I21" s="262" t="n">
        <v>71587.39999999999</v>
      </c>
      <c r="J21" s="262" t="n">
        <v>88476.2</v>
      </c>
      <c r="K21" s="262" t="n">
        <v>109225.6</v>
      </c>
      <c r="L21" s="262" t="n">
        <v>146465.6</v>
      </c>
      <c r="M21" s="262" t="n">
        <v>136851.6</v>
      </c>
      <c r="N21" s="262" t="n">
        <v>152571.7</v>
      </c>
      <c r="O21" s="262" t="n">
        <v>180539.6</v>
      </c>
      <c r="P21" s="262" t="n">
        <v>201203.5</v>
      </c>
      <c r="Q21" s="262" t="n">
        <v>225853.9</v>
      </c>
      <c r="R21" s="262" t="n">
        <v>267458.5</v>
      </c>
      <c r="S21" s="263" t="n">
        <v>310974.6</v>
      </c>
    </row>
    <row r="22" ht="15" customHeight="1" s="226">
      <c r="A22" s="260" t="inlineStr">
        <is>
          <t>Ярославская область</t>
        </is>
      </c>
      <c r="B22" s="261" t="n">
        <v>13911.4</v>
      </c>
      <c r="C22" s="262" t="n">
        <v>23596.7</v>
      </c>
      <c r="D22" s="262" t="n">
        <v>29828</v>
      </c>
      <c r="E22" s="262" t="n">
        <v>44116.3</v>
      </c>
      <c r="F22" s="262" t="n">
        <v>54917.2</v>
      </c>
      <c r="G22" s="262" t="n">
        <v>67915.10000000001</v>
      </c>
      <c r="H22" s="262" t="n">
        <v>84008.10000000001</v>
      </c>
      <c r="I22" s="262" t="n">
        <v>99335.10000000001</v>
      </c>
      <c r="J22" s="262" t="n">
        <v>117309.2</v>
      </c>
      <c r="K22" s="262" t="n">
        <v>143936.4</v>
      </c>
      <c r="L22" s="262" t="n">
        <v>166711.8</v>
      </c>
      <c r="M22" s="262" t="n">
        <v>165757.6</v>
      </c>
      <c r="N22" s="262" t="n">
        <v>187875.5</v>
      </c>
      <c r="O22" s="262" t="n">
        <v>225946.2</v>
      </c>
      <c r="P22" s="262" t="n">
        <v>258012.8</v>
      </c>
      <c r="Q22" s="262" t="n">
        <v>286429.5</v>
      </c>
      <c r="R22" s="262" t="n">
        <v>309496.2</v>
      </c>
      <c r="S22" s="263" t="n">
        <v>350815.3</v>
      </c>
    </row>
    <row r="23" ht="15" customHeight="1" s="226">
      <c r="A23" s="260" t="inlineStr">
        <is>
          <t>г.Москва</t>
        </is>
      </c>
      <c r="B23" s="264" t="n">
        <v>33887.4</v>
      </c>
      <c r="C23" s="265" t="n">
        <v>70506.5</v>
      </c>
      <c r="D23" s="265" t="n">
        <v>115630.5</v>
      </c>
      <c r="E23" s="265" t="n">
        <v>134435.8</v>
      </c>
      <c r="F23" s="265" t="n">
        <v>171127.8</v>
      </c>
      <c r="G23" s="265" t="n">
        <v>209174.1</v>
      </c>
      <c r="H23" s="265" t="n">
        <v>268390.3</v>
      </c>
      <c r="I23" s="265" t="n">
        <v>381997.1</v>
      </c>
      <c r="J23" s="265" t="n">
        <v>477873</v>
      </c>
      <c r="K23" s="265" t="n">
        <v>601146.9</v>
      </c>
      <c r="L23" s="265" t="n">
        <v>734242</v>
      </c>
      <c r="M23" s="265" t="n">
        <v>628930.3</v>
      </c>
      <c r="N23" s="265" t="n">
        <v>730774.2</v>
      </c>
      <c r="O23" s="265" t="n">
        <v>857290</v>
      </c>
      <c r="P23" s="265" t="n">
        <v>907114.4</v>
      </c>
      <c r="Q23" s="265" t="n">
        <v>989278.4</v>
      </c>
      <c r="R23" s="265" t="n">
        <v>1055307.1</v>
      </c>
      <c r="S23" s="266" t="n">
        <v>1101222.1</v>
      </c>
    </row>
    <row r="24" ht="15" customFormat="1" customHeight="1" s="225">
      <c r="A24" s="276" t="inlineStr">
        <is>
          <t>Северо-Западный федеральный округ</t>
        </is>
      </c>
      <c r="B24" s="254" t="n">
        <v>16592.8</v>
      </c>
      <c r="C24" s="254" t="n">
        <v>27948.9</v>
      </c>
      <c r="D24" s="254" t="n">
        <v>40564.9</v>
      </c>
      <c r="E24" s="254" t="n">
        <v>50157.8</v>
      </c>
      <c r="F24" s="254" t="n">
        <v>63297.1</v>
      </c>
      <c r="G24" s="254" t="n">
        <v>78466.3</v>
      </c>
      <c r="H24" s="254" t="n">
        <v>106667.8</v>
      </c>
      <c r="I24" s="254" t="n">
        <v>130846.1</v>
      </c>
      <c r="J24" s="254" t="n">
        <v>160590.9</v>
      </c>
      <c r="K24" s="254" t="n">
        <v>202974.4</v>
      </c>
      <c r="L24" s="254" t="n">
        <v>248742.7</v>
      </c>
      <c r="M24" s="254" t="n">
        <v>251018.3</v>
      </c>
      <c r="N24" s="254" t="n">
        <v>289611.4</v>
      </c>
      <c r="O24" s="254" t="n">
        <v>350741.4</v>
      </c>
      <c r="P24" s="254" t="n">
        <v>383280.5</v>
      </c>
      <c r="Q24" s="254" t="n">
        <v>403575.2</v>
      </c>
      <c r="R24" s="254" t="n">
        <v>430138.2</v>
      </c>
      <c r="S24" s="254" t="n">
        <v>520296.6</v>
      </c>
    </row>
    <row r="25" ht="15" customHeight="1" s="226">
      <c r="A25" s="268" t="inlineStr">
        <is>
          <t>Республика Карелия</t>
        </is>
      </c>
      <c r="B25" s="262" t="n">
        <v>15055.1</v>
      </c>
      <c r="C25" s="262" t="n">
        <v>27099.9</v>
      </c>
      <c r="D25" s="262" t="n">
        <v>38539.2</v>
      </c>
      <c r="E25" s="262" t="n">
        <v>46499.2</v>
      </c>
      <c r="F25" s="262" t="n">
        <v>57575.7</v>
      </c>
      <c r="G25" s="262" t="n">
        <v>65708</v>
      </c>
      <c r="H25" s="262" t="n">
        <v>77509.7</v>
      </c>
      <c r="I25" s="262" t="n">
        <v>112950.3</v>
      </c>
      <c r="J25" s="262" t="n">
        <v>125613.2</v>
      </c>
      <c r="K25" s="262" t="n">
        <v>157959</v>
      </c>
      <c r="L25" s="262" t="n">
        <v>175465.8</v>
      </c>
      <c r="M25" s="262" t="n">
        <v>162649.3</v>
      </c>
      <c r="N25" s="262" t="n">
        <v>186651.2</v>
      </c>
      <c r="O25" s="262" t="n">
        <v>242566.5</v>
      </c>
      <c r="P25" s="262" t="n">
        <v>255152.1</v>
      </c>
      <c r="Q25" s="262" t="n">
        <v>287744.6</v>
      </c>
      <c r="R25" s="262" t="n">
        <v>312541.8</v>
      </c>
      <c r="S25" s="263" t="n">
        <v>352300.9</v>
      </c>
    </row>
    <row r="26" ht="15" customHeight="1" s="226">
      <c r="A26" s="268" t="inlineStr">
        <is>
          <t>Республика Коми</t>
        </is>
      </c>
      <c r="B26" s="262" t="n">
        <v>26798.7</v>
      </c>
      <c r="C26" s="262" t="n">
        <v>41025</v>
      </c>
      <c r="D26" s="262" t="n">
        <v>56619.5</v>
      </c>
      <c r="E26" s="262" t="n">
        <v>75534.60000000001</v>
      </c>
      <c r="F26" s="262" t="n">
        <v>84101.89999999999</v>
      </c>
      <c r="G26" s="262" t="n">
        <v>106304.1</v>
      </c>
      <c r="H26" s="262" t="n">
        <v>132733.1</v>
      </c>
      <c r="I26" s="262" t="n">
        <v>176075.2</v>
      </c>
      <c r="J26" s="262" t="n">
        <v>229053.7</v>
      </c>
      <c r="K26" s="262" t="n">
        <v>256586.2</v>
      </c>
      <c r="L26" s="262" t="n">
        <v>314251.6</v>
      </c>
      <c r="M26" s="262" t="n">
        <v>329967.4</v>
      </c>
      <c r="N26" s="262" t="n">
        <v>390740.4</v>
      </c>
      <c r="O26" s="262" t="n">
        <v>489212.6</v>
      </c>
      <c r="P26" s="262" t="n">
        <v>547407.1</v>
      </c>
      <c r="Q26" s="262" t="n">
        <v>561081</v>
      </c>
      <c r="R26" s="262" t="n">
        <v>572919.1</v>
      </c>
      <c r="S26" s="263" t="n">
        <v>635806.4</v>
      </c>
    </row>
    <row r="27" ht="15" customHeight="1" s="226">
      <c r="A27" s="268" t="inlineStr">
        <is>
          <t>Архангельская область</t>
        </is>
      </c>
      <c r="B27" s="262" t="n">
        <v>15755.3</v>
      </c>
      <c r="C27" s="262" t="n">
        <v>25622.9</v>
      </c>
      <c r="D27" s="262" t="n">
        <v>44797.4</v>
      </c>
      <c r="E27" s="262" t="n">
        <v>49474</v>
      </c>
      <c r="F27" s="262" t="n">
        <v>61989.4</v>
      </c>
      <c r="G27" s="262" t="n">
        <v>78507</v>
      </c>
      <c r="H27" s="262" t="n">
        <v>109045.7</v>
      </c>
      <c r="I27" s="262" t="n">
        <v>128965.3</v>
      </c>
      <c r="J27" s="262" t="n">
        <v>169458.4</v>
      </c>
      <c r="K27" s="262" t="n">
        <v>212908.3</v>
      </c>
      <c r="L27" s="262" t="n">
        <v>231492.8</v>
      </c>
      <c r="M27" s="262" t="n">
        <v>260584.7</v>
      </c>
      <c r="N27" s="262" t="n">
        <v>302801.3</v>
      </c>
      <c r="O27" s="262" t="n">
        <v>361560.6</v>
      </c>
      <c r="P27" s="262" t="n">
        <v>395756</v>
      </c>
      <c r="Q27" s="262" t="n">
        <v>426106.4</v>
      </c>
      <c r="R27" s="262" t="n">
        <v>469904.3</v>
      </c>
      <c r="S27" s="263" t="n">
        <v>552095.2</v>
      </c>
    </row>
    <row r="28" ht="15" customHeight="1" s="226">
      <c r="A28" s="268" t="inlineStr">
        <is>
          <t xml:space="preserve">      в т.ч. Ненецкий авт. округ</t>
        </is>
      </c>
      <c r="B28" s="262" t="inlineStr">
        <is>
          <t>…</t>
        </is>
      </c>
      <c r="C28" s="262" t="inlineStr">
        <is>
          <t>…</t>
        </is>
      </c>
      <c r="D28" s="262" t="inlineStr">
        <is>
          <t>…</t>
        </is>
      </c>
      <c r="E28" s="262" t="inlineStr">
        <is>
          <t>…</t>
        </is>
      </c>
      <c r="F28" s="262" t="inlineStr">
        <is>
          <t>…</t>
        </is>
      </c>
      <c r="G28" s="262" t="inlineStr">
        <is>
          <t>…</t>
        </is>
      </c>
      <c r="H28" s="262" t="inlineStr">
        <is>
          <t>…</t>
        </is>
      </c>
      <c r="I28" s="262" t="inlineStr">
        <is>
          <t>…</t>
        </is>
      </c>
      <c r="J28" s="262" t="inlineStr">
        <is>
          <t>…</t>
        </is>
      </c>
      <c r="K28" s="262" t="inlineStr">
        <is>
          <t>…</t>
        </is>
      </c>
      <c r="L28" s="262" t="inlineStr">
        <is>
          <t>…</t>
        </is>
      </c>
      <c r="M28" s="262" t="inlineStr">
        <is>
          <t>…</t>
        </is>
      </c>
      <c r="N28" s="262" t="inlineStr">
        <is>
          <t>…</t>
        </is>
      </c>
      <c r="O28" s="262" t="n">
        <v>3926593.4</v>
      </c>
      <c r="P28" s="262" t="n">
        <v>3721264.5</v>
      </c>
      <c r="Q28" s="262" t="n">
        <v>4099188.4</v>
      </c>
      <c r="R28" s="262" t="n">
        <v>4426058.3</v>
      </c>
      <c r="S28" s="263" t="n">
        <v>5359728.6</v>
      </c>
    </row>
    <row r="29" ht="15" customFormat="1" customHeight="1" s="225">
      <c r="A29" s="277" t="inlineStr">
        <is>
          <t xml:space="preserve">     Архангельская область без Ненецкого авт.округа</t>
        </is>
      </c>
      <c r="B29" s="269" t="inlineStr">
        <is>
          <t>…</t>
        </is>
      </c>
      <c r="C29" s="269" t="inlineStr">
        <is>
          <t>…</t>
        </is>
      </c>
      <c r="D29" s="269" t="inlineStr">
        <is>
          <t>…</t>
        </is>
      </c>
      <c r="E29" s="269" t="inlineStr">
        <is>
          <t>…</t>
        </is>
      </c>
      <c r="F29" s="269" t="inlineStr">
        <is>
          <t>…</t>
        </is>
      </c>
      <c r="G29" s="269" t="inlineStr">
        <is>
          <t>…</t>
        </is>
      </c>
      <c r="H29" s="269" t="inlineStr">
        <is>
          <t>…</t>
        </is>
      </c>
      <c r="I29" s="269" t="inlineStr">
        <is>
          <t>…</t>
        </is>
      </c>
      <c r="J29" s="269" t="inlineStr">
        <is>
          <t>…</t>
        </is>
      </c>
      <c r="K29" s="269" t="inlineStr">
        <is>
          <t>…</t>
        </is>
      </c>
      <c r="L29" s="269" t="inlineStr">
        <is>
          <t>…</t>
        </is>
      </c>
      <c r="M29" s="269" t="inlineStr">
        <is>
          <t>…</t>
        </is>
      </c>
      <c r="N29" s="269" t="inlineStr">
        <is>
          <t>…</t>
        </is>
      </c>
      <c r="O29" s="262" t="n">
        <v>233445.8</v>
      </c>
      <c r="P29" s="262" t="n">
        <v>273874.6</v>
      </c>
      <c r="Q29" s="262" t="n">
        <v>288957.6</v>
      </c>
      <c r="R29" s="262" t="n">
        <v>319673</v>
      </c>
      <c r="S29" s="263" t="n">
        <v>365908.3</v>
      </c>
    </row>
    <row r="30" ht="15" customHeight="1" s="226">
      <c r="A30" s="268" t="inlineStr">
        <is>
          <t>Вологодская область</t>
        </is>
      </c>
      <c r="B30" s="262" t="n">
        <v>18080.3</v>
      </c>
      <c r="C30" s="262" t="n">
        <v>34471</v>
      </c>
      <c r="D30" s="262" t="n">
        <v>53432.8</v>
      </c>
      <c r="E30" s="262" t="n">
        <v>50934.4</v>
      </c>
      <c r="F30" s="262" t="n">
        <v>63433.6</v>
      </c>
      <c r="G30" s="262" t="n">
        <v>85259.10000000001</v>
      </c>
      <c r="H30" s="262" t="n">
        <v>129015.6</v>
      </c>
      <c r="I30" s="262" t="n">
        <v>156379.7</v>
      </c>
      <c r="J30" s="262" t="n">
        <v>164130.2</v>
      </c>
      <c r="K30" s="262" t="n">
        <v>199003</v>
      </c>
      <c r="L30" s="262" t="n">
        <v>242347.7</v>
      </c>
      <c r="M30" s="262" t="n">
        <v>176179.2</v>
      </c>
      <c r="N30" s="262" t="n">
        <v>217826.8</v>
      </c>
      <c r="O30" s="262" t="n">
        <v>269271</v>
      </c>
      <c r="P30" s="262" t="n">
        <v>296779.7</v>
      </c>
      <c r="Q30" s="262" t="n">
        <v>289860.7</v>
      </c>
      <c r="R30" s="262" t="n">
        <v>324906.9</v>
      </c>
      <c r="S30" s="263" t="n">
        <v>402818.7</v>
      </c>
    </row>
    <row r="31" ht="15" customHeight="1" s="226">
      <c r="A31" s="268" t="inlineStr">
        <is>
          <t>Калининградская область</t>
        </is>
      </c>
      <c r="B31" s="262" t="n">
        <v>8783.5</v>
      </c>
      <c r="C31" s="262" t="n">
        <v>16270.4</v>
      </c>
      <c r="D31" s="262" t="n">
        <v>24308.8</v>
      </c>
      <c r="E31" s="262" t="n">
        <v>33797.4</v>
      </c>
      <c r="F31" s="262" t="n">
        <v>42019.6</v>
      </c>
      <c r="G31" s="262" t="n">
        <v>49167.4</v>
      </c>
      <c r="H31" s="262" t="n">
        <v>70426</v>
      </c>
      <c r="I31" s="262" t="n">
        <v>87122.8</v>
      </c>
      <c r="J31" s="262" t="n">
        <v>110255.4</v>
      </c>
      <c r="K31" s="262" t="n">
        <v>153964</v>
      </c>
      <c r="L31" s="262" t="n">
        <v>191533.4</v>
      </c>
      <c r="M31" s="262" t="n">
        <v>180797.2</v>
      </c>
      <c r="N31" s="262" t="n">
        <v>208193.2</v>
      </c>
      <c r="O31" s="262" t="n">
        <v>255184.6</v>
      </c>
      <c r="P31" s="262" t="n">
        <v>278984.6</v>
      </c>
      <c r="Q31" s="262" t="n">
        <v>287490.4</v>
      </c>
      <c r="R31" s="262" t="n">
        <v>324788.4</v>
      </c>
      <c r="S31" s="263" t="n">
        <v>359164.5</v>
      </c>
    </row>
    <row r="32" ht="15" customHeight="1" s="226">
      <c r="A32" s="268" t="inlineStr">
        <is>
          <t>Ленинградская область</t>
        </is>
      </c>
      <c r="B32" s="262" t="n">
        <v>12708</v>
      </c>
      <c r="C32" s="262" t="n">
        <v>23516.4</v>
      </c>
      <c r="D32" s="262" t="n">
        <v>33265.1</v>
      </c>
      <c r="E32" s="262" t="n">
        <v>45248.2</v>
      </c>
      <c r="F32" s="262" t="n">
        <v>56738.1</v>
      </c>
      <c r="G32" s="262" t="n">
        <v>72578.7</v>
      </c>
      <c r="H32" s="262" t="n">
        <v>99230</v>
      </c>
      <c r="I32" s="262" t="n">
        <v>122024.2</v>
      </c>
      <c r="J32" s="262" t="n">
        <v>157122.1</v>
      </c>
      <c r="K32" s="262" t="n">
        <v>182657.9</v>
      </c>
      <c r="L32" s="262" t="n">
        <v>226011</v>
      </c>
      <c r="M32" s="262" t="n">
        <v>252890.9</v>
      </c>
      <c r="N32" s="262" t="n">
        <v>286435.4</v>
      </c>
      <c r="O32" s="262" t="n">
        <v>336137.4</v>
      </c>
      <c r="P32" s="262" t="n">
        <v>382821.7</v>
      </c>
      <c r="Q32" s="262" t="n">
        <v>381510.3</v>
      </c>
      <c r="R32" s="262" t="n">
        <v>390916.1</v>
      </c>
      <c r="S32" s="263" t="n">
        <v>468084.8</v>
      </c>
    </row>
    <row r="33" ht="15" customHeight="1" s="226">
      <c r="A33" s="268" t="inlineStr">
        <is>
          <t>Мурманская область</t>
        </is>
      </c>
      <c r="B33" s="262" t="n">
        <v>23233.5</v>
      </c>
      <c r="C33" s="262" t="n">
        <v>43012.3</v>
      </c>
      <c r="D33" s="262" t="n">
        <v>59157.8</v>
      </c>
      <c r="E33" s="262" t="n">
        <v>62965.4</v>
      </c>
      <c r="F33" s="262" t="n">
        <v>76236.89999999999</v>
      </c>
      <c r="G33" s="262" t="n">
        <v>91442.10000000001</v>
      </c>
      <c r="H33" s="262" t="n">
        <v>144469.3</v>
      </c>
      <c r="I33" s="262" t="n">
        <v>156652.5</v>
      </c>
      <c r="J33" s="262" t="n">
        <v>190124.3</v>
      </c>
      <c r="K33" s="262" t="n">
        <v>233765.5</v>
      </c>
      <c r="L33" s="262" t="n">
        <v>263755.5</v>
      </c>
      <c r="M33" s="262" t="n">
        <v>251956.9</v>
      </c>
      <c r="N33" s="262" t="n">
        <v>292926.1</v>
      </c>
      <c r="O33" s="262" t="n">
        <v>334720.5</v>
      </c>
      <c r="P33" s="262" t="n">
        <v>365920.8</v>
      </c>
      <c r="Q33" s="262" t="n">
        <v>402526.1</v>
      </c>
      <c r="R33" s="262" t="n">
        <v>438309.7</v>
      </c>
      <c r="S33" s="263" t="n">
        <v>543412.9</v>
      </c>
    </row>
    <row r="34" ht="15" customHeight="1" s="226">
      <c r="A34" s="268" t="inlineStr">
        <is>
          <t>Новгородская область</t>
        </is>
      </c>
      <c r="B34" s="262" t="n">
        <v>12860.3</v>
      </c>
      <c r="C34" s="262" t="n">
        <v>21772.7</v>
      </c>
      <c r="D34" s="262" t="n">
        <v>29347</v>
      </c>
      <c r="E34" s="262" t="n">
        <v>38975.3</v>
      </c>
      <c r="F34" s="262" t="n">
        <v>45178.5</v>
      </c>
      <c r="G34" s="262" t="n">
        <v>55387.3</v>
      </c>
      <c r="H34" s="262" t="n">
        <v>72549.3</v>
      </c>
      <c r="I34" s="262" t="n">
        <v>95286.2</v>
      </c>
      <c r="J34" s="262" t="n">
        <v>113246.4</v>
      </c>
      <c r="K34" s="262" t="n">
        <v>132334.8</v>
      </c>
      <c r="L34" s="262" t="n">
        <v>177472.4</v>
      </c>
      <c r="M34" s="262" t="n">
        <v>183196.9</v>
      </c>
      <c r="N34" s="262" t="n">
        <v>200248.6</v>
      </c>
      <c r="O34" s="262" t="n">
        <v>243130.1</v>
      </c>
      <c r="P34" s="262" t="n">
        <v>272065.9</v>
      </c>
      <c r="Q34" s="262" t="n">
        <v>287036.7</v>
      </c>
      <c r="R34" s="262" t="n">
        <v>338150.7</v>
      </c>
      <c r="S34" s="263" t="n">
        <v>380459.4</v>
      </c>
    </row>
    <row r="35" ht="15" customHeight="1" s="226">
      <c r="A35" s="268" t="inlineStr">
        <is>
          <t>Псковская область</t>
        </is>
      </c>
      <c r="B35" s="262" t="n">
        <v>7616.8</v>
      </c>
      <c r="C35" s="262" t="n">
        <v>13947.2</v>
      </c>
      <c r="D35" s="262" t="n">
        <v>20544.7</v>
      </c>
      <c r="E35" s="262" t="n">
        <v>25031.4</v>
      </c>
      <c r="F35" s="262" t="n">
        <v>31547.3</v>
      </c>
      <c r="G35" s="262" t="n">
        <v>39190.7</v>
      </c>
      <c r="H35" s="262" t="n">
        <v>48358.5</v>
      </c>
      <c r="I35" s="262" t="n">
        <v>55772.9</v>
      </c>
      <c r="J35" s="262" t="n">
        <v>72029.10000000001</v>
      </c>
      <c r="K35" s="262" t="n">
        <v>87456.7</v>
      </c>
      <c r="L35" s="262" t="n">
        <v>105449</v>
      </c>
      <c r="M35" s="262" t="n">
        <v>108797.9</v>
      </c>
      <c r="N35" s="262" t="n">
        <v>128685.1</v>
      </c>
      <c r="O35" s="262" t="n">
        <v>150372.7</v>
      </c>
      <c r="P35" s="262" t="n">
        <v>162494.1</v>
      </c>
      <c r="Q35" s="262" t="n">
        <v>175067.2</v>
      </c>
      <c r="R35" s="262" t="n">
        <v>191022</v>
      </c>
      <c r="S35" s="263" t="n">
        <v>210766.7</v>
      </c>
    </row>
    <row r="36" ht="15" customHeight="1" s="226">
      <c r="A36" s="268" t="inlineStr">
        <is>
          <t>г.Санкт-Петербург</t>
        </is>
      </c>
      <c r="B36" s="270" t="n">
        <v>18024.9</v>
      </c>
      <c r="C36" s="270" t="n">
        <v>28247</v>
      </c>
      <c r="D36" s="270" t="n">
        <v>39811.1</v>
      </c>
      <c r="E36" s="270" t="n">
        <v>53525.3</v>
      </c>
      <c r="F36" s="270" t="n">
        <v>72059.8</v>
      </c>
      <c r="G36" s="270" t="n">
        <v>87919.3</v>
      </c>
      <c r="H36" s="270" t="n">
        <v>116030.9</v>
      </c>
      <c r="I36" s="270" t="n">
        <v>141795.6</v>
      </c>
      <c r="J36" s="270" t="n">
        <v>174432.8</v>
      </c>
      <c r="K36" s="270" t="n">
        <v>235410.3</v>
      </c>
      <c r="L36" s="270" t="n">
        <v>299436</v>
      </c>
      <c r="M36" s="270" t="n">
        <v>306454.8</v>
      </c>
      <c r="N36" s="270" t="n">
        <v>349253.6</v>
      </c>
      <c r="O36" s="270" t="n">
        <v>423715</v>
      </c>
      <c r="P36" s="270" t="n">
        <v>453981</v>
      </c>
      <c r="Q36" s="270" t="n">
        <v>485317</v>
      </c>
      <c r="R36" s="270" t="n">
        <v>508256.7</v>
      </c>
      <c r="S36" s="271" t="n">
        <v>638685.1</v>
      </c>
    </row>
    <row r="37" ht="15" customHeight="1" s="226">
      <c r="A37" s="272" t="inlineStr">
        <is>
          <t>Южный федеральный округ</t>
        </is>
      </c>
      <c r="B37" s="254" t="n">
        <v>9529.700000000001</v>
      </c>
      <c r="C37" s="254" t="n">
        <v>16313</v>
      </c>
      <c r="D37" s="254" t="n">
        <v>23417.9</v>
      </c>
      <c r="E37" s="254" t="n">
        <v>30388.9</v>
      </c>
      <c r="F37" s="254" t="n">
        <v>37122.4</v>
      </c>
      <c r="G37" s="254" t="n">
        <v>44227</v>
      </c>
      <c r="H37" s="254" t="n">
        <v>55215.5</v>
      </c>
      <c r="I37" s="254" t="n">
        <v>67566</v>
      </c>
      <c r="J37" s="254" t="n">
        <v>86428.10000000001</v>
      </c>
      <c r="K37" s="254" t="n">
        <v>114085.8</v>
      </c>
      <c r="L37" s="254" t="n">
        <v>144633.8</v>
      </c>
      <c r="M37" s="254" t="n">
        <v>144046</v>
      </c>
      <c r="N37" s="254" t="n">
        <v>168773.2</v>
      </c>
      <c r="O37" s="254" t="n">
        <v>200171.9</v>
      </c>
      <c r="P37" s="254" t="n">
        <v>228741.7</v>
      </c>
      <c r="Q37" s="254" t="n">
        <v>255547.3</v>
      </c>
      <c r="R37" s="254" t="n">
        <v>253993.8</v>
      </c>
      <c r="S37" s="254" t="n">
        <v>282066.5</v>
      </c>
    </row>
    <row r="38" ht="15" customHeight="1" s="226">
      <c r="A38" s="268" t="inlineStr">
        <is>
          <t>Республика Адыгея</t>
        </is>
      </c>
      <c r="B38" s="273" t="n">
        <v>6907.7</v>
      </c>
      <c r="C38" s="273" t="n">
        <v>10061.7</v>
      </c>
      <c r="D38" s="273" t="n">
        <v>12315.1</v>
      </c>
      <c r="E38" s="273" t="n">
        <v>14858.6</v>
      </c>
      <c r="F38" s="273" t="n">
        <v>17707.5</v>
      </c>
      <c r="G38" s="273" t="n">
        <v>22091.7</v>
      </c>
      <c r="H38" s="273" t="n">
        <v>28133.2</v>
      </c>
      <c r="I38" s="273" t="n">
        <v>38514.5</v>
      </c>
      <c r="J38" s="273" t="n">
        <v>48050.2</v>
      </c>
      <c r="K38" s="273" t="n">
        <v>66366.2</v>
      </c>
      <c r="L38" s="273" t="n">
        <v>82378.2</v>
      </c>
      <c r="M38" s="273" t="n">
        <v>94436.5</v>
      </c>
      <c r="N38" s="273" t="n">
        <v>107297.5</v>
      </c>
      <c r="O38" s="273" t="n">
        <v>128374.2</v>
      </c>
      <c r="P38" s="273" t="n">
        <v>145958.8</v>
      </c>
      <c r="Q38" s="273" t="n">
        <v>156745.1</v>
      </c>
      <c r="R38" s="273" t="n">
        <v>165414</v>
      </c>
      <c r="S38" s="274" t="n">
        <v>182243.9</v>
      </c>
    </row>
    <row r="39" ht="15" customHeight="1" s="226">
      <c r="A39" s="268" t="inlineStr">
        <is>
          <t>Республика Калмыкия</t>
        </is>
      </c>
      <c r="B39" s="262" t="n">
        <v>4899.8</v>
      </c>
      <c r="C39" s="262" t="n">
        <v>7104.1</v>
      </c>
      <c r="D39" s="262" t="n">
        <v>20183.7</v>
      </c>
      <c r="E39" s="262" t="n">
        <v>22261.8</v>
      </c>
      <c r="F39" s="262" t="n">
        <v>24676.8</v>
      </c>
      <c r="G39" s="262" t="n">
        <v>22394.9</v>
      </c>
      <c r="H39" s="262" t="n">
        <v>29105.7</v>
      </c>
      <c r="I39" s="262" t="n">
        <v>33017.9</v>
      </c>
      <c r="J39" s="262" t="n">
        <v>43797.2</v>
      </c>
      <c r="K39" s="262" t="n">
        <v>58925.2</v>
      </c>
      <c r="L39" s="262" t="n">
        <v>71450.7</v>
      </c>
      <c r="M39" s="262" t="n">
        <v>82586.8</v>
      </c>
      <c r="N39" s="262" t="n">
        <v>84359.39999999999</v>
      </c>
      <c r="O39" s="262" t="n">
        <v>101929.5</v>
      </c>
      <c r="P39" s="262" t="n">
        <v>125970.8</v>
      </c>
      <c r="Q39" s="262" t="n">
        <v>145760.6</v>
      </c>
      <c r="R39" s="262" t="n">
        <v>166419.7</v>
      </c>
      <c r="S39" s="263" t="n">
        <v>186387.4</v>
      </c>
    </row>
    <row r="40" ht="15" customHeight="1" s="226">
      <c r="A40" s="268" t="inlineStr">
        <is>
          <t>Республика Крым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>
        <v>100526.4</v>
      </c>
      <c r="S40" s="263" t="n">
        <v>139671.7</v>
      </c>
    </row>
    <row r="41" ht="15" customHeight="1" s="226">
      <c r="A41" s="268" t="inlineStr">
        <is>
          <t>Краснодарский край</t>
        </is>
      </c>
      <c r="B41" s="262" t="n">
        <v>10063.7</v>
      </c>
      <c r="C41" s="262" t="n">
        <v>19267.7</v>
      </c>
      <c r="D41" s="262" t="n">
        <v>26713.9</v>
      </c>
      <c r="E41" s="262" t="n">
        <v>34912.4</v>
      </c>
      <c r="F41" s="262" t="n">
        <v>42477.6</v>
      </c>
      <c r="G41" s="262" t="n">
        <v>48572.8</v>
      </c>
      <c r="H41" s="262" t="n">
        <v>61291.7</v>
      </c>
      <c r="I41" s="262" t="n">
        <v>72794.10000000001</v>
      </c>
      <c r="J41" s="262" t="n">
        <v>94244</v>
      </c>
      <c r="K41" s="262" t="n">
        <v>125700.4</v>
      </c>
      <c r="L41" s="262" t="n">
        <v>155103.6</v>
      </c>
      <c r="M41" s="262" t="n">
        <v>165555.1</v>
      </c>
      <c r="N41" s="262" t="n">
        <v>196914.3</v>
      </c>
      <c r="O41" s="262" t="n">
        <v>236464.8</v>
      </c>
      <c r="P41" s="262" t="n">
        <v>273999.1</v>
      </c>
      <c r="Q41" s="262" t="n">
        <v>307971.4</v>
      </c>
      <c r="R41" s="262" t="n">
        <v>326019.5</v>
      </c>
      <c r="S41" s="263" t="n">
        <v>348836</v>
      </c>
    </row>
    <row r="42" ht="15" customHeight="1" s="226">
      <c r="A42" s="268" t="inlineStr">
        <is>
          <t>Астраханская область</t>
        </is>
      </c>
      <c r="B42" s="262" t="n">
        <v>10172.2</v>
      </c>
      <c r="C42" s="262" t="n">
        <v>15805.2</v>
      </c>
      <c r="D42" s="262" t="n">
        <v>27815.3</v>
      </c>
      <c r="E42" s="262" t="n">
        <v>32037.2</v>
      </c>
      <c r="F42" s="262" t="n">
        <v>40786.8</v>
      </c>
      <c r="G42" s="262" t="n">
        <v>50386.3</v>
      </c>
      <c r="H42" s="262" t="n">
        <v>56357.5</v>
      </c>
      <c r="I42" s="262" t="n">
        <v>69814</v>
      </c>
      <c r="J42" s="262" t="n">
        <v>84950</v>
      </c>
      <c r="K42" s="262" t="n">
        <v>99999.39999999999</v>
      </c>
      <c r="L42" s="262" t="n">
        <v>146391</v>
      </c>
      <c r="M42" s="262" t="n">
        <v>133018.5</v>
      </c>
      <c r="N42" s="262" t="n">
        <v>143388.8</v>
      </c>
      <c r="O42" s="262" t="n">
        <v>170798.2</v>
      </c>
      <c r="P42" s="262" t="n">
        <v>207683.9</v>
      </c>
      <c r="Q42" s="262" t="n">
        <v>271899.3</v>
      </c>
      <c r="R42" s="262" t="n">
        <v>293883.9</v>
      </c>
      <c r="S42" s="263" t="n">
        <v>320199</v>
      </c>
    </row>
    <row r="43" ht="15" customHeight="1" s="226">
      <c r="A43" s="268" t="inlineStr">
        <is>
          <t>Волгоградская область</t>
        </is>
      </c>
      <c r="B43" s="262" t="n">
        <v>11000.6</v>
      </c>
      <c r="C43" s="262" t="n">
        <v>16181.9</v>
      </c>
      <c r="D43" s="262" t="n">
        <v>23340.8</v>
      </c>
      <c r="E43" s="262" t="n">
        <v>30513.2</v>
      </c>
      <c r="F43" s="262" t="n">
        <v>38617.7</v>
      </c>
      <c r="G43" s="262" t="n">
        <v>47934.1</v>
      </c>
      <c r="H43" s="262" t="n">
        <v>57928</v>
      </c>
      <c r="I43" s="262" t="n">
        <v>76740.60000000001</v>
      </c>
      <c r="J43" s="262" t="n">
        <v>95683.39999999999</v>
      </c>
      <c r="K43" s="262" t="n">
        <v>126313.1</v>
      </c>
      <c r="L43" s="262" t="n">
        <v>159001.5</v>
      </c>
      <c r="M43" s="262" t="n">
        <v>144303.4</v>
      </c>
      <c r="N43" s="262" t="n">
        <v>166028.8</v>
      </c>
      <c r="O43" s="262" t="n">
        <v>195321.7</v>
      </c>
      <c r="P43" s="262" t="n">
        <v>220267.5</v>
      </c>
      <c r="Q43" s="262" t="n">
        <v>234934.7</v>
      </c>
      <c r="R43" s="262" t="n">
        <v>277632.9</v>
      </c>
      <c r="S43" s="263" t="n">
        <v>288213.6</v>
      </c>
    </row>
    <row r="44" ht="15" customHeight="1" s="226">
      <c r="A44" s="268" t="inlineStr">
        <is>
          <t>Ростовская область</t>
        </is>
      </c>
      <c r="B44" s="262" t="n">
        <v>8455</v>
      </c>
      <c r="C44" s="262" t="n">
        <v>14380.4</v>
      </c>
      <c r="D44" s="262" t="n">
        <v>20003.8</v>
      </c>
      <c r="E44" s="262" t="n">
        <v>26817.8</v>
      </c>
      <c r="F44" s="262" t="n">
        <v>31941.7</v>
      </c>
      <c r="G44" s="262" t="n">
        <v>39180.4</v>
      </c>
      <c r="H44" s="262" t="n">
        <v>50678.6</v>
      </c>
      <c r="I44" s="262" t="n">
        <v>60575</v>
      </c>
      <c r="J44" s="262" t="n">
        <v>78642</v>
      </c>
      <c r="K44" s="262" t="n">
        <v>104603.1</v>
      </c>
      <c r="L44" s="262" t="n">
        <v>134137.4</v>
      </c>
      <c r="M44" s="262" t="n">
        <v>129626</v>
      </c>
      <c r="N44" s="262" t="n">
        <v>154127.9</v>
      </c>
      <c r="O44" s="262" t="n">
        <v>179399.3</v>
      </c>
      <c r="P44" s="262" t="n">
        <v>197892.7</v>
      </c>
      <c r="Q44" s="262" t="n">
        <v>215492</v>
      </c>
      <c r="R44" s="262" t="n">
        <v>236800.7</v>
      </c>
      <c r="S44" s="263" t="n">
        <v>279489.9</v>
      </c>
    </row>
    <row r="45" ht="15" customHeight="1" s="226">
      <c r="A45" s="268" t="inlineStr">
        <is>
          <t>г.Севастополь</t>
        </is>
      </c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>
        <v>78009.3</v>
      </c>
      <c r="S45" s="263" t="n">
        <v>116366.9</v>
      </c>
    </row>
    <row r="46" ht="15" customFormat="1" customHeight="1" s="225">
      <c r="A46" s="276" t="inlineStr">
        <is>
          <t>Северо-Кавказский федеральный округ</t>
        </is>
      </c>
      <c r="B46" s="254" t="n">
        <v>6807.6</v>
      </c>
      <c r="C46" s="254" t="n">
        <v>9850.700000000001</v>
      </c>
      <c r="D46" s="254" t="n">
        <v>13802.7</v>
      </c>
      <c r="E46" s="254" t="n">
        <v>18408.8</v>
      </c>
      <c r="F46" s="254" t="n">
        <v>22374.6</v>
      </c>
      <c r="G46" s="275" t="n">
        <v>28078.5</v>
      </c>
      <c r="H46" s="275" t="n">
        <v>35083.2</v>
      </c>
      <c r="I46" s="275" t="n">
        <v>39050.8</v>
      </c>
      <c r="J46" s="275" t="n">
        <v>50434.2</v>
      </c>
      <c r="K46" s="275" t="n">
        <v>62724.1</v>
      </c>
      <c r="L46" s="275" t="n">
        <v>78921.5</v>
      </c>
      <c r="M46" s="275" t="n">
        <v>84493.89999999999</v>
      </c>
      <c r="N46" s="275" t="n">
        <v>94915.3</v>
      </c>
      <c r="O46" s="275" t="n">
        <v>112548.7</v>
      </c>
      <c r="P46" s="275" t="n">
        <v>126701.2</v>
      </c>
      <c r="Q46" s="275" t="n">
        <v>145466.2</v>
      </c>
      <c r="R46" s="275" t="n">
        <v>162954.2</v>
      </c>
      <c r="S46" s="254" t="n">
        <v>175022.9</v>
      </c>
    </row>
    <row r="47" ht="15" customHeight="1" s="226">
      <c r="A47" s="268" t="inlineStr">
        <is>
          <t>Республика Дагестан</t>
        </is>
      </c>
      <c r="B47" s="262" t="n">
        <v>3589.4</v>
      </c>
      <c r="C47" s="262" t="n">
        <v>5383.3</v>
      </c>
      <c r="D47" s="262" t="n">
        <v>8489.700000000001</v>
      </c>
      <c r="E47" s="262" t="n">
        <v>12562.3</v>
      </c>
      <c r="F47" s="262" t="n">
        <v>16195.5</v>
      </c>
      <c r="G47" s="262" t="n">
        <v>22168.7</v>
      </c>
      <c r="H47" s="262" t="n">
        <v>30629.6</v>
      </c>
      <c r="I47" s="262" t="n">
        <v>33839.8</v>
      </c>
      <c r="J47" s="262" t="n">
        <v>45741.7</v>
      </c>
      <c r="K47" s="262" t="n">
        <v>56812.6</v>
      </c>
      <c r="L47" s="262" t="n">
        <v>77033.8</v>
      </c>
      <c r="M47" s="262" t="n">
        <v>90542.5</v>
      </c>
      <c r="N47" s="262" t="n">
        <v>94883.60000000001</v>
      </c>
      <c r="O47" s="262" t="n">
        <v>112953.7</v>
      </c>
      <c r="P47" s="262" t="n">
        <v>127273.4</v>
      </c>
      <c r="Q47" s="262" t="n">
        <v>152776.7</v>
      </c>
      <c r="R47" s="262" t="n">
        <v>176634.1</v>
      </c>
      <c r="S47" s="263" t="n">
        <v>188590.2</v>
      </c>
    </row>
    <row r="48" ht="15" customHeight="1" s="226">
      <c r="A48" s="268" t="inlineStr">
        <is>
          <t>Республика Ингушетия</t>
        </is>
      </c>
      <c r="B48" s="262" t="n">
        <v>3428.9</v>
      </c>
      <c r="C48" s="262" t="n">
        <v>5098</v>
      </c>
      <c r="D48" s="262" t="n">
        <v>6667.9</v>
      </c>
      <c r="E48" s="262" t="n">
        <v>8000.7</v>
      </c>
      <c r="F48" s="262" t="n">
        <v>7751.7</v>
      </c>
      <c r="G48" s="262" t="n">
        <v>10332.4</v>
      </c>
      <c r="H48" s="262" t="n">
        <v>14024.9</v>
      </c>
      <c r="I48" s="262" t="n">
        <v>17435.1</v>
      </c>
      <c r="J48" s="262" t="n">
        <v>21922.4</v>
      </c>
      <c r="K48" s="262" t="n">
        <v>41340.7</v>
      </c>
      <c r="L48" s="262" t="n">
        <v>47002.3</v>
      </c>
      <c r="M48" s="262" t="n">
        <v>46174.4</v>
      </c>
      <c r="N48" s="262" t="n">
        <v>48239.2</v>
      </c>
      <c r="O48" s="262" t="n">
        <v>63662.5</v>
      </c>
      <c r="P48" s="262" t="n">
        <v>86074.8</v>
      </c>
      <c r="Q48" s="262" t="n">
        <v>102879.9</v>
      </c>
      <c r="R48" s="262" t="n">
        <v>114212.7</v>
      </c>
      <c r="S48" s="263" t="n">
        <v>108133.7</v>
      </c>
    </row>
    <row r="49" ht="15" customHeight="1" s="226">
      <c r="A49" s="268" t="inlineStr">
        <is>
          <t>Кабардино-Балкарская Республика</t>
        </is>
      </c>
      <c r="B49" s="262" t="n">
        <v>6611.7</v>
      </c>
      <c r="C49" s="262" t="n">
        <v>11057.3</v>
      </c>
      <c r="D49" s="262" t="n">
        <v>15948.9</v>
      </c>
      <c r="E49" s="262" t="n">
        <v>21834.2</v>
      </c>
      <c r="F49" s="262" t="n">
        <v>25369.9</v>
      </c>
      <c r="G49" s="262" t="n">
        <v>29036.2</v>
      </c>
      <c r="H49" s="262" t="n">
        <v>32884.8</v>
      </c>
      <c r="I49" s="262" t="n">
        <v>42253.1</v>
      </c>
      <c r="J49" s="262" t="n">
        <v>50225.2</v>
      </c>
      <c r="K49" s="262" t="n">
        <v>57011.8</v>
      </c>
      <c r="L49" s="262" t="n">
        <v>67731.3</v>
      </c>
      <c r="M49" s="262" t="n">
        <v>76451.10000000001</v>
      </c>
      <c r="N49" s="262" t="n">
        <v>89668.3</v>
      </c>
      <c r="O49" s="262" t="n">
        <v>105251.5</v>
      </c>
      <c r="P49" s="262" t="n">
        <v>123604.5</v>
      </c>
      <c r="Q49" s="262" t="n">
        <v>128113.9</v>
      </c>
      <c r="R49" s="262" t="n">
        <v>134335.3</v>
      </c>
      <c r="S49" s="263" t="n">
        <v>137647.8</v>
      </c>
    </row>
    <row r="50" ht="15" customHeight="1" s="226">
      <c r="A50" s="268" t="inlineStr">
        <is>
          <t>Карачаево-Черкесская Республика</t>
        </is>
      </c>
      <c r="B50" s="262" t="n">
        <v>6391.3</v>
      </c>
      <c r="C50" s="262" t="n">
        <v>9550.5</v>
      </c>
      <c r="D50" s="262" t="n">
        <v>12404.2</v>
      </c>
      <c r="E50" s="262" t="n">
        <v>16639.7</v>
      </c>
      <c r="F50" s="262" t="n">
        <v>23297.3</v>
      </c>
      <c r="G50" s="262" t="n">
        <v>25999</v>
      </c>
      <c r="H50" s="262" t="n">
        <v>29348.9</v>
      </c>
      <c r="I50" s="262" t="n">
        <v>36971.7</v>
      </c>
      <c r="J50" s="262" t="n">
        <v>50778.7</v>
      </c>
      <c r="K50" s="262" t="n">
        <v>59200.9</v>
      </c>
      <c r="L50" s="262" t="n">
        <v>76277.2</v>
      </c>
      <c r="M50" s="262" t="n">
        <v>81758.5</v>
      </c>
      <c r="N50" s="262" t="n">
        <v>91782.3</v>
      </c>
      <c r="O50" s="262" t="n">
        <v>103449.4</v>
      </c>
      <c r="P50" s="262" t="n">
        <v>123977.6</v>
      </c>
      <c r="Q50" s="262" t="n">
        <v>140225.1</v>
      </c>
      <c r="R50" s="262" t="n">
        <v>138920.1</v>
      </c>
      <c r="S50" s="263" t="n">
        <v>143606.8</v>
      </c>
    </row>
    <row r="51" ht="15" customFormat="1" customHeight="1" s="225">
      <c r="A51" s="277" t="inlineStr">
        <is>
          <t>Республика Северная Осетия-Алания</t>
        </is>
      </c>
      <c r="B51" s="262" t="n">
        <v>5727.5</v>
      </c>
      <c r="C51" s="262" t="n">
        <v>9835.200000000001</v>
      </c>
      <c r="D51" s="262" t="n">
        <v>11964.5</v>
      </c>
      <c r="E51" s="262" t="n">
        <v>17914.2</v>
      </c>
      <c r="F51" s="262" t="n">
        <v>22541.2</v>
      </c>
      <c r="G51" s="262" t="n">
        <v>26705.1</v>
      </c>
      <c r="H51" s="262" t="n">
        <v>34323.6</v>
      </c>
      <c r="I51" s="262" t="n">
        <v>44127.2</v>
      </c>
      <c r="J51" s="262" t="n">
        <v>61229.6</v>
      </c>
      <c r="K51" s="262" t="n">
        <v>74356.60000000001</v>
      </c>
      <c r="L51" s="262" t="n">
        <v>81097</v>
      </c>
      <c r="M51" s="262" t="n">
        <v>90040.7</v>
      </c>
      <c r="N51" s="262" t="n">
        <v>105781.6</v>
      </c>
      <c r="O51" s="262" t="n">
        <v>120833.1</v>
      </c>
      <c r="P51" s="262" t="n">
        <v>137725.5</v>
      </c>
      <c r="Q51" s="262" t="n">
        <v>168273</v>
      </c>
      <c r="R51" s="262" t="n">
        <v>178833.3</v>
      </c>
      <c r="S51" s="263" t="n">
        <v>179020.7</v>
      </c>
    </row>
    <row r="52" ht="15" customHeight="1" s="226">
      <c r="A52" s="268" t="inlineStr">
        <is>
          <t>Чеченская Республика</t>
        </is>
      </c>
      <c r="B52" s="262" t="inlineStr">
        <is>
          <t>…</t>
        </is>
      </c>
      <c r="C52" s="262" t="inlineStr">
        <is>
          <t>…</t>
        </is>
      </c>
      <c r="D52" s="262" t="inlineStr">
        <is>
          <t>…</t>
        </is>
      </c>
      <c r="E52" s="262" t="inlineStr">
        <is>
          <t>…</t>
        </is>
      </c>
      <c r="F52" s="262" t="inlineStr">
        <is>
          <t>…</t>
        </is>
      </c>
      <c r="G52" s="262" t="inlineStr">
        <is>
          <t>…</t>
        </is>
      </c>
      <c r="H52" s="262" t="inlineStr">
        <is>
          <t>…</t>
        </is>
      </c>
      <c r="I52" s="262" t="n">
        <v>20038.4</v>
      </c>
      <c r="J52" s="262" t="n">
        <v>27831.4</v>
      </c>
      <c r="K52" s="262" t="n">
        <v>40572.6</v>
      </c>
      <c r="L52" s="262" t="n">
        <v>54742.1</v>
      </c>
      <c r="M52" s="262" t="n">
        <v>51981.3</v>
      </c>
      <c r="N52" s="262" t="n">
        <v>55995.7</v>
      </c>
      <c r="O52" s="262" t="n">
        <v>67214.39999999999</v>
      </c>
      <c r="P52" s="262" t="n">
        <v>77857</v>
      </c>
      <c r="Q52" s="262" t="n">
        <v>91610.2</v>
      </c>
      <c r="R52" s="262" t="n">
        <v>109616.6</v>
      </c>
      <c r="S52" s="263" t="n">
        <v>111676.6</v>
      </c>
    </row>
    <row r="53" ht="15" customHeight="1" s="226">
      <c r="A53" s="268" t="inlineStr">
        <is>
          <t>Ставропольский край</t>
        </is>
      </c>
      <c r="B53" s="262" t="n">
        <v>10363.8</v>
      </c>
      <c r="C53" s="262" t="n">
        <v>14018.6</v>
      </c>
      <c r="D53" s="262" t="n">
        <v>19603.9</v>
      </c>
      <c r="E53" s="262" t="n">
        <v>24780.1</v>
      </c>
      <c r="F53" s="262" t="n">
        <v>29453.4</v>
      </c>
      <c r="G53" s="262" t="n">
        <v>37058</v>
      </c>
      <c r="H53" s="262" t="n">
        <v>44610</v>
      </c>
      <c r="I53" s="262" t="n">
        <v>53414.6</v>
      </c>
      <c r="J53" s="262" t="n">
        <v>66136.39999999999</v>
      </c>
      <c r="K53" s="262" t="n">
        <v>80715.3</v>
      </c>
      <c r="L53" s="262" t="n">
        <v>99503.3</v>
      </c>
      <c r="M53" s="262" t="n">
        <v>99994.7</v>
      </c>
      <c r="N53" s="262" t="n">
        <v>118920.6</v>
      </c>
      <c r="O53" s="262" t="n">
        <v>142133.2</v>
      </c>
      <c r="P53" s="262" t="n">
        <v>153902.2</v>
      </c>
      <c r="Q53" s="262" t="n">
        <v>170518.6</v>
      </c>
      <c r="R53" s="262" t="n">
        <v>190724.1</v>
      </c>
      <c r="S53" s="263" t="n">
        <v>217921.9</v>
      </c>
    </row>
    <row r="54" ht="15" customHeight="1" s="226">
      <c r="A54" s="267" t="inlineStr">
        <is>
          <t>Приволжский федеральный округ</t>
        </is>
      </c>
      <c r="B54" s="254" t="n">
        <v>13489.1</v>
      </c>
      <c r="C54" s="254" t="n">
        <v>22204.5</v>
      </c>
      <c r="D54" s="254" t="n">
        <v>32791.7</v>
      </c>
      <c r="E54" s="254" t="n">
        <v>41139.5</v>
      </c>
      <c r="F54" s="254" t="n">
        <v>47526.3</v>
      </c>
      <c r="G54" s="275" t="n">
        <v>58324.4</v>
      </c>
      <c r="H54" s="275" t="n">
        <v>74218.8</v>
      </c>
      <c r="I54" s="275" t="n">
        <v>91573.60000000001</v>
      </c>
      <c r="J54" s="275" t="n">
        <v>115727.9</v>
      </c>
      <c r="K54" s="275" t="n">
        <v>143365.7</v>
      </c>
      <c r="L54" s="275" t="n">
        <v>176879.4</v>
      </c>
      <c r="M54" s="275" t="n">
        <v>163958.3</v>
      </c>
      <c r="N54" s="275" t="n">
        <v>190719.5</v>
      </c>
      <c r="O54" s="275" t="n">
        <v>236240.5</v>
      </c>
      <c r="P54" s="275" t="n">
        <v>263971.8</v>
      </c>
      <c r="Q54" s="275" t="n">
        <v>284797.5</v>
      </c>
      <c r="R54" s="275" t="n">
        <v>308977</v>
      </c>
      <c r="S54" s="254" t="n">
        <v>339029.1</v>
      </c>
    </row>
    <row r="55" ht="15" customHeight="1" s="226">
      <c r="A55" s="268" t="inlineStr">
        <is>
          <t>Республика Башкортостан</t>
        </is>
      </c>
      <c r="B55" s="262" t="n">
        <v>13745</v>
      </c>
      <c r="C55" s="262" t="n">
        <v>23709.8</v>
      </c>
      <c r="D55" s="262" t="n">
        <v>35245.9</v>
      </c>
      <c r="E55" s="262" t="n">
        <v>40609.7</v>
      </c>
      <c r="F55" s="262" t="n">
        <v>45756</v>
      </c>
      <c r="G55" s="262" t="n">
        <v>59274.3</v>
      </c>
      <c r="H55" s="262" t="n">
        <v>76042.5</v>
      </c>
      <c r="I55" s="262" t="n">
        <v>93683.10000000001</v>
      </c>
      <c r="J55" s="262" t="n">
        <v>124439.6</v>
      </c>
      <c r="K55" s="262" t="n">
        <v>145543.9</v>
      </c>
      <c r="L55" s="262" t="n">
        <v>183168.7</v>
      </c>
      <c r="M55" s="262" t="n">
        <v>159428.7</v>
      </c>
      <c r="N55" s="262" t="n">
        <v>186522</v>
      </c>
      <c r="O55" s="262" t="n">
        <v>231077.6</v>
      </c>
      <c r="P55" s="262" t="n">
        <v>282038.4</v>
      </c>
      <c r="Q55" s="262" t="n">
        <v>284639.1</v>
      </c>
      <c r="R55" s="262" t="n">
        <v>307280.3</v>
      </c>
      <c r="S55" s="263" t="n">
        <v>320352.1</v>
      </c>
    </row>
    <row r="56" ht="15" customHeight="1" s="226">
      <c r="A56" s="268" t="inlineStr">
        <is>
          <t>Республика Марий Эл</t>
        </is>
      </c>
      <c r="B56" s="262" t="n">
        <v>8156.1</v>
      </c>
      <c r="C56" s="262" t="n">
        <v>12369.4</v>
      </c>
      <c r="D56" s="262" t="n">
        <v>15114.8</v>
      </c>
      <c r="E56" s="262" t="n">
        <v>20502.6</v>
      </c>
      <c r="F56" s="262" t="n">
        <v>24411.2</v>
      </c>
      <c r="G56" s="262" t="n">
        <v>31719</v>
      </c>
      <c r="H56" s="262" t="n">
        <v>41757.6</v>
      </c>
      <c r="I56" s="262" t="n">
        <v>46589.5</v>
      </c>
      <c r="J56" s="262" t="n">
        <v>61413</v>
      </c>
      <c r="K56" s="262" t="n">
        <v>77919.2</v>
      </c>
      <c r="L56" s="262" t="n">
        <v>93512.39999999999</v>
      </c>
      <c r="M56" s="262" t="n">
        <v>98888.89999999999</v>
      </c>
      <c r="N56" s="262" t="n">
        <v>118110.4</v>
      </c>
      <c r="O56" s="262" t="n">
        <v>140192.9</v>
      </c>
      <c r="P56" s="262" t="n">
        <v>169338.4</v>
      </c>
      <c r="Q56" s="262" t="n">
        <v>182359</v>
      </c>
      <c r="R56" s="262" t="n">
        <v>207926.2</v>
      </c>
      <c r="S56" s="263" t="n">
        <v>249303.7</v>
      </c>
    </row>
    <row r="57" ht="15" customHeight="1" s="226">
      <c r="A57" s="268" t="inlineStr">
        <is>
          <t>Республика Мордовия</t>
        </is>
      </c>
      <c r="B57" s="262" t="n">
        <v>8963.9</v>
      </c>
      <c r="C57" s="262" t="n">
        <v>13176.5</v>
      </c>
      <c r="D57" s="262" t="n">
        <v>19219.8</v>
      </c>
      <c r="E57" s="262" t="n">
        <v>24473.2</v>
      </c>
      <c r="F57" s="262" t="n">
        <v>30848.9</v>
      </c>
      <c r="G57" s="262" t="n">
        <v>37681.7</v>
      </c>
      <c r="H57" s="262" t="n">
        <v>43807.6</v>
      </c>
      <c r="I57" s="262" t="n">
        <v>50982.6</v>
      </c>
      <c r="J57" s="262" t="n">
        <v>67309.8</v>
      </c>
      <c r="K57" s="262" t="n">
        <v>90138.7</v>
      </c>
      <c r="L57" s="262" t="n">
        <v>110877.3</v>
      </c>
      <c r="M57" s="262" t="n">
        <v>107903.3</v>
      </c>
      <c r="N57" s="262" t="n">
        <v>125975.5</v>
      </c>
      <c r="O57" s="262" t="n">
        <v>144564.9</v>
      </c>
      <c r="P57" s="262" t="n">
        <v>163137.2</v>
      </c>
      <c r="Q57" s="262" t="n">
        <v>181863.4</v>
      </c>
      <c r="R57" s="262" t="n">
        <v>213647.2</v>
      </c>
      <c r="S57" s="263" t="n">
        <v>221963</v>
      </c>
    </row>
    <row r="58" ht="15" customHeight="1" s="226">
      <c r="A58" s="268" t="inlineStr">
        <is>
          <t>Республика Татарстан</t>
        </is>
      </c>
      <c r="B58" s="262" t="n">
        <v>17366.3</v>
      </c>
      <c r="C58" s="262" t="n">
        <v>28593.4</v>
      </c>
      <c r="D58" s="262" t="n">
        <v>49139.3</v>
      </c>
      <c r="E58" s="262" t="n">
        <v>56479.2</v>
      </c>
      <c r="F58" s="262" t="n">
        <v>66298.7</v>
      </c>
      <c r="G58" s="262" t="n">
        <v>80809.2</v>
      </c>
      <c r="H58" s="262" t="n">
        <v>103726.8</v>
      </c>
      <c r="I58" s="262" t="n">
        <v>128226.9</v>
      </c>
      <c r="J58" s="262" t="n">
        <v>161045.9</v>
      </c>
      <c r="K58" s="262" t="n">
        <v>201172.1</v>
      </c>
      <c r="L58" s="262" t="n">
        <v>245628.5</v>
      </c>
      <c r="M58" s="262" t="n">
        <v>234206.4</v>
      </c>
      <c r="N58" s="262" t="n">
        <v>264561.7</v>
      </c>
      <c r="O58" s="262" t="n">
        <v>343673.6</v>
      </c>
      <c r="P58" s="262" t="n">
        <v>375500.2</v>
      </c>
      <c r="Q58" s="262" t="n">
        <v>402511.3</v>
      </c>
      <c r="R58" s="262" t="n">
        <v>428084.3</v>
      </c>
      <c r="S58" s="263" t="n">
        <v>477951.3</v>
      </c>
    </row>
    <row r="59" ht="15" customHeight="1" s="226">
      <c r="A59" s="268" t="inlineStr">
        <is>
          <t>Удмуртская Республика</t>
        </is>
      </c>
      <c r="B59" s="262" t="n">
        <v>11807.2</v>
      </c>
      <c r="C59" s="262" t="n">
        <v>21642.8</v>
      </c>
      <c r="D59" s="262" t="n">
        <v>33488.8</v>
      </c>
      <c r="E59" s="262" t="n">
        <v>41407</v>
      </c>
      <c r="F59" s="262" t="n">
        <v>49800.6</v>
      </c>
      <c r="G59" s="262" t="n">
        <v>56904.4</v>
      </c>
      <c r="H59" s="262" t="n">
        <v>64732.3</v>
      </c>
      <c r="I59" s="262" t="n">
        <v>90316.3</v>
      </c>
      <c r="J59" s="262" t="n">
        <v>106891</v>
      </c>
      <c r="K59" s="262" t="n">
        <v>133904.7</v>
      </c>
      <c r="L59" s="262" t="n">
        <v>158850.7</v>
      </c>
      <c r="M59" s="262" t="n">
        <v>151268.7</v>
      </c>
      <c r="N59" s="262" t="n">
        <v>180316.9</v>
      </c>
      <c r="O59" s="262" t="n">
        <v>221393</v>
      </c>
      <c r="P59" s="262" t="n">
        <v>246402</v>
      </c>
      <c r="Q59" s="262" t="n">
        <v>268445.7</v>
      </c>
      <c r="R59" s="262" t="n">
        <v>299199</v>
      </c>
      <c r="S59" s="263" t="n">
        <v>344742.8</v>
      </c>
    </row>
    <row r="60" ht="15" customHeight="1" s="226">
      <c r="A60" s="268" t="inlineStr">
        <is>
          <t>Чувашская Республика</t>
        </is>
      </c>
      <c r="B60" s="262" t="n">
        <v>8328.9</v>
      </c>
      <c r="C60" s="262" t="n">
        <v>12407.3</v>
      </c>
      <c r="D60" s="262" t="n">
        <v>17276.5</v>
      </c>
      <c r="E60" s="262" t="n">
        <v>23253.6</v>
      </c>
      <c r="F60" s="262" t="n">
        <v>28261.3</v>
      </c>
      <c r="G60" s="262" t="n">
        <v>34540.2</v>
      </c>
      <c r="H60" s="262" t="n">
        <v>45955.1</v>
      </c>
      <c r="I60" s="262" t="n">
        <v>54001.9</v>
      </c>
      <c r="J60" s="262" t="n">
        <v>73147.3</v>
      </c>
      <c r="K60" s="262" t="n">
        <v>97528.7</v>
      </c>
      <c r="L60" s="262" t="n">
        <v>122980.3</v>
      </c>
      <c r="M60" s="262" t="n">
        <v>111300.3</v>
      </c>
      <c r="N60" s="262" t="n">
        <v>125843</v>
      </c>
      <c r="O60" s="262" t="n">
        <v>151271.1</v>
      </c>
      <c r="P60" s="262" t="n">
        <v>175241.5</v>
      </c>
      <c r="Q60" s="262" t="n">
        <v>180269.2</v>
      </c>
      <c r="R60" s="262" t="n">
        <v>192495</v>
      </c>
      <c r="S60" s="263" t="n">
        <v>204254</v>
      </c>
    </row>
    <row r="61" ht="15" customHeight="1" s="226">
      <c r="A61" s="268" t="inlineStr">
        <is>
          <t>Пермский край</t>
        </is>
      </c>
      <c r="B61" s="262" t="n">
        <v>17955.2</v>
      </c>
      <c r="C61" s="262" t="n">
        <v>30241.6</v>
      </c>
      <c r="D61" s="262" t="n">
        <v>43273.2</v>
      </c>
      <c r="E61" s="262" t="n">
        <v>58570.7</v>
      </c>
      <c r="F61" s="262" t="n">
        <v>63032.2</v>
      </c>
      <c r="G61" s="262" t="n">
        <v>74783.8</v>
      </c>
      <c r="H61" s="262" t="n">
        <v>96240.2</v>
      </c>
      <c r="I61" s="262" t="n">
        <v>119654</v>
      </c>
      <c r="J61" s="262" t="n">
        <v>141864.8</v>
      </c>
      <c r="K61" s="262" t="n">
        <v>178096.8</v>
      </c>
      <c r="L61" s="262" t="n">
        <v>227719</v>
      </c>
      <c r="M61" s="262" t="n">
        <v>203364.2</v>
      </c>
      <c r="N61" s="262" t="n">
        <v>235930.6</v>
      </c>
      <c r="O61" s="262" t="n">
        <v>319297.1</v>
      </c>
      <c r="P61" s="262" t="n">
        <v>327240.1</v>
      </c>
      <c r="Q61" s="262" t="n">
        <v>334841.7</v>
      </c>
      <c r="R61" s="262" t="n">
        <v>370820.6</v>
      </c>
      <c r="S61" s="263" t="n">
        <v>405495.5</v>
      </c>
    </row>
    <row r="62" ht="15" customHeight="1" s="226">
      <c r="A62" s="268" t="inlineStr">
        <is>
          <t>Кировская область</t>
        </is>
      </c>
      <c r="B62" s="262" t="n">
        <v>9978.700000000001</v>
      </c>
      <c r="C62" s="262" t="n">
        <v>16164.9</v>
      </c>
      <c r="D62" s="262" t="n">
        <v>23165.6</v>
      </c>
      <c r="E62" s="262" t="n">
        <v>27297.1</v>
      </c>
      <c r="F62" s="262" t="n">
        <v>33124</v>
      </c>
      <c r="G62" s="262" t="n">
        <v>38900.6</v>
      </c>
      <c r="H62" s="262" t="n">
        <v>48464.8</v>
      </c>
      <c r="I62" s="262" t="n">
        <v>55726.6</v>
      </c>
      <c r="J62" s="262" t="n">
        <v>68958.3</v>
      </c>
      <c r="K62" s="262" t="n">
        <v>85144.39999999999</v>
      </c>
      <c r="L62" s="262" t="n">
        <v>110127.9</v>
      </c>
      <c r="M62" s="262" t="n">
        <v>107680.4</v>
      </c>
      <c r="N62" s="262" t="n">
        <v>128073.7</v>
      </c>
      <c r="O62" s="262" t="n">
        <v>146903.7</v>
      </c>
      <c r="P62" s="262" t="n">
        <v>159030</v>
      </c>
      <c r="Q62" s="262" t="n">
        <v>173192.9</v>
      </c>
      <c r="R62" s="262" t="n">
        <v>198742.1</v>
      </c>
      <c r="S62" s="263" t="n">
        <v>223251.7</v>
      </c>
    </row>
    <row r="63" ht="15" customHeight="1" s="226">
      <c r="A63" s="268" t="inlineStr">
        <is>
          <t>Нижегородская область</t>
        </is>
      </c>
      <c r="B63" s="262" t="n">
        <v>12936.8</v>
      </c>
      <c r="C63" s="262" t="n">
        <v>19806.2</v>
      </c>
      <c r="D63" s="262" t="n">
        <v>29090.1</v>
      </c>
      <c r="E63" s="262" t="n">
        <v>41773.2</v>
      </c>
      <c r="F63" s="262" t="n">
        <v>48321.6</v>
      </c>
      <c r="G63" s="262" t="n">
        <v>59149.2</v>
      </c>
      <c r="H63" s="262" t="n">
        <v>69629.5</v>
      </c>
      <c r="I63" s="262" t="n">
        <v>87354.7</v>
      </c>
      <c r="J63" s="262" t="n">
        <v>110662.7</v>
      </c>
      <c r="K63" s="262" t="n">
        <v>140297.9</v>
      </c>
      <c r="L63" s="262" t="n">
        <v>175587.1</v>
      </c>
      <c r="M63" s="262" t="n">
        <v>164071.8</v>
      </c>
      <c r="N63" s="262" t="n">
        <v>196792.5</v>
      </c>
      <c r="O63" s="262" t="n">
        <v>233524</v>
      </c>
      <c r="P63" s="262" t="n">
        <v>256111.3</v>
      </c>
      <c r="Q63" s="262" t="n">
        <v>282292.6</v>
      </c>
      <c r="R63" s="262" t="n">
        <v>309244.3</v>
      </c>
      <c r="S63" s="263" t="n">
        <v>339831.4</v>
      </c>
    </row>
    <row r="64" ht="15" customHeight="1" s="226">
      <c r="A64" s="268" t="inlineStr">
        <is>
          <t>Оренбургская область</t>
        </is>
      </c>
      <c r="B64" s="262" t="n">
        <v>12296.5</v>
      </c>
      <c r="C64" s="262" t="n">
        <v>23293.9</v>
      </c>
      <c r="D64" s="262" t="n">
        <v>34585.2</v>
      </c>
      <c r="E64" s="262" t="n">
        <v>38769.3</v>
      </c>
      <c r="F64" s="262" t="n">
        <v>43145.6</v>
      </c>
      <c r="G64" s="262" t="n">
        <v>53548.8</v>
      </c>
      <c r="H64" s="262" t="n">
        <v>79522.8</v>
      </c>
      <c r="I64" s="262" t="n">
        <v>101110.3</v>
      </c>
      <c r="J64" s="262" t="n">
        <v>145532.5</v>
      </c>
      <c r="K64" s="262" t="n">
        <v>179882.4</v>
      </c>
      <c r="L64" s="262" t="n">
        <v>209769.6</v>
      </c>
      <c r="M64" s="262" t="n">
        <v>202332.4</v>
      </c>
      <c r="N64" s="262" t="n">
        <v>224937.2</v>
      </c>
      <c r="O64" s="262" t="n">
        <v>273345.6</v>
      </c>
      <c r="P64" s="262" t="n">
        <v>312741.8</v>
      </c>
      <c r="Q64" s="262" t="n">
        <v>359328.3</v>
      </c>
      <c r="R64" s="262" t="n">
        <v>369142.8</v>
      </c>
      <c r="S64" s="263" t="n">
        <v>393935.3</v>
      </c>
    </row>
    <row r="65" ht="15" customHeight="1" s="226">
      <c r="A65" s="268" t="inlineStr">
        <is>
          <t>Пензенская область</t>
        </is>
      </c>
      <c r="B65" s="262" t="n">
        <v>6940.6</v>
      </c>
      <c r="C65" s="262" t="n">
        <v>11825.9</v>
      </c>
      <c r="D65" s="262" t="n">
        <v>16900.3</v>
      </c>
      <c r="E65" s="262" t="n">
        <v>22547.8</v>
      </c>
      <c r="F65" s="262" t="n">
        <v>28554.2</v>
      </c>
      <c r="G65" s="262" t="n">
        <v>33304.2</v>
      </c>
      <c r="H65" s="262" t="n">
        <v>41595.8</v>
      </c>
      <c r="I65" s="262" t="n">
        <v>52163.8</v>
      </c>
      <c r="J65" s="262" t="n">
        <v>62719.8</v>
      </c>
      <c r="K65" s="262" t="n">
        <v>84558.3</v>
      </c>
      <c r="L65" s="262" t="n">
        <v>105477.2</v>
      </c>
      <c r="M65" s="262" t="n">
        <v>105487.4</v>
      </c>
      <c r="N65" s="262" t="n">
        <v>124020.7</v>
      </c>
      <c r="O65" s="262" t="n">
        <v>154681.7</v>
      </c>
      <c r="P65" s="262" t="n">
        <v>175086.6</v>
      </c>
      <c r="Q65" s="262" t="n">
        <v>198668.1</v>
      </c>
      <c r="R65" s="262" t="n">
        <v>218094.7</v>
      </c>
      <c r="S65" s="263" t="n">
        <v>254938.6</v>
      </c>
    </row>
    <row r="66" ht="15" customHeight="1" s="226">
      <c r="A66" s="268" t="inlineStr">
        <is>
          <t>Самарская область</t>
        </is>
      </c>
      <c r="B66" s="262" t="n">
        <v>20439.5</v>
      </c>
      <c r="C66" s="262" t="n">
        <v>32022.5</v>
      </c>
      <c r="D66" s="262" t="n">
        <v>42758.9</v>
      </c>
      <c r="E66" s="262" t="n">
        <v>55147</v>
      </c>
      <c r="F66" s="262" t="n">
        <v>63582.9</v>
      </c>
      <c r="G66" s="262" t="n">
        <v>79369.10000000001</v>
      </c>
      <c r="H66" s="262" t="n">
        <v>101362.5</v>
      </c>
      <c r="I66" s="262" t="n">
        <v>124575.2</v>
      </c>
      <c r="J66" s="262" t="n">
        <v>151238.8</v>
      </c>
      <c r="K66" s="262" t="n">
        <v>181529.8</v>
      </c>
      <c r="L66" s="262" t="n">
        <v>217089.9</v>
      </c>
      <c r="M66" s="262" t="n">
        <v>181298.2</v>
      </c>
      <c r="N66" s="262" t="n">
        <v>216167.6</v>
      </c>
      <c r="O66" s="262" t="n">
        <v>259361.2</v>
      </c>
      <c r="P66" s="262" t="n">
        <v>291298.9</v>
      </c>
      <c r="Q66" s="262" t="n">
        <v>325671.7</v>
      </c>
      <c r="R66" s="262" t="n">
        <v>356624.2</v>
      </c>
      <c r="S66" s="263" t="n">
        <v>392503.1</v>
      </c>
    </row>
    <row r="67" ht="15" customHeight="1" s="226">
      <c r="A67" s="268" t="inlineStr">
        <is>
          <t>Саратовская область</t>
        </is>
      </c>
      <c r="B67" s="262" t="n">
        <v>10186.4</v>
      </c>
      <c r="C67" s="262" t="n">
        <v>16130.7</v>
      </c>
      <c r="D67" s="262" t="n">
        <v>23315.4</v>
      </c>
      <c r="E67" s="262" t="n">
        <v>31094.4</v>
      </c>
      <c r="F67" s="262" t="n">
        <v>36413.6</v>
      </c>
      <c r="G67" s="262" t="n">
        <v>45223</v>
      </c>
      <c r="H67" s="262" t="n">
        <v>57710.3</v>
      </c>
      <c r="I67" s="262" t="n">
        <v>65656.60000000001</v>
      </c>
      <c r="J67" s="262" t="n">
        <v>79127</v>
      </c>
      <c r="K67" s="262" t="n">
        <v>98569.89999999999</v>
      </c>
      <c r="L67" s="262" t="n">
        <v>126085.9</v>
      </c>
      <c r="M67" s="262" t="n">
        <v>128473.8</v>
      </c>
      <c r="N67" s="262" t="n">
        <v>148839</v>
      </c>
      <c r="O67" s="262" t="n">
        <v>171239.8</v>
      </c>
      <c r="P67" s="262" t="n">
        <v>190144.6</v>
      </c>
      <c r="Q67" s="262" t="n">
        <v>209176.4</v>
      </c>
      <c r="R67" s="262" t="n">
        <v>225165.5</v>
      </c>
      <c r="S67" s="263" t="n">
        <v>248255.4</v>
      </c>
    </row>
    <row r="68" ht="15" customHeight="1" s="226">
      <c r="A68" s="268" t="inlineStr">
        <is>
          <t>Ульяновская область</t>
        </is>
      </c>
      <c r="B68" s="262" t="n">
        <v>10233.6</v>
      </c>
      <c r="C68" s="262" t="n">
        <v>16310.6</v>
      </c>
      <c r="D68" s="262" t="n">
        <v>21411.5</v>
      </c>
      <c r="E68" s="262" t="n">
        <v>27453.2</v>
      </c>
      <c r="F68" s="262" t="n">
        <v>32922.8</v>
      </c>
      <c r="G68" s="262" t="n">
        <v>40195.3</v>
      </c>
      <c r="H68" s="262" t="n">
        <v>49606.5</v>
      </c>
      <c r="I68" s="262" t="n">
        <v>59804.8</v>
      </c>
      <c r="J68" s="262" t="n">
        <v>76474.60000000001</v>
      </c>
      <c r="K68" s="262" t="n">
        <v>94375.60000000001</v>
      </c>
      <c r="L68" s="262" t="n">
        <v>114808</v>
      </c>
      <c r="M68" s="262" t="n">
        <v>118179.9</v>
      </c>
      <c r="N68" s="262" t="n">
        <v>137518.4</v>
      </c>
      <c r="O68" s="262" t="n">
        <v>173978.3</v>
      </c>
      <c r="P68" s="262" t="n">
        <v>188459</v>
      </c>
      <c r="Q68" s="262" t="n">
        <v>209206.7</v>
      </c>
      <c r="R68" s="262" t="n">
        <v>221102.6</v>
      </c>
      <c r="S68" s="263" t="n">
        <v>242632.5</v>
      </c>
    </row>
    <row r="69" ht="15" customHeight="1" s="226">
      <c r="A69" s="267" t="inlineStr">
        <is>
          <t>Уральский федеральный округ</t>
        </is>
      </c>
      <c r="B69" s="254" t="n">
        <v>25102.2</v>
      </c>
      <c r="C69" s="254" t="n">
        <v>41649.9</v>
      </c>
      <c r="D69" s="254" t="n">
        <v>69327.3</v>
      </c>
      <c r="E69" s="254" t="n">
        <v>90065.5</v>
      </c>
      <c r="F69" s="254" t="n">
        <v>107831.3</v>
      </c>
      <c r="G69" s="275" t="n">
        <v>134653.5</v>
      </c>
      <c r="H69" s="275" t="n">
        <v>182505.2</v>
      </c>
      <c r="I69" s="275" t="n">
        <v>254078.4</v>
      </c>
      <c r="J69" s="275" t="n">
        <v>307373.9</v>
      </c>
      <c r="K69" s="275" t="n">
        <v>350766.8</v>
      </c>
      <c r="L69" s="275" t="n">
        <v>398807.4</v>
      </c>
      <c r="M69" s="275" t="n">
        <v>360909.4</v>
      </c>
      <c r="N69" s="275" t="n">
        <v>423495.4</v>
      </c>
      <c r="O69" s="275" t="n">
        <v>521220.3</v>
      </c>
      <c r="P69" s="275" t="n">
        <v>583334.4</v>
      </c>
      <c r="Q69" s="275" t="n">
        <v>619697.5</v>
      </c>
      <c r="R69" s="275" t="n">
        <v>662769.6</v>
      </c>
      <c r="S69" s="254" t="n">
        <v>737654.4</v>
      </c>
    </row>
    <row r="70" ht="15" customHeight="1" s="226">
      <c r="A70" s="294" t="inlineStr">
        <is>
          <t>Курганская область</t>
        </is>
      </c>
      <c r="B70" s="262" t="n">
        <v>8833</v>
      </c>
      <c r="C70" s="262" t="n">
        <v>13882.1</v>
      </c>
      <c r="D70" s="262" t="n">
        <v>17758.7</v>
      </c>
      <c r="E70" s="262" t="n">
        <v>24429.3</v>
      </c>
      <c r="F70" s="262" t="n">
        <v>29253.3</v>
      </c>
      <c r="G70" s="262" t="n">
        <v>36759</v>
      </c>
      <c r="H70" s="262" t="n">
        <v>42889.3</v>
      </c>
      <c r="I70" s="262" t="n">
        <v>51724</v>
      </c>
      <c r="J70" s="262" t="n">
        <v>71738.60000000001</v>
      </c>
      <c r="K70" s="262" t="n">
        <v>86224.39999999999</v>
      </c>
      <c r="L70" s="262" t="n">
        <v>114237.4</v>
      </c>
      <c r="M70" s="262" t="n">
        <v>117058.7</v>
      </c>
      <c r="N70" s="262" t="n">
        <v>129013.4</v>
      </c>
      <c r="O70" s="262" t="n">
        <v>151306.2</v>
      </c>
      <c r="P70" s="262" t="n">
        <v>164761.4</v>
      </c>
      <c r="Q70" s="262" t="n">
        <v>191153.9</v>
      </c>
      <c r="R70" s="262" t="n">
        <v>197378.8</v>
      </c>
      <c r="S70" s="263" t="n">
        <v>210550.4</v>
      </c>
    </row>
    <row r="71" ht="15" customHeight="1" s="226">
      <c r="A71" s="294" t="inlineStr">
        <is>
          <t>Свердловская область</t>
        </is>
      </c>
      <c r="B71" s="262" t="n">
        <v>15825.7</v>
      </c>
      <c r="C71" s="262" t="n">
        <v>24476.2</v>
      </c>
      <c r="D71" s="262" t="n">
        <v>34214.7</v>
      </c>
      <c r="E71" s="262" t="n">
        <v>44119</v>
      </c>
      <c r="F71" s="262" t="n">
        <v>52241.3</v>
      </c>
      <c r="G71" s="262" t="n">
        <v>63865.6</v>
      </c>
      <c r="H71" s="262" t="n">
        <v>82546.5</v>
      </c>
      <c r="I71" s="262" t="n">
        <v>108697.2</v>
      </c>
      <c r="J71" s="262" t="n">
        <v>150548.6</v>
      </c>
      <c r="K71" s="262" t="n">
        <v>189763.4</v>
      </c>
      <c r="L71" s="262" t="n">
        <v>213922.3</v>
      </c>
      <c r="M71" s="262" t="n">
        <v>191415</v>
      </c>
      <c r="N71" s="262" t="n">
        <v>243234.2</v>
      </c>
      <c r="O71" s="262" t="n">
        <v>300072.1</v>
      </c>
      <c r="P71" s="262" t="n">
        <v>344392.8</v>
      </c>
      <c r="Q71" s="262" t="n">
        <v>363277.2</v>
      </c>
      <c r="R71" s="262" t="n">
        <v>383868.9</v>
      </c>
      <c r="S71" s="263" t="n">
        <v>421130.4</v>
      </c>
    </row>
    <row r="72" ht="15" customHeight="1" s="226">
      <c r="A72" s="294" t="inlineStr">
        <is>
          <t>Тюменская область</t>
        </is>
      </c>
      <c r="B72" s="262" t="n">
        <v>58587.7</v>
      </c>
      <c r="C72" s="262" t="n">
        <v>98130.10000000001</v>
      </c>
      <c r="D72" s="262" t="n">
        <v>176917.9</v>
      </c>
      <c r="E72" s="262" t="n">
        <v>232236.3</v>
      </c>
      <c r="F72" s="262" t="n">
        <v>275622.5</v>
      </c>
      <c r="G72" s="262" t="n">
        <v>341146.7</v>
      </c>
      <c r="H72" s="262" t="n">
        <v>467803.8</v>
      </c>
      <c r="I72" s="262" t="n">
        <v>673208.3</v>
      </c>
      <c r="J72" s="262" t="n">
        <v>773076.2</v>
      </c>
      <c r="K72" s="262" t="n">
        <v>831305.3</v>
      </c>
      <c r="L72" s="262" t="n">
        <v>934229.6</v>
      </c>
      <c r="M72" s="262" t="n">
        <v>852920</v>
      </c>
      <c r="N72" s="262" t="n">
        <v>973332.6</v>
      </c>
      <c r="O72" s="262" t="n">
        <v>1197890.7</v>
      </c>
      <c r="P72" s="262" t="n">
        <v>1326268.9</v>
      </c>
      <c r="Q72" s="262" t="n">
        <v>1401277.5</v>
      </c>
      <c r="R72" s="262" t="n">
        <v>1483533.6</v>
      </c>
      <c r="S72" s="263" t="n">
        <v>1622930.3</v>
      </c>
    </row>
    <row r="73" ht="15" customHeight="1" s="226">
      <c r="A73" s="268" t="inlineStr">
        <is>
          <t xml:space="preserve">            в т.ч. Ханты-Мансийский авт. округ-Югра</t>
        </is>
      </c>
      <c r="B73" s="262" t="inlineStr">
        <is>
          <t>…</t>
        </is>
      </c>
      <c r="C73" s="262" t="inlineStr">
        <is>
          <t>…</t>
        </is>
      </c>
      <c r="D73" s="262" t="inlineStr">
        <is>
          <t>…</t>
        </is>
      </c>
      <c r="E73" s="262" t="inlineStr">
        <is>
          <t>…</t>
        </is>
      </c>
      <c r="F73" s="262" t="inlineStr">
        <is>
          <t>…</t>
        </is>
      </c>
      <c r="G73" s="262" t="inlineStr">
        <is>
          <t>…</t>
        </is>
      </c>
      <c r="H73" s="262" t="inlineStr">
        <is>
          <t>…</t>
        </is>
      </c>
      <c r="I73" s="262" t="inlineStr">
        <is>
          <t>…</t>
        </is>
      </c>
      <c r="J73" s="262" t="inlineStr">
        <is>
          <t>…</t>
        </is>
      </c>
      <c r="K73" s="262" t="inlineStr">
        <is>
          <t>…</t>
        </is>
      </c>
      <c r="L73" s="262" t="inlineStr">
        <is>
          <t>…</t>
        </is>
      </c>
      <c r="M73" s="262" t="inlineStr">
        <is>
          <t>…</t>
        </is>
      </c>
      <c r="N73" s="262" t="inlineStr">
        <is>
          <t>…</t>
        </is>
      </c>
      <c r="O73" s="262" t="n">
        <v>1574827.3</v>
      </c>
      <c r="P73" s="262" t="n">
        <v>1717564.9</v>
      </c>
      <c r="Q73" s="262" t="n">
        <v>1713073.1</v>
      </c>
      <c r="R73" s="262" t="n">
        <v>1778654</v>
      </c>
      <c r="S73" s="263" t="n">
        <v>1942026.4</v>
      </c>
    </row>
    <row r="74" ht="15" customHeight="1" s="226">
      <c r="A74" s="268" t="inlineStr">
        <is>
          <t xml:space="preserve">           Ямало-Ненецкий авт. округ</t>
        </is>
      </c>
      <c r="B74" s="262" t="inlineStr">
        <is>
          <t>…</t>
        </is>
      </c>
      <c r="C74" s="262" t="inlineStr">
        <is>
          <t>…</t>
        </is>
      </c>
      <c r="D74" s="262" t="inlineStr">
        <is>
          <t>…</t>
        </is>
      </c>
      <c r="E74" s="262" t="inlineStr">
        <is>
          <t>…</t>
        </is>
      </c>
      <c r="F74" s="262" t="inlineStr">
        <is>
          <t>…</t>
        </is>
      </c>
      <c r="G74" s="262" t="inlineStr">
        <is>
          <t>…</t>
        </is>
      </c>
      <c r="H74" s="262" t="inlineStr">
        <is>
          <t>…</t>
        </is>
      </c>
      <c r="I74" s="262" t="inlineStr">
        <is>
          <t>…</t>
        </is>
      </c>
      <c r="J74" s="262" t="inlineStr">
        <is>
          <t>…</t>
        </is>
      </c>
      <c r="K74" s="262" t="inlineStr">
        <is>
          <t>…</t>
        </is>
      </c>
      <c r="L74" s="262" t="inlineStr">
        <is>
          <t>…</t>
        </is>
      </c>
      <c r="M74" s="262" t="inlineStr">
        <is>
          <t>…</t>
        </is>
      </c>
      <c r="N74" s="262" t="inlineStr">
        <is>
          <t>…</t>
        </is>
      </c>
      <c r="O74" s="262" t="n">
        <v>1826634</v>
      </c>
      <c r="P74" s="262" t="n">
        <v>2232962.1</v>
      </c>
      <c r="Q74" s="262" t="n">
        <v>2590586.8</v>
      </c>
      <c r="R74" s="262" t="n">
        <v>3104445.4</v>
      </c>
      <c r="S74" s="263" t="n">
        <v>3450828.8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inlineStr">
        <is>
          <t>…</t>
        </is>
      </c>
      <c r="C75" s="262" t="inlineStr">
        <is>
          <t>…</t>
        </is>
      </c>
      <c r="D75" s="262" t="inlineStr">
        <is>
          <t>…</t>
        </is>
      </c>
      <c r="E75" s="262" t="inlineStr">
        <is>
          <t>…</t>
        </is>
      </c>
      <c r="F75" s="262" t="inlineStr">
        <is>
          <t>…</t>
        </is>
      </c>
      <c r="G75" s="262" t="inlineStr">
        <is>
          <t>…</t>
        </is>
      </c>
      <c r="H75" s="262" t="inlineStr">
        <is>
          <t>…</t>
        </is>
      </c>
      <c r="I75" s="262" t="inlineStr">
        <is>
          <t>…</t>
        </is>
      </c>
      <c r="J75" s="262" t="inlineStr">
        <is>
          <t>…</t>
        </is>
      </c>
      <c r="K75" s="262" t="inlineStr">
        <is>
          <t>…</t>
        </is>
      </c>
      <c r="L75" s="262" t="inlineStr">
        <is>
          <t>…</t>
        </is>
      </c>
      <c r="M75" s="262" t="inlineStr">
        <is>
          <t>…</t>
        </is>
      </c>
      <c r="N75" s="262" t="inlineStr">
        <is>
          <t>…</t>
        </is>
      </c>
      <c r="O75" s="262" t="n">
        <v>521208.9</v>
      </c>
      <c r="P75" s="262" t="n">
        <v>529439.4</v>
      </c>
      <c r="Q75" s="262" t="n">
        <v>600110.8</v>
      </c>
      <c r="R75" s="262" t="n">
        <v>558500.3</v>
      </c>
      <c r="S75" s="263" t="n">
        <v>619391.4</v>
      </c>
    </row>
    <row r="76" ht="15" customHeight="1" s="226">
      <c r="A76" s="294" t="inlineStr">
        <is>
          <t>Челябинская область</t>
        </is>
      </c>
      <c r="B76" s="262" t="n">
        <v>12152.2</v>
      </c>
      <c r="C76" s="262" t="n">
        <v>21580.9</v>
      </c>
      <c r="D76" s="262" t="n">
        <v>33012.3</v>
      </c>
      <c r="E76" s="262" t="n">
        <v>39216.5</v>
      </c>
      <c r="F76" s="262" t="n">
        <v>47775.7</v>
      </c>
      <c r="G76" s="262" t="n">
        <v>61444.7</v>
      </c>
      <c r="H76" s="262" t="n">
        <v>81894.8</v>
      </c>
      <c r="I76" s="262" t="n">
        <v>99159.8</v>
      </c>
      <c r="J76" s="262" t="n">
        <v>127442.5</v>
      </c>
      <c r="K76" s="262" t="n">
        <v>164797.5</v>
      </c>
      <c r="L76" s="262" t="n">
        <v>190565.5</v>
      </c>
      <c r="M76" s="262" t="n">
        <v>159901</v>
      </c>
      <c r="N76" s="262" t="n">
        <v>187673.7</v>
      </c>
      <c r="O76" s="262" t="n">
        <v>222658</v>
      </c>
      <c r="P76" s="262" t="n">
        <v>241735.4</v>
      </c>
      <c r="Q76" s="262" t="n">
        <v>252946</v>
      </c>
      <c r="R76" s="262" t="n">
        <v>284416.7</v>
      </c>
      <c r="S76" s="263" t="n">
        <v>345485.3</v>
      </c>
    </row>
    <row r="77" ht="15" customFormat="1" customHeight="1" s="225">
      <c r="A77" s="295" t="inlineStr">
        <is>
          <t>Сибирский федеральный округ</t>
        </is>
      </c>
      <c r="B77" s="254" t="n">
        <v>15095.1</v>
      </c>
      <c r="C77" s="254" t="n">
        <v>23485.6</v>
      </c>
      <c r="D77" s="254" t="n">
        <v>34893</v>
      </c>
      <c r="E77" s="254" t="n">
        <v>43055.2</v>
      </c>
      <c r="F77" s="254" t="n">
        <v>50622.8</v>
      </c>
      <c r="G77" s="254" t="n">
        <v>61979.9</v>
      </c>
      <c r="H77" s="254" t="n">
        <v>85348.10000000001</v>
      </c>
      <c r="I77" s="254" t="n">
        <v>103308.6</v>
      </c>
      <c r="J77" s="254" t="n">
        <v>130346.4</v>
      </c>
      <c r="K77" s="254" t="n">
        <v>160685.1</v>
      </c>
      <c r="L77" s="254" t="n">
        <v>184543</v>
      </c>
      <c r="M77" s="254" t="n">
        <v>181395.6</v>
      </c>
      <c r="N77" s="254" t="n">
        <v>222853.7</v>
      </c>
      <c r="O77" s="254" t="n">
        <v>258817.4</v>
      </c>
      <c r="P77" s="254" t="n">
        <v>279246.9</v>
      </c>
      <c r="Q77" s="254" t="n">
        <v>298698.6</v>
      </c>
      <c r="R77" s="254" t="n">
        <v>332233.9</v>
      </c>
      <c r="S77" s="254" t="n">
        <v>370458.3</v>
      </c>
    </row>
    <row r="78" ht="15" customHeight="1" s="226">
      <c r="A78" s="294" t="inlineStr">
        <is>
          <t>Республика Алтай</t>
        </is>
      </c>
      <c r="B78" s="262" t="n">
        <v>7596.2</v>
      </c>
      <c r="C78" s="262" t="n">
        <v>10817.6</v>
      </c>
      <c r="D78" s="262" t="n">
        <v>13505.1</v>
      </c>
      <c r="E78" s="262" t="n">
        <v>22164.4</v>
      </c>
      <c r="F78" s="262" t="n">
        <v>26160.6</v>
      </c>
      <c r="G78" s="262" t="n">
        <v>34042.3</v>
      </c>
      <c r="H78" s="262" t="n">
        <v>42067.6</v>
      </c>
      <c r="I78" s="262" t="n">
        <v>43592.3</v>
      </c>
      <c r="J78" s="262" t="n">
        <v>57555.4</v>
      </c>
      <c r="K78" s="262" t="n">
        <v>74633.60000000001</v>
      </c>
      <c r="L78" s="262" t="n">
        <v>91713.10000000001</v>
      </c>
      <c r="M78" s="262" t="n">
        <v>97112.10000000001</v>
      </c>
      <c r="N78" s="262" t="n">
        <v>108729.5</v>
      </c>
      <c r="O78" s="262" t="n">
        <v>127452.9</v>
      </c>
      <c r="P78" s="262" t="n">
        <v>146447.1</v>
      </c>
      <c r="Q78" s="262" t="n">
        <v>159790.5</v>
      </c>
      <c r="R78" s="262" t="n">
        <v>187384.9</v>
      </c>
      <c r="S78" s="263" t="n">
        <v>200875.3</v>
      </c>
    </row>
    <row r="79" ht="15" customHeight="1" s="226">
      <c r="A79" s="294" t="inlineStr">
        <is>
          <t>Республика Тыва</t>
        </is>
      </c>
      <c r="B79" s="262" t="n">
        <v>6404.6</v>
      </c>
      <c r="C79" s="262" t="n">
        <v>8908.799999999999</v>
      </c>
      <c r="D79" s="262" t="n">
        <v>11749.3</v>
      </c>
      <c r="E79" s="262" t="n">
        <v>17012.1</v>
      </c>
      <c r="F79" s="262" t="n">
        <v>22421</v>
      </c>
      <c r="G79" s="262" t="n">
        <v>26607.4</v>
      </c>
      <c r="H79" s="262" t="n">
        <v>32309</v>
      </c>
      <c r="I79" s="262" t="n">
        <v>38429.7</v>
      </c>
      <c r="J79" s="262" t="n">
        <v>50051.7</v>
      </c>
      <c r="K79" s="262" t="n">
        <v>63959.4</v>
      </c>
      <c r="L79" s="262" t="n">
        <v>78381</v>
      </c>
      <c r="M79" s="262" t="n">
        <v>87889.5</v>
      </c>
      <c r="N79" s="262" t="n">
        <v>99999.89999999999</v>
      </c>
      <c r="O79" s="262" t="n">
        <v>108126.2</v>
      </c>
      <c r="P79" s="262" t="n">
        <v>120391.4</v>
      </c>
      <c r="Q79" s="262" t="n">
        <v>132391.2</v>
      </c>
      <c r="R79" s="262" t="n">
        <v>146370.2</v>
      </c>
      <c r="S79" s="263" t="n">
        <v>149573</v>
      </c>
    </row>
    <row r="80" ht="15" customHeight="1" s="226">
      <c r="A80" s="294" t="inlineStr">
        <is>
          <t>Республика Хакасия</t>
        </is>
      </c>
      <c r="B80" s="262" t="n">
        <v>14496.9</v>
      </c>
      <c r="C80" s="262" t="n">
        <v>23582.9</v>
      </c>
      <c r="D80" s="262" t="n">
        <v>31333.2</v>
      </c>
      <c r="E80" s="262" t="n">
        <v>36306.2</v>
      </c>
      <c r="F80" s="262" t="n">
        <v>46443.7</v>
      </c>
      <c r="G80" s="262" t="n">
        <v>53320.2</v>
      </c>
      <c r="H80" s="262" t="n">
        <v>61336.4</v>
      </c>
      <c r="I80" s="262" t="n">
        <v>77864.60000000001</v>
      </c>
      <c r="J80" s="262" t="n">
        <v>100828.4</v>
      </c>
      <c r="K80" s="262" t="n">
        <v>119953.2</v>
      </c>
      <c r="L80" s="262" t="n">
        <v>136023.7</v>
      </c>
      <c r="M80" s="262" t="n">
        <v>152205.1</v>
      </c>
      <c r="N80" s="262" t="n">
        <v>180352.1</v>
      </c>
      <c r="O80" s="262" t="n">
        <v>212424.6</v>
      </c>
      <c r="P80" s="262" t="n">
        <v>245063.6</v>
      </c>
      <c r="Q80" s="262" t="n">
        <v>265416</v>
      </c>
      <c r="R80" s="262" t="n">
        <v>295346.5</v>
      </c>
      <c r="S80" s="263" t="n">
        <v>316713.6</v>
      </c>
    </row>
    <row r="81" ht="15" customHeight="1" s="226">
      <c r="A81" s="294" t="inlineStr">
        <is>
          <t>Алтайский край</t>
        </is>
      </c>
      <c r="B81" s="262" t="n">
        <v>8012.4</v>
      </c>
      <c r="C81" s="262" t="n">
        <v>12204.8</v>
      </c>
      <c r="D81" s="262" t="n">
        <v>17660.5</v>
      </c>
      <c r="E81" s="262" t="n">
        <v>23509</v>
      </c>
      <c r="F81" s="262" t="n">
        <v>27991.2</v>
      </c>
      <c r="G81" s="262" t="n">
        <v>34295.8</v>
      </c>
      <c r="H81" s="262" t="n">
        <v>44934.9</v>
      </c>
      <c r="I81" s="262" t="n">
        <v>53812.4</v>
      </c>
      <c r="J81" s="262" t="n">
        <v>69852</v>
      </c>
      <c r="K81" s="262" t="n">
        <v>90759.89999999999</v>
      </c>
      <c r="L81" s="262" t="n">
        <v>106019.5</v>
      </c>
      <c r="M81" s="262" t="n">
        <v>109088.7</v>
      </c>
      <c r="N81" s="262" t="n">
        <v>124955.8</v>
      </c>
      <c r="O81" s="262" t="n">
        <v>137975.9</v>
      </c>
      <c r="P81" s="262" t="n">
        <v>154560.6</v>
      </c>
      <c r="Q81" s="262" t="n">
        <v>175666</v>
      </c>
      <c r="R81" s="262" t="n">
        <v>189679.2</v>
      </c>
      <c r="S81" s="263" t="n">
        <v>209023.2</v>
      </c>
    </row>
    <row r="82" ht="15" customHeight="1" s="226">
      <c r="A82" s="294" t="inlineStr">
        <is>
          <t>Красноярский край</t>
        </is>
      </c>
      <c r="B82" s="262" t="n">
        <v>22937.6</v>
      </c>
      <c r="C82" s="262" t="n">
        <v>41021.4</v>
      </c>
      <c r="D82" s="262" t="n">
        <v>71281</v>
      </c>
      <c r="E82" s="262" t="n">
        <v>80038.8</v>
      </c>
      <c r="F82" s="262" t="n">
        <v>77729</v>
      </c>
      <c r="G82" s="262" t="n">
        <v>92547.5</v>
      </c>
      <c r="H82" s="262" t="n">
        <v>125287.8</v>
      </c>
      <c r="I82" s="262" t="n">
        <v>152389</v>
      </c>
      <c r="J82" s="262" t="n">
        <v>205042.4</v>
      </c>
      <c r="K82" s="262" t="n">
        <v>258394.3</v>
      </c>
      <c r="L82" s="262" t="n">
        <v>260318.2</v>
      </c>
      <c r="M82" s="262" t="n">
        <v>264478.7</v>
      </c>
      <c r="N82" s="262" t="n">
        <v>372848.1</v>
      </c>
      <c r="O82" s="262" t="n">
        <v>413129.4</v>
      </c>
      <c r="P82" s="262" t="n">
        <v>416138.6</v>
      </c>
      <c r="Q82" s="262" t="n">
        <v>440842.2</v>
      </c>
      <c r="R82" s="262" t="n">
        <v>493601.6</v>
      </c>
      <c r="S82" s="263" t="n">
        <v>581761.5</v>
      </c>
    </row>
    <row r="83" ht="15" customHeight="1" s="226">
      <c r="A83" s="294" t="inlineStr">
        <is>
          <t>Иркутская область</t>
        </is>
      </c>
      <c r="B83" s="262" t="n">
        <v>18834.6</v>
      </c>
      <c r="C83" s="262" t="n">
        <v>29255</v>
      </c>
      <c r="D83" s="262" t="n">
        <v>39115.2</v>
      </c>
      <c r="E83" s="262" t="n">
        <v>46044.3</v>
      </c>
      <c r="F83" s="262" t="n">
        <v>54156.9</v>
      </c>
      <c r="G83" s="262" t="n">
        <v>65468.6</v>
      </c>
      <c r="H83" s="262" t="n">
        <v>84014.3</v>
      </c>
      <c r="I83" s="262" t="n">
        <v>102904.3</v>
      </c>
      <c r="J83" s="262" t="n">
        <v>133413.7</v>
      </c>
      <c r="K83" s="262" t="n">
        <v>163588</v>
      </c>
      <c r="L83" s="262" t="n">
        <v>178988.3</v>
      </c>
      <c r="M83" s="262" t="n">
        <v>187688.7</v>
      </c>
      <c r="N83" s="262" t="n">
        <v>224364.2</v>
      </c>
      <c r="O83" s="262" t="n">
        <v>261516.9</v>
      </c>
      <c r="P83" s="262" t="n">
        <v>304432</v>
      </c>
      <c r="Q83" s="262" t="n">
        <v>332498.6</v>
      </c>
      <c r="R83" s="262" t="n">
        <v>378852</v>
      </c>
      <c r="S83" s="263" t="n">
        <v>414538.8</v>
      </c>
    </row>
    <row r="84" ht="15" customHeight="1" s="226">
      <c r="A84" s="278" t="inlineStr">
        <is>
          <t>Кемеровская область-Кузбасс</t>
        </is>
      </c>
      <c r="B84" s="262" t="n">
        <v>14326.3</v>
      </c>
      <c r="C84" s="262" t="n">
        <v>21682.1</v>
      </c>
      <c r="D84" s="262" t="n">
        <v>30047.8</v>
      </c>
      <c r="E84" s="262" t="n">
        <v>38839.7</v>
      </c>
      <c r="F84" s="262" t="n">
        <v>46860.1</v>
      </c>
      <c r="G84" s="262" t="n">
        <v>57302.3</v>
      </c>
      <c r="H84" s="262" t="n">
        <v>85850.39999999999</v>
      </c>
      <c r="I84" s="262" t="n">
        <v>104764.5</v>
      </c>
      <c r="J84" s="262" t="n">
        <v>122394.2</v>
      </c>
      <c r="K84" s="262" t="n">
        <v>157302.2</v>
      </c>
      <c r="L84" s="262" t="n">
        <v>207286.2</v>
      </c>
      <c r="M84" s="262" t="n">
        <v>184674.1</v>
      </c>
      <c r="N84" s="262" t="n">
        <v>226198.1</v>
      </c>
      <c r="O84" s="262" t="n">
        <v>272621.9</v>
      </c>
      <c r="P84" s="262" t="n">
        <v>261689.8</v>
      </c>
      <c r="Q84" s="262" t="n">
        <v>244180.8</v>
      </c>
      <c r="R84" s="262" t="n">
        <v>275920</v>
      </c>
      <c r="S84" s="263" t="n">
        <v>310498.7</v>
      </c>
    </row>
    <row r="85" ht="15" customHeight="1" s="226">
      <c r="A85" s="294" t="inlineStr">
        <is>
          <t>Новосибирская область</t>
        </is>
      </c>
      <c r="B85" s="262" t="n">
        <v>12586.1</v>
      </c>
      <c r="C85" s="262" t="n">
        <v>19322.5</v>
      </c>
      <c r="D85" s="262" t="n">
        <v>26472.3</v>
      </c>
      <c r="E85" s="262" t="n">
        <v>35177.3</v>
      </c>
      <c r="F85" s="262" t="n">
        <v>45659.6</v>
      </c>
      <c r="G85" s="262" t="n">
        <v>57360.1</v>
      </c>
      <c r="H85" s="262" t="n">
        <v>71843.39999999999</v>
      </c>
      <c r="I85" s="262" t="n">
        <v>88475.5</v>
      </c>
      <c r="J85" s="262" t="n">
        <v>111679.3</v>
      </c>
      <c r="K85" s="262" t="n">
        <v>138199.1</v>
      </c>
      <c r="L85" s="262" t="n">
        <v>171430.3</v>
      </c>
      <c r="M85" s="262" t="n">
        <v>160210.4</v>
      </c>
      <c r="N85" s="262" t="n">
        <v>181732.7</v>
      </c>
      <c r="O85" s="262" t="n">
        <v>223561.2</v>
      </c>
      <c r="P85" s="262" t="n">
        <v>269643.5</v>
      </c>
      <c r="Q85" s="262" t="n">
        <v>300099.4</v>
      </c>
      <c r="R85" s="262" t="n">
        <v>332027.1</v>
      </c>
      <c r="S85" s="263" t="n">
        <v>369957</v>
      </c>
    </row>
    <row r="86" ht="15" customHeight="1" s="226">
      <c r="A86" s="294" t="inlineStr">
        <is>
          <t>Омская область</t>
        </is>
      </c>
      <c r="B86" s="262" t="n">
        <v>12458.3</v>
      </c>
      <c r="C86" s="262" t="n">
        <v>15727.1</v>
      </c>
      <c r="D86" s="262" t="n">
        <v>21643.1</v>
      </c>
      <c r="E86" s="262" t="n">
        <v>29219.2</v>
      </c>
      <c r="F86" s="262" t="n">
        <v>44424.1</v>
      </c>
      <c r="G86" s="262" t="n">
        <v>55729.2</v>
      </c>
      <c r="H86" s="262" t="n">
        <v>94389.60000000001</v>
      </c>
      <c r="I86" s="262" t="n">
        <v>108970.6</v>
      </c>
      <c r="J86" s="262" t="n">
        <v>130614.3</v>
      </c>
      <c r="K86" s="262" t="n">
        <v>148129.3</v>
      </c>
      <c r="L86" s="262" t="n">
        <v>174709.8</v>
      </c>
      <c r="M86" s="262" t="n">
        <v>169327.8</v>
      </c>
      <c r="N86" s="262" t="n">
        <v>193216</v>
      </c>
      <c r="O86" s="262" t="n">
        <v>228634.9</v>
      </c>
      <c r="P86" s="262" t="n">
        <v>249428.4</v>
      </c>
      <c r="Q86" s="262" t="n">
        <v>280429.7</v>
      </c>
      <c r="R86" s="262" t="n">
        <v>306365.2</v>
      </c>
      <c r="S86" s="263" t="n">
        <v>314306.3</v>
      </c>
    </row>
    <row r="87" ht="15" customHeight="1" s="226">
      <c r="A87" s="294" t="inlineStr">
        <is>
          <t>Томская область</t>
        </is>
      </c>
      <c r="B87" s="262" t="n">
        <v>19078.5</v>
      </c>
      <c r="C87" s="262" t="n">
        <v>25149.2</v>
      </c>
      <c r="D87" s="262" t="n">
        <v>38386</v>
      </c>
      <c r="E87" s="262" t="n">
        <v>54221.6</v>
      </c>
      <c r="F87" s="262" t="n">
        <v>72107.39999999999</v>
      </c>
      <c r="G87" s="270" t="n">
        <v>93193.8</v>
      </c>
      <c r="H87" s="270" t="n">
        <v>128090.8</v>
      </c>
      <c r="I87" s="270" t="n">
        <v>155365.2</v>
      </c>
      <c r="J87" s="270" t="n">
        <v>184433.6</v>
      </c>
      <c r="K87" s="270" t="n">
        <v>209319.9</v>
      </c>
      <c r="L87" s="270" t="n">
        <v>241911.3</v>
      </c>
      <c r="M87" s="270" t="n">
        <v>237293.3</v>
      </c>
      <c r="N87" s="270" t="n">
        <v>272576.5</v>
      </c>
      <c r="O87" s="270" t="n">
        <v>317117.5</v>
      </c>
      <c r="P87" s="270" t="n">
        <v>350378.4</v>
      </c>
      <c r="Q87" s="270" t="n">
        <v>377681.6</v>
      </c>
      <c r="R87" s="270" t="n">
        <v>401944.9</v>
      </c>
      <c r="S87" s="271" t="n">
        <v>439250.5</v>
      </c>
    </row>
    <row r="88" ht="15" customFormat="1" customHeight="1" s="225">
      <c r="A88" s="279" t="inlineStr">
        <is>
          <t>Дальневосточный федеральный округ</t>
        </is>
      </c>
      <c r="B88" s="254" t="n">
        <v>18058.8</v>
      </c>
      <c r="C88" s="254" t="n">
        <v>29620.2</v>
      </c>
      <c r="D88" s="254" t="n">
        <v>39782</v>
      </c>
      <c r="E88" s="254" t="n">
        <v>51048.3</v>
      </c>
      <c r="F88" s="275" t="n">
        <v>62521.4</v>
      </c>
      <c r="G88" s="275" t="n">
        <v>76007.89999999999</v>
      </c>
      <c r="H88" s="275" t="n">
        <v>92547.2</v>
      </c>
      <c r="I88" s="275" t="n">
        <v>112957.3</v>
      </c>
      <c r="J88" s="275" t="n">
        <v>138766</v>
      </c>
      <c r="K88" s="275" t="n">
        <v>176727</v>
      </c>
      <c r="L88" s="275" t="n">
        <v>213516.9</v>
      </c>
      <c r="M88" s="275" t="n">
        <v>237943</v>
      </c>
      <c r="N88" s="275" t="n">
        <v>287688.4</v>
      </c>
      <c r="O88" s="275" t="n">
        <v>346379.8</v>
      </c>
      <c r="P88" s="275" t="n">
        <v>371979.8</v>
      </c>
      <c r="Q88" s="275" t="n">
        <v>391498.6</v>
      </c>
      <c r="R88" s="275" t="n">
        <v>441024.5</v>
      </c>
      <c r="S88" s="254" t="n">
        <v>491063.3</v>
      </c>
    </row>
    <row r="89" ht="15" customHeight="1" s="226">
      <c r="A89" s="294" t="inlineStr">
        <is>
          <t>Республика Бурятия</t>
        </is>
      </c>
      <c r="B89" s="262" t="n">
        <v>10953.8</v>
      </c>
      <c r="C89" s="262" t="n">
        <v>16039.5</v>
      </c>
      <c r="D89" s="262" t="n">
        <v>21555.1</v>
      </c>
      <c r="E89" s="262" t="n">
        <v>30314.6</v>
      </c>
      <c r="F89" s="262" t="n">
        <v>38524</v>
      </c>
      <c r="G89" s="273" t="n">
        <v>53479.2</v>
      </c>
      <c r="H89" s="273" t="n">
        <v>65707.2</v>
      </c>
      <c r="I89" s="273" t="n">
        <v>77313.2</v>
      </c>
      <c r="J89" s="273" t="n">
        <v>94965.10000000001</v>
      </c>
      <c r="K89" s="273" t="n">
        <v>111354</v>
      </c>
      <c r="L89" s="273" t="n">
        <v>129145.4</v>
      </c>
      <c r="M89" s="273" t="n">
        <v>125172.5</v>
      </c>
      <c r="N89" s="273" t="n">
        <v>137564.9</v>
      </c>
      <c r="O89" s="273" t="n">
        <v>158143.4</v>
      </c>
      <c r="P89" s="273" t="n">
        <v>169608.1</v>
      </c>
      <c r="Q89" s="273" t="n">
        <v>181975.1</v>
      </c>
      <c r="R89" s="273" t="n">
        <v>191295.1</v>
      </c>
      <c r="S89" s="274" t="n">
        <v>207268.7</v>
      </c>
    </row>
    <row r="90" ht="15" customHeight="1" s="226">
      <c r="A90" s="294" t="inlineStr">
        <is>
          <t>Республика Саха (Якутия)</t>
        </is>
      </c>
      <c r="B90" s="262" t="n">
        <v>34109.9</v>
      </c>
      <c r="C90" s="262" t="n">
        <v>64704.9</v>
      </c>
      <c r="D90" s="262" t="n">
        <v>85375.5</v>
      </c>
      <c r="E90" s="262" t="n">
        <v>105733.3</v>
      </c>
      <c r="F90" s="262" t="n">
        <v>121163.1</v>
      </c>
      <c r="G90" s="262" t="n">
        <v>140065.1</v>
      </c>
      <c r="H90" s="262" t="n">
        <v>161309</v>
      </c>
      <c r="I90" s="262" t="n">
        <v>191896</v>
      </c>
      <c r="J90" s="262" t="n">
        <v>216535.9</v>
      </c>
      <c r="K90" s="262" t="n">
        <v>253423.5</v>
      </c>
      <c r="L90" s="262" t="n">
        <v>322922.2</v>
      </c>
      <c r="M90" s="262" t="n">
        <v>342520.1</v>
      </c>
      <c r="N90" s="262" t="n">
        <v>403658.5</v>
      </c>
      <c r="O90" s="262" t="n">
        <v>508549.5</v>
      </c>
      <c r="P90" s="262" t="n">
        <v>566002.6</v>
      </c>
      <c r="Q90" s="262" t="n">
        <v>596336.3</v>
      </c>
      <c r="R90" s="262" t="n">
        <v>687289.7</v>
      </c>
      <c r="S90" s="263" t="n">
        <v>778151.2</v>
      </c>
    </row>
    <row r="91" ht="15" customHeight="1" s="226">
      <c r="A91" s="294" t="inlineStr">
        <is>
          <t>Забайкальский край</t>
        </is>
      </c>
      <c r="B91" s="262" t="n">
        <v>10602.1</v>
      </c>
      <c r="C91" s="262" t="n">
        <v>17321.4</v>
      </c>
      <c r="D91" s="262" t="n">
        <v>25320.1</v>
      </c>
      <c r="E91" s="262" t="n">
        <v>29979.7</v>
      </c>
      <c r="F91" s="262" t="n">
        <v>38443.3</v>
      </c>
      <c r="G91" s="262" t="n">
        <v>46308.5</v>
      </c>
      <c r="H91" s="262" t="n">
        <v>53845.5</v>
      </c>
      <c r="I91" s="262" t="n">
        <v>61741</v>
      </c>
      <c r="J91" s="262" t="n">
        <v>81066.2</v>
      </c>
      <c r="K91" s="262" t="n">
        <v>99544.89999999999</v>
      </c>
      <c r="L91" s="262" t="n">
        <v>126362.1</v>
      </c>
      <c r="M91" s="262" t="n">
        <v>133973.5</v>
      </c>
      <c r="N91" s="262" t="n">
        <v>150548.9</v>
      </c>
      <c r="O91" s="262" t="n">
        <v>185196.6</v>
      </c>
      <c r="P91" s="262" t="n">
        <v>205203.2</v>
      </c>
      <c r="Q91" s="262" t="n">
        <v>211655.3</v>
      </c>
      <c r="R91" s="262" t="n">
        <v>218366.2</v>
      </c>
      <c r="S91" s="263" t="n">
        <v>231890.2</v>
      </c>
    </row>
    <row r="92" ht="15" customHeight="1" s="226">
      <c r="A92" s="294" t="inlineStr">
        <is>
          <t>Камчатский край</t>
        </is>
      </c>
      <c r="B92" s="262" t="n">
        <v>30380.4</v>
      </c>
      <c r="C92" s="262" t="n">
        <v>39638</v>
      </c>
      <c r="D92" s="262" t="n">
        <v>49108.7</v>
      </c>
      <c r="E92" s="262" t="n">
        <v>63274</v>
      </c>
      <c r="F92" s="262" t="n">
        <v>71934.10000000001</v>
      </c>
      <c r="G92" s="262" t="n">
        <v>83980.39999999999</v>
      </c>
      <c r="H92" s="262" t="n">
        <v>101205.1</v>
      </c>
      <c r="I92" s="262" t="n">
        <v>129240.8</v>
      </c>
      <c r="J92" s="262" t="n">
        <v>168173.2</v>
      </c>
      <c r="K92" s="262" t="n">
        <v>200610.1</v>
      </c>
      <c r="L92" s="262" t="n">
        <v>238404.5</v>
      </c>
      <c r="M92" s="262" t="n">
        <v>291953.6</v>
      </c>
      <c r="N92" s="262" t="n">
        <v>319849.2</v>
      </c>
      <c r="O92" s="262" t="n">
        <v>357472.7</v>
      </c>
      <c r="P92" s="262" t="n">
        <v>401282.1</v>
      </c>
      <c r="Q92" s="262" t="n">
        <v>422674.6</v>
      </c>
      <c r="R92" s="262" t="n">
        <v>467137.3</v>
      </c>
      <c r="S92" s="263" t="n">
        <v>568960.5</v>
      </c>
    </row>
    <row r="93" ht="15" customHeight="1" s="226">
      <c r="A93" s="294" t="inlineStr">
        <is>
          <t>Приморский край</t>
        </is>
      </c>
      <c r="B93" s="262" t="n">
        <v>14394</v>
      </c>
      <c r="C93" s="262" t="n">
        <v>24716.7</v>
      </c>
      <c r="D93" s="262" t="n">
        <v>29139.9</v>
      </c>
      <c r="E93" s="262" t="n">
        <v>34628</v>
      </c>
      <c r="F93" s="262" t="n">
        <v>46632.5</v>
      </c>
      <c r="G93" s="262" t="n">
        <v>57986.3</v>
      </c>
      <c r="H93" s="262" t="n">
        <v>74713.10000000001</v>
      </c>
      <c r="I93" s="262" t="n">
        <v>92504.2</v>
      </c>
      <c r="J93" s="262" t="n">
        <v>108099.2</v>
      </c>
      <c r="K93" s="262" t="n">
        <v>130632</v>
      </c>
      <c r="L93" s="262" t="n">
        <v>160416.7</v>
      </c>
      <c r="M93" s="262" t="n">
        <v>187556.4</v>
      </c>
      <c r="N93" s="262" t="n">
        <v>240220.7</v>
      </c>
      <c r="O93" s="262" t="n">
        <v>281770.8</v>
      </c>
      <c r="P93" s="262" t="n">
        <v>286502.7</v>
      </c>
      <c r="Q93" s="262" t="n">
        <v>297982.4</v>
      </c>
      <c r="R93" s="262" t="n">
        <v>333071.7</v>
      </c>
      <c r="S93" s="263" t="n">
        <v>373412.6</v>
      </c>
    </row>
    <row r="94" ht="15" customHeight="1" s="226">
      <c r="A94" s="294" t="inlineStr">
        <is>
          <t>Хабаровский край</t>
        </is>
      </c>
      <c r="B94" s="262" t="n">
        <v>19517.6</v>
      </c>
      <c r="C94" s="262" t="n">
        <v>27162.8</v>
      </c>
      <c r="D94" s="262" t="n">
        <v>44171.2</v>
      </c>
      <c r="E94" s="262" t="n">
        <v>54983.9</v>
      </c>
      <c r="F94" s="262" t="n">
        <v>70162.89999999999</v>
      </c>
      <c r="G94" s="262" t="n">
        <v>81613.39999999999</v>
      </c>
      <c r="H94" s="262" t="n">
        <v>94795.10000000001</v>
      </c>
      <c r="I94" s="262" t="n">
        <v>116257.5</v>
      </c>
      <c r="J94" s="262" t="n">
        <v>141994.7</v>
      </c>
      <c r="K94" s="262" t="n">
        <v>170398</v>
      </c>
      <c r="L94" s="262" t="n">
        <v>198951.6</v>
      </c>
      <c r="M94" s="262" t="n">
        <v>205081</v>
      </c>
      <c r="N94" s="262" t="n">
        <v>262685.8</v>
      </c>
      <c r="O94" s="262" t="n">
        <v>297709.4</v>
      </c>
      <c r="P94" s="262" t="n">
        <v>326613.3</v>
      </c>
      <c r="Q94" s="262" t="n">
        <v>371974.6</v>
      </c>
      <c r="R94" s="262" t="n">
        <v>403598</v>
      </c>
      <c r="S94" s="263" t="n">
        <v>446937.5</v>
      </c>
    </row>
    <row r="95" ht="15" customHeight="1" s="226">
      <c r="A95" s="294" t="inlineStr">
        <is>
          <t>Амурская область</t>
        </is>
      </c>
      <c r="B95" s="262" t="n">
        <v>15103.7</v>
      </c>
      <c r="C95" s="262" t="n">
        <v>21935.4</v>
      </c>
      <c r="D95" s="262" t="n">
        <v>28317.2</v>
      </c>
      <c r="E95" s="262" t="n">
        <v>42578.3</v>
      </c>
      <c r="F95" s="262" t="n">
        <v>50449.6</v>
      </c>
      <c r="G95" s="262" t="n">
        <v>59480.3</v>
      </c>
      <c r="H95" s="262" t="n">
        <v>72937</v>
      </c>
      <c r="I95" s="262" t="n">
        <v>88597.10000000001</v>
      </c>
      <c r="J95" s="262" t="n">
        <v>111116.2</v>
      </c>
      <c r="K95" s="262" t="n">
        <v>131887.8</v>
      </c>
      <c r="L95" s="262" t="n">
        <v>156329.6</v>
      </c>
      <c r="M95" s="262" t="n">
        <v>180572.3</v>
      </c>
      <c r="N95" s="262" t="n">
        <v>214827.2</v>
      </c>
      <c r="O95" s="262" t="n">
        <v>273332.2</v>
      </c>
      <c r="P95" s="262" t="n">
        <v>280484.7</v>
      </c>
      <c r="Q95" s="262" t="n">
        <v>259501.7</v>
      </c>
      <c r="R95" s="262" t="n">
        <v>287327.6</v>
      </c>
      <c r="S95" s="263" t="n">
        <v>344986.8</v>
      </c>
    </row>
    <row r="96" ht="15" customHeight="1" s="226">
      <c r="A96" s="294" t="inlineStr">
        <is>
          <t>Магаданская область</t>
        </is>
      </c>
      <c r="B96" s="262" t="n">
        <v>32315.5</v>
      </c>
      <c r="C96" s="262" t="n">
        <v>50936.4</v>
      </c>
      <c r="D96" s="262" t="n">
        <v>65704.60000000001</v>
      </c>
      <c r="E96" s="262" t="n">
        <v>89987.5</v>
      </c>
      <c r="F96" s="262" t="n">
        <v>121272.5</v>
      </c>
      <c r="G96" s="262" t="n">
        <v>135180.6</v>
      </c>
      <c r="H96" s="262" t="n">
        <v>139840.3</v>
      </c>
      <c r="I96" s="262" t="n">
        <v>157798.9</v>
      </c>
      <c r="J96" s="262" t="n">
        <v>185017.6</v>
      </c>
      <c r="K96" s="262" t="n">
        <v>213449.6</v>
      </c>
      <c r="L96" s="262" t="n">
        <v>258848.1</v>
      </c>
      <c r="M96" s="262" t="n">
        <v>299403.8</v>
      </c>
      <c r="N96" s="262" t="n">
        <v>377895</v>
      </c>
      <c r="O96" s="262" t="n">
        <v>464366.7</v>
      </c>
      <c r="P96" s="262" t="n">
        <v>511959.6</v>
      </c>
      <c r="Q96" s="262" t="n">
        <v>589096.7</v>
      </c>
      <c r="R96" s="262" t="n">
        <v>652303.2</v>
      </c>
      <c r="S96" s="263" t="n">
        <v>858967</v>
      </c>
    </row>
    <row r="97" ht="15" customHeight="1" s="226">
      <c r="A97" s="294" t="inlineStr">
        <is>
          <t>Сахалинская область</t>
        </is>
      </c>
      <c r="B97" s="262" t="n">
        <v>21428.2</v>
      </c>
      <c r="C97" s="262" t="n">
        <v>45662.9</v>
      </c>
      <c r="D97" s="262" t="n">
        <v>61595.8</v>
      </c>
      <c r="E97" s="262" t="n">
        <v>84769.10000000001</v>
      </c>
      <c r="F97" s="262" t="n">
        <v>85927.39999999999</v>
      </c>
      <c r="G97" s="262" t="n">
        <v>116731</v>
      </c>
      <c r="H97" s="262" t="n">
        <v>172004.4</v>
      </c>
      <c r="I97" s="262" t="n">
        <v>230298.2</v>
      </c>
      <c r="J97" s="262" t="n">
        <v>321108.8</v>
      </c>
      <c r="K97" s="262" t="n">
        <v>559774.1</v>
      </c>
      <c r="L97" s="262" t="n">
        <v>657783.3</v>
      </c>
      <c r="M97" s="262" t="n">
        <v>779943.2</v>
      </c>
      <c r="N97" s="262" t="n">
        <v>977256</v>
      </c>
      <c r="O97" s="262" t="n">
        <v>1212068.5</v>
      </c>
      <c r="P97" s="262" t="n">
        <v>1305480.3</v>
      </c>
      <c r="Q97" s="262" t="n">
        <v>1377822.5</v>
      </c>
      <c r="R97" s="262" t="n">
        <v>1654586.8</v>
      </c>
      <c r="S97" s="263" t="n">
        <v>1748311</v>
      </c>
    </row>
    <row r="98" ht="15" customHeight="1" s="226">
      <c r="A98" s="294" t="inlineStr">
        <is>
          <t>Еврейская автономная область</t>
        </is>
      </c>
      <c r="B98" s="262" t="n">
        <v>7535.3</v>
      </c>
      <c r="C98" s="262" t="n">
        <v>15344.9</v>
      </c>
      <c r="D98" s="262" t="n">
        <v>19484.8</v>
      </c>
      <c r="E98" s="262" t="n">
        <v>24877.5</v>
      </c>
      <c r="F98" s="262" t="n">
        <v>35766</v>
      </c>
      <c r="G98" s="262" t="n">
        <v>45196.1</v>
      </c>
      <c r="H98" s="262" t="n">
        <v>60029.9</v>
      </c>
      <c r="I98" s="262" t="n">
        <v>77319.2</v>
      </c>
      <c r="J98" s="262" t="n">
        <v>99578.39999999999</v>
      </c>
      <c r="K98" s="262" t="n">
        <v>132505</v>
      </c>
      <c r="L98" s="262" t="n">
        <v>134377.5</v>
      </c>
      <c r="M98" s="262" t="n">
        <v>142388</v>
      </c>
      <c r="N98" s="262" t="n">
        <v>178380.6</v>
      </c>
      <c r="O98" s="262" t="n">
        <v>225382.9</v>
      </c>
      <c r="P98" s="262" t="n">
        <v>247338.9</v>
      </c>
      <c r="Q98" s="262" t="n">
        <v>225611.9</v>
      </c>
      <c r="R98" s="262" t="n">
        <v>250145.1</v>
      </c>
      <c r="S98" s="263" t="n">
        <v>269785.3</v>
      </c>
    </row>
    <row r="99" ht="15" customHeight="1" s="226">
      <c r="A99" s="294" t="inlineStr">
        <is>
          <t>Чукотский автономный округ</t>
        </is>
      </c>
      <c r="B99" s="265" t="n">
        <v>37859.4</v>
      </c>
      <c r="C99" s="265" t="n">
        <v>49746</v>
      </c>
      <c r="D99" s="265" t="n">
        <v>65963</v>
      </c>
      <c r="E99" s="265" t="n">
        <v>123130.9</v>
      </c>
      <c r="F99" s="265" t="n">
        <v>187368.1</v>
      </c>
      <c r="G99" s="265" t="n">
        <v>256992.1</v>
      </c>
      <c r="H99" s="265" t="n">
        <v>238227.2</v>
      </c>
      <c r="I99" s="265" t="n">
        <v>237134.5</v>
      </c>
      <c r="J99" s="265" t="n">
        <v>295107.1</v>
      </c>
      <c r="K99" s="265" t="n">
        <v>396907.1</v>
      </c>
      <c r="L99" s="265" t="n">
        <v>582270.4</v>
      </c>
      <c r="M99" s="265" t="n">
        <v>872422</v>
      </c>
      <c r="N99" s="265" t="n">
        <v>767845.6</v>
      </c>
      <c r="O99" s="265" t="n">
        <v>885553.4</v>
      </c>
      <c r="P99" s="265" t="n">
        <v>902872.7</v>
      </c>
      <c r="Q99" s="265" t="n">
        <v>886695.4</v>
      </c>
      <c r="R99" s="265" t="n">
        <v>1158757.2</v>
      </c>
      <c r="S99" s="266" t="n">
        <v>1248443.5</v>
      </c>
    </row>
    <row r="101" ht="22.5" customFormat="1" customHeight="1" s="225">
      <c r="A101" s="296" t="inlineStr">
        <is>
          <t>1) Данные содержат изменения, связанные с учетом итогов ВПН-2020.</t>
        </is>
      </c>
      <c r="N101" s="243" t="n"/>
      <c r="P101" s="225" t="n"/>
      <c r="Q101" s="225" t="n"/>
      <c r="R101" s="225" t="n"/>
      <c r="S101" s="225" t="n"/>
    </row>
  </sheetData>
  <mergeCells count="2">
    <mergeCell ref="A2:E2"/>
    <mergeCell ref="A101:L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3" activeCellId="0" sqref="L13"/>
    </sheetView>
  </sheetViews>
  <sheetFormatPr baseColWidth="8" defaultColWidth="9.1484375" defaultRowHeight="15.75" customHeight="0" zeroHeight="0" outlineLevelRow="0"/>
  <cols>
    <col width="45.71" customWidth="1" style="291" min="1" max="1"/>
    <col width="13.42" customWidth="1" style="225" min="2" max="4"/>
    <col width="14.57" customWidth="1" style="225" min="5" max="5"/>
    <col width="13.42" customWidth="1" style="225" min="6" max="6"/>
    <col width="13.42" customWidth="1" style="225" min="7" max="7"/>
    <col width="14.57" customWidth="1" style="225" min="8" max="9"/>
    <col width="9.140000000000001" customWidth="1" style="225" min="10" max="16384"/>
  </cols>
  <sheetData>
    <row r="1" ht="33" customFormat="1" customHeight="1" s="225">
      <c r="A1" s="244" t="inlineStr">
        <is>
          <t xml:space="preserve">          К содержанию</t>
        </is>
      </c>
      <c r="H1" s="281" t="n"/>
      <c r="I1" s="281" t="n"/>
    </row>
    <row r="2" ht="48" customHeight="1" s="226">
      <c r="A2" s="297" t="inlineStr">
        <is>
          <t>Валовой региональный продукт на душу населения по субъектам Российской Федерации в 2016-2023 гг.1)2)3)
(рублей)</t>
        </is>
      </c>
      <c r="B2" s="298" t="n"/>
      <c r="C2" s="298" t="n"/>
      <c r="D2" s="298" t="n"/>
      <c r="E2" s="298" t="n"/>
      <c r="F2" s="298" t="n"/>
      <c r="G2" s="283" t="n"/>
      <c r="H2" s="283" t="n"/>
      <c r="I2" s="283" t="n"/>
    </row>
    <row r="3" ht="22.5" customHeight="1" s="226">
      <c r="A3" s="250" t="n"/>
      <c r="B3" s="284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60" customHeight="1" s="226">
      <c r="A4" s="250" t="inlineStr">
        <is>
          <t>Валовой региональный продукт по субъектам Российской Федерации (валовая добавленная стоимость в текущих основных ценах)-всего</t>
        </is>
      </c>
      <c r="B4" s="299" t="n">
        <v>502914.8</v>
      </c>
      <c r="C4" s="299" t="n">
        <v>539954.5</v>
      </c>
      <c r="D4" s="299" t="n">
        <v>610225.8</v>
      </c>
      <c r="E4" s="299" t="n">
        <v>642736.1</v>
      </c>
      <c r="F4" s="300" t="n">
        <v>639170</v>
      </c>
      <c r="G4" s="299" t="n">
        <v>830059.8</v>
      </c>
      <c r="H4" s="299" t="n">
        <v>950861.4</v>
      </c>
      <c r="I4" s="299" t="n">
        <v>1073650.9</v>
      </c>
    </row>
    <row r="5" ht="15" customFormat="1" customHeight="1" s="225">
      <c r="A5" s="253" t="inlineStr">
        <is>
          <t>Центральный федеральный округ</t>
        </is>
      </c>
      <c r="B5" s="301" t="n">
        <v>653835.3</v>
      </c>
      <c r="C5" s="301" t="n">
        <v>698365.8</v>
      </c>
      <c r="D5" s="301" t="n">
        <v>776569</v>
      </c>
      <c r="E5" s="301" t="n">
        <v>821588.6</v>
      </c>
      <c r="F5" s="301" t="n">
        <v>846163.3</v>
      </c>
      <c r="G5" s="301" t="n">
        <v>1031568</v>
      </c>
      <c r="H5" s="301" t="n">
        <v>1155280.5</v>
      </c>
      <c r="I5" s="301" t="n">
        <v>1345162</v>
      </c>
    </row>
    <row r="6" ht="15" customHeight="1" s="226">
      <c r="A6" s="255" t="inlineStr">
        <is>
          <t>Белгородская область</t>
        </is>
      </c>
      <c r="B6" s="302" t="n">
        <v>500672.6</v>
      </c>
      <c r="C6" s="303" t="n">
        <v>538729.8</v>
      </c>
      <c r="D6" s="303" t="n">
        <v>587403.9</v>
      </c>
      <c r="E6" s="303" t="n">
        <v>615578.9</v>
      </c>
      <c r="F6" s="303" t="n">
        <v>643774.4</v>
      </c>
      <c r="G6" s="303" t="n">
        <v>882551.8</v>
      </c>
      <c r="H6" s="303" t="n">
        <v>840505.6</v>
      </c>
      <c r="I6" s="304" t="n">
        <v>889768.6</v>
      </c>
    </row>
    <row r="7" ht="15" customHeight="1" s="226">
      <c r="A7" s="260" t="inlineStr">
        <is>
          <t>Брянская область</t>
        </is>
      </c>
      <c r="B7" s="305" t="n">
        <v>259301.1</v>
      </c>
      <c r="C7" s="306" t="n">
        <v>281250.4</v>
      </c>
      <c r="D7" s="306" t="n">
        <v>305284.8</v>
      </c>
      <c r="E7" s="306" t="n">
        <v>334495.9</v>
      </c>
      <c r="F7" s="306" t="n">
        <v>349774.4</v>
      </c>
      <c r="G7" s="306" t="n">
        <v>411888.4</v>
      </c>
      <c r="H7" s="306" t="n">
        <v>472755.9</v>
      </c>
      <c r="I7" s="307" t="n">
        <v>546442.6</v>
      </c>
    </row>
    <row r="8" ht="15" customHeight="1" s="226">
      <c r="A8" s="260" t="inlineStr">
        <is>
          <t>Владимирская область</t>
        </is>
      </c>
      <c r="B8" s="305" t="n">
        <v>307666.2</v>
      </c>
      <c r="C8" s="306" t="n">
        <v>322473.5</v>
      </c>
      <c r="D8" s="306" t="n">
        <v>346635.8</v>
      </c>
      <c r="E8" s="306" t="n">
        <v>389002.2</v>
      </c>
      <c r="F8" s="306" t="n">
        <v>404785.5</v>
      </c>
      <c r="G8" s="306" t="n">
        <v>540728.4</v>
      </c>
      <c r="H8" s="306" t="n">
        <v>584074.4</v>
      </c>
      <c r="I8" s="307" t="n">
        <v>677998.5</v>
      </c>
    </row>
    <row r="9" ht="15" customHeight="1" s="226">
      <c r="A9" s="260" t="inlineStr">
        <is>
          <t>Воронежская область</t>
        </is>
      </c>
      <c r="B9" s="305" t="n">
        <v>353549.7</v>
      </c>
      <c r="C9" s="306" t="n">
        <v>372738</v>
      </c>
      <c r="D9" s="306" t="n">
        <v>406385.7</v>
      </c>
      <c r="E9" s="306" t="n">
        <v>428581.3</v>
      </c>
      <c r="F9" s="306" t="n">
        <v>456565.5</v>
      </c>
      <c r="G9" s="306" t="n">
        <v>551241.7</v>
      </c>
      <c r="H9" s="306" t="n">
        <v>594183.1</v>
      </c>
      <c r="I9" s="307" t="n">
        <v>655626.6</v>
      </c>
    </row>
    <row r="10" ht="15" customHeight="1" s="226">
      <c r="A10" s="260" t="inlineStr">
        <is>
          <t>Ивановская область</t>
        </is>
      </c>
      <c r="B10" s="305" t="n">
        <v>205911</v>
      </c>
      <c r="C10" s="306" t="n">
        <v>215218.9</v>
      </c>
      <c r="D10" s="306" t="n">
        <v>238961.1</v>
      </c>
      <c r="E10" s="306" t="n">
        <v>265742.3</v>
      </c>
      <c r="F10" s="306" t="n">
        <v>284826.2</v>
      </c>
      <c r="G10" s="306" t="n">
        <v>331080.1</v>
      </c>
      <c r="H10" s="306" t="n">
        <v>394614.6</v>
      </c>
      <c r="I10" s="307" t="n">
        <v>478107.8</v>
      </c>
    </row>
    <row r="11" ht="15" customHeight="1" s="226">
      <c r="A11" s="260" t="inlineStr">
        <is>
          <t>Калужская область</t>
        </is>
      </c>
      <c r="B11" s="305" t="n">
        <v>392893.2</v>
      </c>
      <c r="C11" s="306" t="n">
        <v>435720.9</v>
      </c>
      <c r="D11" s="306" t="n">
        <v>482561.6</v>
      </c>
      <c r="E11" s="306" t="n">
        <v>522193.9</v>
      </c>
      <c r="F11" s="306" t="n">
        <v>533059.9</v>
      </c>
      <c r="G11" s="306" t="n">
        <v>630411.9</v>
      </c>
      <c r="H11" s="306" t="n">
        <v>641434.4</v>
      </c>
      <c r="I11" s="307" t="n">
        <v>740704.7</v>
      </c>
    </row>
    <row r="12" ht="15" customHeight="1" s="226">
      <c r="A12" s="260" t="inlineStr">
        <is>
          <t>Костромская область</t>
        </is>
      </c>
      <c r="B12" s="305" t="n">
        <v>271006.1</v>
      </c>
      <c r="C12" s="306" t="n">
        <v>287837.4</v>
      </c>
      <c r="D12" s="306" t="n">
        <v>314092.1</v>
      </c>
      <c r="E12" s="306" t="n">
        <v>338677.9</v>
      </c>
      <c r="F12" s="306" t="n">
        <v>343868.4</v>
      </c>
      <c r="G12" s="306" t="n">
        <v>424108.4</v>
      </c>
      <c r="H12" s="306" t="n">
        <v>478370.8</v>
      </c>
      <c r="I12" s="307" t="n">
        <v>555311.3</v>
      </c>
    </row>
    <row r="13" ht="15" customHeight="1" s="226">
      <c r="A13" s="260" t="inlineStr">
        <is>
          <t>Курская область</t>
        </is>
      </c>
      <c r="B13" s="305" t="n">
        <v>338778.3</v>
      </c>
      <c r="C13" s="306" t="n">
        <v>362712.1</v>
      </c>
      <c r="D13" s="306" t="n">
        <v>407221</v>
      </c>
      <c r="E13" s="306" t="n">
        <v>450211.6</v>
      </c>
      <c r="F13" s="306" t="n">
        <v>477362.7</v>
      </c>
      <c r="G13" s="306" t="n">
        <v>634611</v>
      </c>
      <c r="H13" s="306" t="n">
        <v>618600.5</v>
      </c>
      <c r="I13" s="307" t="n">
        <v>702737.9</v>
      </c>
    </row>
    <row r="14" ht="15" customHeight="1" s="226">
      <c r="A14" s="260" t="inlineStr">
        <is>
          <t>Липецкая область</t>
        </is>
      </c>
      <c r="B14" s="305" t="n">
        <v>429064.8</v>
      </c>
      <c r="C14" s="306" t="n">
        <v>447280.1</v>
      </c>
      <c r="D14" s="306" t="n">
        <v>519293.4</v>
      </c>
      <c r="E14" s="306" t="n">
        <v>491045.2</v>
      </c>
      <c r="F14" s="306" t="n">
        <v>535237.5</v>
      </c>
      <c r="G14" s="306" t="n">
        <v>745419.3</v>
      </c>
      <c r="H14" s="306" t="n">
        <v>689045.7</v>
      </c>
      <c r="I14" s="307" t="n">
        <v>847501.2</v>
      </c>
    </row>
    <row r="15" ht="15" customHeight="1" s="226">
      <c r="A15" s="260" t="inlineStr">
        <is>
          <t>Московская область</t>
        </is>
      </c>
      <c r="B15" s="305" t="n">
        <v>533624.2</v>
      </c>
      <c r="C15" s="306" t="n">
        <v>534666.5</v>
      </c>
      <c r="D15" s="306" t="n">
        <v>569142.7</v>
      </c>
      <c r="E15" s="306" t="n">
        <v>625811.9</v>
      </c>
      <c r="F15" s="306" t="n">
        <v>643208.1</v>
      </c>
      <c r="G15" s="306" t="n">
        <v>802156.1</v>
      </c>
      <c r="H15" s="306" t="n">
        <v>907486.1</v>
      </c>
      <c r="I15" s="307" t="n">
        <v>1072270.7</v>
      </c>
    </row>
    <row r="16" ht="15" customHeight="1" s="226">
      <c r="A16" s="260" t="inlineStr">
        <is>
          <t>Орловская область</t>
        </is>
      </c>
      <c r="B16" s="305" t="n">
        <v>302660</v>
      </c>
      <c r="C16" s="306" t="n">
        <v>308718.9</v>
      </c>
      <c r="D16" s="306" t="n">
        <v>333661.2</v>
      </c>
      <c r="E16" s="306" t="n">
        <v>363618</v>
      </c>
      <c r="F16" s="306" t="n">
        <v>389873.7</v>
      </c>
      <c r="G16" s="306" t="n">
        <v>472765.6</v>
      </c>
      <c r="H16" s="306" t="n">
        <v>519457.9</v>
      </c>
      <c r="I16" s="307" t="n">
        <v>572560.7</v>
      </c>
    </row>
    <row r="17" ht="15" customHeight="1" s="226">
      <c r="A17" s="260" t="inlineStr">
        <is>
          <t>Рязанская область</t>
        </is>
      </c>
      <c r="B17" s="305" t="n">
        <v>322643.7</v>
      </c>
      <c r="C17" s="306" t="n">
        <v>349203.7</v>
      </c>
      <c r="D17" s="306" t="n">
        <v>369330.9</v>
      </c>
      <c r="E17" s="306" t="n">
        <v>389032.4</v>
      </c>
      <c r="F17" s="306" t="n">
        <v>413598.3</v>
      </c>
      <c r="G17" s="306" t="n">
        <v>492573.8</v>
      </c>
      <c r="H17" s="306" t="n">
        <v>561756.4</v>
      </c>
      <c r="I17" s="307" t="n">
        <v>638081.5</v>
      </c>
    </row>
    <row r="18" ht="15" customHeight="1" s="226">
      <c r="A18" s="260" t="inlineStr">
        <is>
          <t>Смоленская область</t>
        </is>
      </c>
      <c r="B18" s="305" t="n">
        <v>300467.9</v>
      </c>
      <c r="C18" s="306" t="n">
        <v>334461</v>
      </c>
      <c r="D18" s="306" t="n">
        <v>360185.4</v>
      </c>
      <c r="E18" s="306" t="n">
        <v>379207.5</v>
      </c>
      <c r="F18" s="306" t="n">
        <v>401921.6</v>
      </c>
      <c r="G18" s="306" t="n">
        <v>479884.3</v>
      </c>
      <c r="H18" s="306" t="n">
        <v>549202.7</v>
      </c>
      <c r="I18" s="307" t="n">
        <v>640810.6</v>
      </c>
    </row>
    <row r="19" ht="15" customHeight="1" s="226">
      <c r="A19" s="260" t="inlineStr">
        <is>
          <t>Тамбовская область</t>
        </is>
      </c>
      <c r="B19" s="305" t="n">
        <v>306886.8</v>
      </c>
      <c r="C19" s="306" t="n">
        <v>309326.8</v>
      </c>
      <c r="D19" s="306" t="n">
        <v>343885.1</v>
      </c>
      <c r="E19" s="306" t="n">
        <v>350037.9</v>
      </c>
      <c r="F19" s="306" t="n">
        <v>376475.5</v>
      </c>
      <c r="G19" s="306" t="n">
        <v>449246.4</v>
      </c>
      <c r="H19" s="306" t="n">
        <v>464995.3</v>
      </c>
      <c r="I19" s="307" t="n">
        <v>543703.9</v>
      </c>
    </row>
    <row r="20" ht="15" customHeight="1" s="226">
      <c r="A20" s="260" t="inlineStr">
        <is>
          <t>Тверская область</t>
        </is>
      </c>
      <c r="B20" s="305" t="n">
        <v>306032.3</v>
      </c>
      <c r="C20" s="306" t="n">
        <v>326641</v>
      </c>
      <c r="D20" s="306" t="n">
        <v>369778.1</v>
      </c>
      <c r="E20" s="306" t="n">
        <v>387043.4</v>
      </c>
      <c r="F20" s="306" t="n">
        <v>389464.4</v>
      </c>
      <c r="G20" s="306" t="n">
        <v>457517.7</v>
      </c>
      <c r="H20" s="306" t="n">
        <v>509467.6</v>
      </c>
      <c r="I20" s="307" t="n">
        <v>622862</v>
      </c>
    </row>
    <row r="21" ht="15" customHeight="1" s="226">
      <c r="A21" s="260" t="inlineStr">
        <is>
          <t>Тульская область</t>
        </is>
      </c>
      <c r="B21" s="305" t="n">
        <v>359839.8</v>
      </c>
      <c r="C21" s="306" t="n">
        <v>387564.9</v>
      </c>
      <c r="D21" s="306" t="n">
        <v>435984.3</v>
      </c>
      <c r="E21" s="306" t="n">
        <v>444585.1</v>
      </c>
      <c r="F21" s="306" t="n">
        <v>471229</v>
      </c>
      <c r="G21" s="306" t="n">
        <v>590846.4</v>
      </c>
      <c r="H21" s="306" t="n">
        <v>673180.4</v>
      </c>
      <c r="I21" s="307" t="n">
        <v>778402.9</v>
      </c>
    </row>
    <row r="22" ht="15" customHeight="1" s="226">
      <c r="A22" s="260" t="inlineStr">
        <is>
          <t>Ярославская область</t>
        </is>
      </c>
      <c r="B22" s="305" t="n">
        <v>395781</v>
      </c>
      <c r="C22" s="306" t="n">
        <v>425801.3</v>
      </c>
      <c r="D22" s="306" t="n">
        <v>467688.6</v>
      </c>
      <c r="E22" s="306" t="n">
        <v>491362.8</v>
      </c>
      <c r="F22" s="306" t="n">
        <v>497907.8</v>
      </c>
      <c r="G22" s="306" t="n">
        <v>572665.4</v>
      </c>
      <c r="H22" s="306" t="n">
        <v>617103.2</v>
      </c>
      <c r="I22" s="307" t="n">
        <v>713444.2</v>
      </c>
    </row>
    <row r="23" ht="15" customHeight="1" s="226">
      <c r="A23" s="260" t="inlineStr">
        <is>
          <t>г.Москва</t>
        </is>
      </c>
      <c r="B23" s="308" t="n">
        <v>1216874.1</v>
      </c>
      <c r="C23" s="309" t="n">
        <v>1315542.6</v>
      </c>
      <c r="D23" s="309" t="n">
        <v>1473322.5</v>
      </c>
      <c r="E23" s="309" t="n">
        <v>1536186</v>
      </c>
      <c r="F23" s="309" t="n">
        <v>1562963.6</v>
      </c>
      <c r="G23" s="309" t="n">
        <v>1866988.7</v>
      </c>
      <c r="H23" s="309" t="n">
        <v>2123057.7</v>
      </c>
      <c r="I23" s="310" t="n">
        <v>2463550.4</v>
      </c>
    </row>
    <row r="24" ht="15" customFormat="1" customHeight="1" s="225">
      <c r="A24" s="276" t="inlineStr">
        <is>
          <t>Северо-Западный федеральный округ</t>
        </is>
      </c>
      <c r="B24" s="301" t="n">
        <v>605488.6</v>
      </c>
      <c r="C24" s="301" t="n">
        <v>633368</v>
      </c>
      <c r="D24" s="301" t="n">
        <v>707186.7</v>
      </c>
      <c r="E24" s="301" t="n">
        <v>757340.9</v>
      </c>
      <c r="F24" s="301" t="n">
        <v>769747.9</v>
      </c>
      <c r="G24" s="301" t="n">
        <v>1198062.3</v>
      </c>
      <c r="H24" s="301" t="n">
        <v>1362794</v>
      </c>
      <c r="I24" s="301" t="n">
        <v>1390383.3</v>
      </c>
    </row>
    <row r="25" ht="15" customHeight="1" s="226">
      <c r="A25" s="268" t="inlineStr">
        <is>
          <t>Республика Карелия</t>
        </is>
      </c>
      <c r="B25" s="305" t="n">
        <v>419854.6</v>
      </c>
      <c r="C25" s="306" t="n">
        <v>467853.6</v>
      </c>
      <c r="D25" s="306" t="n">
        <v>532104.8</v>
      </c>
      <c r="E25" s="303" t="n">
        <v>574794.5</v>
      </c>
      <c r="F25" s="303" t="n">
        <v>591114.7</v>
      </c>
      <c r="G25" s="306" t="n">
        <v>833570.6</v>
      </c>
      <c r="H25" s="306" t="n">
        <v>740746.1</v>
      </c>
      <c r="I25" s="304" t="n">
        <v>825855.7</v>
      </c>
    </row>
    <row r="26" ht="15" customHeight="1" s="226">
      <c r="A26" s="268" t="inlineStr">
        <is>
          <t>Республика Коми</t>
        </is>
      </c>
      <c r="B26" s="305" t="n">
        <v>707578.4</v>
      </c>
      <c r="C26" s="306" t="n">
        <v>757260.3</v>
      </c>
      <c r="D26" s="306" t="n">
        <v>884160.8</v>
      </c>
      <c r="E26" s="306" t="n">
        <v>931130</v>
      </c>
      <c r="F26" s="306" t="n">
        <v>810217.9</v>
      </c>
      <c r="G26" s="306" t="n">
        <v>1171877.3</v>
      </c>
      <c r="H26" s="306" t="n">
        <v>1330279.7</v>
      </c>
      <c r="I26" s="307" t="n">
        <v>1450357.4</v>
      </c>
    </row>
    <row r="27" ht="15" customHeight="1" s="226">
      <c r="A27" s="268" t="inlineStr">
        <is>
          <t>Архангельская область</t>
        </is>
      </c>
      <c r="B27" s="305" t="n">
        <v>637107.7</v>
      </c>
      <c r="C27" s="306" t="n">
        <v>689646</v>
      </c>
      <c r="D27" s="306" t="n">
        <v>800588.3</v>
      </c>
      <c r="E27" s="306" t="n">
        <v>836816.4</v>
      </c>
      <c r="F27" s="306" t="n">
        <v>747171.9</v>
      </c>
      <c r="G27" s="306" t="n">
        <v>1052441</v>
      </c>
      <c r="H27" s="306" t="n">
        <v>1176717.1</v>
      </c>
      <c r="I27" s="307" t="n">
        <v>1260674.9</v>
      </c>
    </row>
    <row r="28" ht="15" customHeight="1" s="226">
      <c r="A28" s="268" t="inlineStr">
        <is>
          <t xml:space="preserve">      в т.ч. Ненецкий авт. округ</t>
        </is>
      </c>
      <c r="B28" s="305" t="n">
        <v>6173733.5</v>
      </c>
      <c r="C28" s="306" t="n">
        <v>6302095.4</v>
      </c>
      <c r="D28" s="306" t="n">
        <v>7658795</v>
      </c>
      <c r="E28" s="306" t="n">
        <v>7954412.5</v>
      </c>
      <c r="F28" s="306" t="n">
        <v>5547322.7</v>
      </c>
      <c r="G28" s="306" t="n">
        <v>9866203.9</v>
      </c>
      <c r="H28" s="306" t="n">
        <v>11815172.8</v>
      </c>
      <c r="I28" s="307" t="n">
        <v>11995394.3</v>
      </c>
    </row>
    <row r="29" ht="15" customFormat="1" customHeight="1" s="225">
      <c r="A29" s="277" t="inlineStr">
        <is>
          <t xml:space="preserve">     Архангельская область без Ненецкого авт.округа</t>
        </is>
      </c>
      <c r="B29" s="305" t="n">
        <v>419090.3</v>
      </c>
      <c r="C29" s="306" t="n">
        <v>466062.8</v>
      </c>
      <c r="D29" s="306" t="n">
        <v>524584</v>
      </c>
      <c r="E29" s="306" t="n">
        <v>546989.7</v>
      </c>
      <c r="F29" s="306" t="n">
        <v>548518.4</v>
      </c>
      <c r="G29" s="306" t="n">
        <v>681214.5</v>
      </c>
      <c r="H29" s="306" t="n">
        <v>722352.8</v>
      </c>
      <c r="I29" s="307" t="n">
        <v>793259.7</v>
      </c>
    </row>
    <row r="30" ht="15" customHeight="1" s="226">
      <c r="A30" s="268" t="inlineStr">
        <is>
          <t>Вологодская область</t>
        </is>
      </c>
      <c r="B30" s="305" t="n">
        <v>430233.8</v>
      </c>
      <c r="C30" s="306" t="n">
        <v>460014.4</v>
      </c>
      <c r="D30" s="306" t="n">
        <v>525527.1</v>
      </c>
      <c r="E30" s="306" t="n">
        <v>543954.1</v>
      </c>
      <c r="F30" s="306" t="n">
        <v>540722.5</v>
      </c>
      <c r="G30" s="306" t="n">
        <v>897094.3</v>
      </c>
      <c r="H30" s="306" t="n">
        <v>900543.6</v>
      </c>
      <c r="I30" s="307" t="n">
        <v>961567.4</v>
      </c>
    </row>
    <row r="31" ht="15" customHeight="1" s="226">
      <c r="A31" s="268" t="inlineStr">
        <is>
          <t>Калининградская область</t>
        </is>
      </c>
      <c r="B31" s="305" t="n">
        <v>424365.1</v>
      </c>
      <c r="C31" s="306" t="n">
        <v>450182.7</v>
      </c>
      <c r="D31" s="306" t="n">
        <v>493056.8</v>
      </c>
      <c r="E31" s="306" t="n">
        <v>515852.5</v>
      </c>
      <c r="F31" s="306" t="n">
        <v>539350.5</v>
      </c>
      <c r="G31" s="306" t="n">
        <v>666279.8</v>
      </c>
      <c r="H31" s="306" t="n">
        <v>710941.1</v>
      </c>
      <c r="I31" s="307" t="n">
        <v>760027</v>
      </c>
    </row>
    <row r="32" ht="15" customHeight="1" s="226">
      <c r="A32" s="268" t="inlineStr">
        <is>
          <t>Ленинградская область</t>
        </is>
      </c>
      <c r="B32" s="305" t="n">
        <v>520669.6</v>
      </c>
      <c r="C32" s="306" t="n">
        <v>539983.3</v>
      </c>
      <c r="D32" s="306" t="n">
        <v>606440.8</v>
      </c>
      <c r="E32" s="306" t="n">
        <v>633301.4</v>
      </c>
      <c r="F32" s="306" t="n">
        <v>630638.4</v>
      </c>
      <c r="G32" s="306" t="n">
        <v>739732.7</v>
      </c>
      <c r="H32" s="306" t="n">
        <v>823931.1</v>
      </c>
      <c r="I32" s="307" t="n">
        <v>943551.9</v>
      </c>
    </row>
    <row r="33" ht="15" customHeight="1" s="226">
      <c r="A33" s="268" t="inlineStr">
        <is>
          <t>Мурманская область</t>
        </is>
      </c>
      <c r="B33" s="305" t="n">
        <v>640507.9</v>
      </c>
      <c r="C33" s="306" t="n">
        <v>666306.4</v>
      </c>
      <c r="D33" s="306" t="n">
        <v>734566.5</v>
      </c>
      <c r="E33" s="306" t="n">
        <v>883121</v>
      </c>
      <c r="F33" s="306" t="n">
        <v>1164918.2</v>
      </c>
      <c r="G33" s="306" t="n">
        <v>1646950.9</v>
      </c>
      <c r="H33" s="306" t="n">
        <v>1740425.5</v>
      </c>
      <c r="I33" s="307" t="n">
        <v>1714647.5</v>
      </c>
    </row>
    <row r="34" ht="15" customHeight="1" s="226">
      <c r="A34" s="268" t="inlineStr">
        <is>
          <t>Новгородская область</t>
        </is>
      </c>
      <c r="B34" s="305" t="n">
        <v>413626</v>
      </c>
      <c r="C34" s="306" t="n">
        <v>422137.6</v>
      </c>
      <c r="D34" s="306" t="n">
        <v>431838.2</v>
      </c>
      <c r="E34" s="306" t="n">
        <v>460231.8</v>
      </c>
      <c r="F34" s="306" t="n">
        <v>473600.1</v>
      </c>
      <c r="G34" s="306" t="n">
        <v>590942.9</v>
      </c>
      <c r="H34" s="306" t="n">
        <v>652401.2</v>
      </c>
      <c r="I34" s="307" t="n">
        <v>712876.7</v>
      </c>
    </row>
    <row r="35" ht="15" customHeight="1" s="226">
      <c r="A35" s="268" t="inlineStr">
        <is>
          <t>Псковская область</t>
        </is>
      </c>
      <c r="B35" s="305" t="n">
        <v>250434</v>
      </c>
      <c r="C35" s="306" t="n">
        <v>263558.4</v>
      </c>
      <c r="D35" s="306" t="n">
        <v>290740.4</v>
      </c>
      <c r="E35" s="306" t="n">
        <v>319726.3</v>
      </c>
      <c r="F35" s="306" t="n">
        <v>331405.5</v>
      </c>
      <c r="G35" s="306" t="n">
        <v>378939.1</v>
      </c>
      <c r="H35" s="306" t="n">
        <v>431917.3</v>
      </c>
      <c r="I35" s="307" t="n">
        <v>494039.9</v>
      </c>
    </row>
    <row r="36" ht="15" customHeight="1" s="226">
      <c r="A36" s="268" t="inlineStr">
        <is>
          <t>г.Санкт-Петербург</t>
        </is>
      </c>
      <c r="B36" s="311" t="n">
        <v>763731.9</v>
      </c>
      <c r="C36" s="312" t="n">
        <v>785866</v>
      </c>
      <c r="D36" s="312" t="n">
        <v>866794.9</v>
      </c>
      <c r="E36" s="306" t="n">
        <v>932159.6</v>
      </c>
      <c r="F36" s="306" t="n">
        <v>954862.8</v>
      </c>
      <c r="G36" s="312" t="n">
        <v>1682758.7</v>
      </c>
      <c r="H36" s="312" t="n">
        <v>1993849.6</v>
      </c>
      <c r="I36" s="307" t="n">
        <v>1948243.8</v>
      </c>
    </row>
    <row r="37" ht="15" customHeight="1" s="226">
      <c r="A37" s="272" t="inlineStr">
        <is>
          <t>Южный федеральный округ</t>
        </is>
      </c>
      <c r="B37" s="301" t="n">
        <v>329368.8</v>
      </c>
      <c r="C37" s="301" t="n">
        <v>351048.6</v>
      </c>
      <c r="D37" s="301" t="n">
        <v>379164.7</v>
      </c>
      <c r="E37" s="301" t="n">
        <v>395399.2</v>
      </c>
      <c r="F37" s="301" t="n">
        <v>405172.3</v>
      </c>
      <c r="G37" s="301" t="n">
        <v>486076.5</v>
      </c>
      <c r="H37" s="301" t="n">
        <v>585800.5</v>
      </c>
      <c r="I37" s="301" t="n">
        <v>660932.9</v>
      </c>
    </row>
    <row r="38" ht="15" customHeight="1" s="226">
      <c r="A38" s="268" t="inlineStr">
        <is>
          <t>Республика Адыгея</t>
        </is>
      </c>
      <c r="B38" s="313" t="n">
        <v>216232.8</v>
      </c>
      <c r="C38" s="314" t="n">
        <v>232839.8</v>
      </c>
      <c r="D38" s="314" t="n">
        <v>252776.7</v>
      </c>
      <c r="E38" s="303" t="n">
        <v>272001.2</v>
      </c>
      <c r="F38" s="303" t="n">
        <v>292264.5</v>
      </c>
      <c r="G38" s="314" t="n">
        <v>346689.2</v>
      </c>
      <c r="H38" s="314" t="n">
        <v>384553.9</v>
      </c>
      <c r="I38" s="304" t="n">
        <v>446662</v>
      </c>
    </row>
    <row r="39" ht="15" customHeight="1" s="226">
      <c r="A39" s="268" t="inlineStr">
        <is>
          <t>Республика Калмыкия</t>
        </is>
      </c>
      <c r="B39" s="305" t="n">
        <v>250822.7</v>
      </c>
      <c r="C39" s="306" t="n">
        <v>290646.4</v>
      </c>
      <c r="D39" s="306" t="n">
        <v>315286</v>
      </c>
      <c r="E39" s="306" t="n">
        <v>328442.5</v>
      </c>
      <c r="F39" s="306" t="n">
        <v>348863.1</v>
      </c>
      <c r="G39" s="306" t="n">
        <v>382488.4</v>
      </c>
      <c r="H39" s="306" t="n">
        <v>451203.8</v>
      </c>
      <c r="I39" s="307" t="n">
        <v>627610.2</v>
      </c>
    </row>
    <row r="40" ht="15" customHeight="1" s="226">
      <c r="A40" s="268" t="inlineStr">
        <is>
          <t>Республика Крым</t>
        </is>
      </c>
      <c r="B40" s="305" t="n">
        <v>189116</v>
      </c>
      <c r="C40" s="306" t="n">
        <v>199863.3</v>
      </c>
      <c r="D40" s="306" t="n">
        <v>226510.4</v>
      </c>
      <c r="E40" s="306" t="n">
        <v>245659.5</v>
      </c>
      <c r="F40" s="306" t="n">
        <v>267220.8</v>
      </c>
      <c r="G40" s="306" t="n">
        <v>318032.3</v>
      </c>
      <c r="H40" s="306" t="n">
        <v>339121.3</v>
      </c>
      <c r="I40" s="307" t="n">
        <v>377647.9</v>
      </c>
    </row>
    <row r="41" ht="15" customHeight="1" s="226">
      <c r="A41" s="268" t="inlineStr">
        <is>
          <t>Краснодарский край</t>
        </is>
      </c>
      <c r="B41" s="305" t="n">
        <v>401975.1</v>
      </c>
      <c r="C41" s="306" t="n">
        <v>427061.4</v>
      </c>
      <c r="D41" s="306" t="n">
        <v>436674.8</v>
      </c>
      <c r="E41" s="306" t="n">
        <v>446335.4</v>
      </c>
      <c r="F41" s="306" t="n">
        <v>459481.1</v>
      </c>
      <c r="G41" s="306" t="n">
        <v>563372.1</v>
      </c>
      <c r="H41" s="306" t="n">
        <v>736249.7</v>
      </c>
      <c r="I41" s="307" t="n">
        <v>819068.7</v>
      </c>
    </row>
    <row r="42" ht="15" customHeight="1" s="226">
      <c r="A42" s="268" t="inlineStr">
        <is>
          <t>Астраханская область</t>
        </is>
      </c>
      <c r="B42" s="305" t="n">
        <v>367483.2</v>
      </c>
      <c r="C42" s="306" t="n">
        <v>442846.1</v>
      </c>
      <c r="D42" s="306" t="n">
        <v>582565.6</v>
      </c>
      <c r="E42" s="306" t="n">
        <v>610661.5</v>
      </c>
      <c r="F42" s="306" t="n">
        <v>541099</v>
      </c>
      <c r="G42" s="306" t="n">
        <v>688988.3</v>
      </c>
      <c r="H42" s="306" t="n">
        <v>800575.6</v>
      </c>
      <c r="I42" s="307" t="n">
        <v>819951.6</v>
      </c>
    </row>
    <row r="43" ht="15" customHeight="1" s="226">
      <c r="A43" s="268" t="inlineStr">
        <is>
          <t>Волгоградская область</t>
        </is>
      </c>
      <c r="B43" s="305" t="n">
        <v>322250.5</v>
      </c>
      <c r="C43" s="306" t="n">
        <v>332977.4</v>
      </c>
      <c r="D43" s="306" t="n">
        <v>364763.9</v>
      </c>
      <c r="E43" s="306" t="n">
        <v>380349.9</v>
      </c>
      <c r="F43" s="306" t="n">
        <v>387991</v>
      </c>
      <c r="G43" s="306" t="n">
        <v>426400.1</v>
      </c>
      <c r="H43" s="306" t="n">
        <v>486910.5</v>
      </c>
      <c r="I43" s="307" t="n">
        <v>562548.1</v>
      </c>
    </row>
    <row r="44" ht="15" customHeight="1" s="226">
      <c r="A44" s="268" t="inlineStr">
        <is>
          <t>Ростовская область</t>
        </is>
      </c>
      <c r="B44" s="305" t="n">
        <v>323310.7</v>
      </c>
      <c r="C44" s="306" t="n">
        <v>339309.1</v>
      </c>
      <c r="D44" s="306" t="n">
        <v>365327.5</v>
      </c>
      <c r="E44" s="306" t="n">
        <v>386764</v>
      </c>
      <c r="F44" s="306" t="n">
        <v>406006</v>
      </c>
      <c r="G44" s="306" t="n">
        <v>485902.3</v>
      </c>
      <c r="H44" s="306" t="n">
        <v>554701</v>
      </c>
      <c r="I44" s="307" t="n">
        <v>647630.7</v>
      </c>
    </row>
    <row r="45" ht="15" customHeight="1" s="226">
      <c r="A45" s="268" t="inlineStr">
        <is>
          <t>г.Севастополь</t>
        </is>
      </c>
      <c r="B45" s="305" t="n">
        <v>199345.1</v>
      </c>
      <c r="C45" s="306" t="n">
        <v>215927.3</v>
      </c>
      <c r="D45" s="306" t="n">
        <v>248511.9</v>
      </c>
      <c r="E45" s="306" t="n">
        <v>269903.5</v>
      </c>
      <c r="F45" s="306" t="n">
        <v>271274.5</v>
      </c>
      <c r="G45" s="306" t="n">
        <v>348361.9</v>
      </c>
      <c r="H45" s="306" t="n">
        <v>413083.7</v>
      </c>
      <c r="I45" s="307" t="n">
        <v>452269.9</v>
      </c>
    </row>
    <row r="46" ht="15" customFormat="1" customHeight="1" s="225">
      <c r="A46" s="276" t="inlineStr">
        <is>
          <t>Северо-Кавказский федеральный округ</t>
        </is>
      </c>
      <c r="B46" s="315" t="n">
        <v>200213.5</v>
      </c>
      <c r="C46" s="315" t="n">
        <v>206103.8</v>
      </c>
      <c r="D46" s="315" t="n">
        <v>216587.4</v>
      </c>
      <c r="E46" s="301" t="n">
        <v>228518.1</v>
      </c>
      <c r="F46" s="301" t="n">
        <v>233999.1</v>
      </c>
      <c r="G46" s="315" t="n">
        <v>266959.9</v>
      </c>
      <c r="H46" s="315" t="n">
        <v>298800.5</v>
      </c>
      <c r="I46" s="301" t="n">
        <v>348930</v>
      </c>
    </row>
    <row r="47" ht="15" customHeight="1" s="226">
      <c r="A47" s="268" t="inlineStr">
        <is>
          <t>Республика Дагестан</t>
        </is>
      </c>
      <c r="B47" s="305" t="n">
        <v>202693.3</v>
      </c>
      <c r="C47" s="306" t="n">
        <v>208042.6</v>
      </c>
      <c r="D47" s="306" t="n">
        <v>218099.5</v>
      </c>
      <c r="E47" s="303" t="n">
        <v>228250</v>
      </c>
      <c r="F47" s="303" t="n">
        <v>234960.7</v>
      </c>
      <c r="G47" s="306" t="n">
        <v>252694</v>
      </c>
      <c r="H47" s="306" t="n">
        <v>274191</v>
      </c>
      <c r="I47" s="304" t="n">
        <v>321237.1</v>
      </c>
    </row>
    <row r="48" ht="15" customHeight="1" s="226">
      <c r="A48" s="268" t="inlineStr">
        <is>
          <t>Республика Ингушетия</t>
        </is>
      </c>
      <c r="B48" s="305" t="n">
        <v>123604.4</v>
      </c>
      <c r="C48" s="306" t="n">
        <v>127623.9</v>
      </c>
      <c r="D48" s="306" t="n">
        <v>139363.8</v>
      </c>
      <c r="E48" s="306" t="n">
        <v>149849.4</v>
      </c>
      <c r="F48" s="306" t="n">
        <v>141618.3</v>
      </c>
      <c r="G48" s="306" t="n">
        <v>141496</v>
      </c>
      <c r="H48" s="306" t="n">
        <v>162797</v>
      </c>
      <c r="I48" s="307" t="n">
        <v>182203.7</v>
      </c>
    </row>
    <row r="49" ht="15" customHeight="1" s="226">
      <c r="A49" s="268" t="inlineStr">
        <is>
          <t>Кабардино-Балкарская Республика</t>
        </is>
      </c>
      <c r="B49" s="305" t="n">
        <v>173590</v>
      </c>
      <c r="C49" s="306" t="n">
        <v>175147.8</v>
      </c>
      <c r="D49" s="306" t="n">
        <v>181478</v>
      </c>
      <c r="E49" s="306" t="n">
        <v>191721.5</v>
      </c>
      <c r="F49" s="306" t="n">
        <v>200313.5</v>
      </c>
      <c r="G49" s="306" t="n">
        <v>235770.1</v>
      </c>
      <c r="H49" s="306" t="n">
        <v>272795.1</v>
      </c>
      <c r="I49" s="307" t="n">
        <v>321883.7</v>
      </c>
    </row>
    <row r="50" ht="15" customHeight="1" s="226">
      <c r="A50" s="268" t="inlineStr">
        <is>
          <t>Карачаево-Черкесская Республика</t>
        </is>
      </c>
      <c r="B50" s="305" t="n">
        <v>167223.9</v>
      </c>
      <c r="C50" s="306" t="n">
        <v>176253.4</v>
      </c>
      <c r="D50" s="306" t="n">
        <v>182466.9</v>
      </c>
      <c r="E50" s="306" t="n">
        <v>194488.5</v>
      </c>
      <c r="F50" s="306" t="n">
        <v>202626.9</v>
      </c>
      <c r="G50" s="306" t="n">
        <v>231202.6</v>
      </c>
      <c r="H50" s="306" t="n">
        <v>264392.6</v>
      </c>
      <c r="I50" s="307" t="n">
        <v>305968.9</v>
      </c>
    </row>
    <row r="51" ht="15" customFormat="1" customHeight="1" s="225">
      <c r="A51" s="277" t="inlineStr">
        <is>
          <t>Республика Северная Осетия-Алания</t>
        </is>
      </c>
      <c r="B51" s="305" t="n">
        <v>211684</v>
      </c>
      <c r="C51" s="306" t="n">
        <v>217384.9</v>
      </c>
      <c r="D51" s="306" t="n">
        <v>230382.6</v>
      </c>
      <c r="E51" s="306" t="n">
        <v>249099.8</v>
      </c>
      <c r="F51" s="306" t="n">
        <v>258575.6</v>
      </c>
      <c r="G51" s="306" t="n">
        <v>287740.5</v>
      </c>
      <c r="H51" s="306" t="n">
        <v>323803.4</v>
      </c>
      <c r="I51" s="307" t="n">
        <v>392101.6</v>
      </c>
    </row>
    <row r="52" ht="15" customHeight="1" s="226">
      <c r="A52" s="268" t="inlineStr">
        <is>
          <t>Чеченская Республика</t>
        </is>
      </c>
      <c r="B52" s="305" t="n">
        <v>143527.4</v>
      </c>
      <c r="C52" s="306" t="n">
        <v>151468.3</v>
      </c>
      <c r="D52" s="306" t="n">
        <v>154749.8</v>
      </c>
      <c r="E52" s="306" t="n">
        <v>164713.8</v>
      </c>
      <c r="F52" s="306" t="n">
        <v>169364.1</v>
      </c>
      <c r="G52" s="306" t="n">
        <v>185164.8</v>
      </c>
      <c r="H52" s="306" t="n">
        <v>206334.5</v>
      </c>
      <c r="I52" s="307" t="n">
        <v>257429.5</v>
      </c>
    </row>
    <row r="53" ht="15" customHeight="1" s="226">
      <c r="A53" s="268" t="inlineStr">
        <is>
          <t>Ставропольский край</t>
        </is>
      </c>
      <c r="B53" s="305" t="n">
        <v>248733.1</v>
      </c>
      <c r="C53" s="306" t="n">
        <v>255795.5</v>
      </c>
      <c r="D53" s="306" t="n">
        <v>272029.1</v>
      </c>
      <c r="E53" s="306" t="n">
        <v>286479.7</v>
      </c>
      <c r="F53" s="306" t="n">
        <v>291614.2</v>
      </c>
      <c r="G53" s="306" t="n">
        <v>357475</v>
      </c>
      <c r="H53" s="306" t="n">
        <v>406588</v>
      </c>
      <c r="I53" s="307" t="n">
        <v>464154.3</v>
      </c>
    </row>
    <row r="54" ht="15" customHeight="1" s="226">
      <c r="A54" s="267" t="inlineStr">
        <is>
          <t>Приволжский федеральный округ</t>
        </is>
      </c>
      <c r="B54" s="315" t="n">
        <v>373471.7</v>
      </c>
      <c r="C54" s="315" t="n">
        <v>399392.2</v>
      </c>
      <c r="D54" s="315" t="n">
        <v>452119.1</v>
      </c>
      <c r="E54" s="301" t="n">
        <v>480360.5</v>
      </c>
      <c r="F54" s="301" t="n">
        <v>467647.1</v>
      </c>
      <c r="G54" s="315" t="n">
        <v>592062.8</v>
      </c>
      <c r="H54" s="315" t="n">
        <v>678151.6</v>
      </c>
      <c r="I54" s="301" t="n">
        <v>769355.4</v>
      </c>
    </row>
    <row r="55" ht="15" customHeight="1" s="226">
      <c r="A55" s="268" t="inlineStr">
        <is>
          <t>Республика Башкортостан</t>
        </is>
      </c>
      <c r="B55" s="305" t="n">
        <v>345331.5</v>
      </c>
      <c r="C55" s="306" t="n">
        <v>361070.3</v>
      </c>
      <c r="D55" s="306" t="n">
        <v>422133.4</v>
      </c>
      <c r="E55" s="306" t="n">
        <v>438183</v>
      </c>
      <c r="F55" s="303" t="n">
        <v>412767.7</v>
      </c>
      <c r="G55" s="306" t="n">
        <v>492450.9</v>
      </c>
      <c r="H55" s="306" t="n">
        <v>542785.4</v>
      </c>
      <c r="I55" s="307" t="n">
        <v>604343.3</v>
      </c>
    </row>
    <row r="56" ht="15" customHeight="1" s="226">
      <c r="A56" s="268" t="inlineStr">
        <is>
          <t>Республика Марий Эл</t>
        </is>
      </c>
      <c r="B56" s="305" t="n">
        <v>248481.6</v>
      </c>
      <c r="C56" s="306" t="n">
        <v>259602</v>
      </c>
      <c r="D56" s="306" t="n">
        <v>281426.3</v>
      </c>
      <c r="E56" s="306" t="n">
        <v>297332.6</v>
      </c>
      <c r="F56" s="306" t="n">
        <v>290412.2</v>
      </c>
      <c r="G56" s="306" t="n">
        <v>333964.7</v>
      </c>
      <c r="H56" s="306" t="n">
        <v>374801.1</v>
      </c>
      <c r="I56" s="307" t="n">
        <v>453700.8</v>
      </c>
    </row>
    <row r="57" ht="15" customHeight="1" s="226">
      <c r="A57" s="268" t="inlineStr">
        <is>
          <t>Республика Мордовия</t>
        </is>
      </c>
      <c r="B57" s="305" t="n">
        <v>274535</v>
      </c>
      <c r="C57" s="306" t="n">
        <v>290362.4</v>
      </c>
      <c r="D57" s="306" t="n">
        <v>304213.2</v>
      </c>
      <c r="E57" s="306" t="n">
        <v>327973.9</v>
      </c>
      <c r="F57" s="306" t="n">
        <v>335559.5</v>
      </c>
      <c r="G57" s="306" t="n">
        <v>387433.7</v>
      </c>
      <c r="H57" s="306" t="n">
        <v>436513.9</v>
      </c>
      <c r="I57" s="307" t="n">
        <v>516284.8</v>
      </c>
    </row>
    <row r="58" ht="15" customHeight="1" s="226">
      <c r="A58" s="268" t="inlineStr">
        <is>
          <t>Республика Татарстан</t>
        </is>
      </c>
      <c r="B58" s="305" t="n">
        <v>523310.8</v>
      </c>
      <c r="C58" s="306" t="n">
        <v>572350.5</v>
      </c>
      <c r="D58" s="306" t="n">
        <v>659921.1</v>
      </c>
      <c r="E58" s="306" t="n">
        <v>704097.8</v>
      </c>
      <c r="F58" s="306" t="n">
        <v>658311.7</v>
      </c>
      <c r="G58" s="306" t="n">
        <v>883564</v>
      </c>
      <c r="H58" s="306" t="n">
        <v>1035953.2</v>
      </c>
      <c r="I58" s="307" t="n">
        <v>1145173.9</v>
      </c>
    </row>
    <row r="59" ht="15" customHeight="1" s="226">
      <c r="A59" s="268" t="inlineStr">
        <is>
          <t>Удмуртская Республика</t>
        </is>
      </c>
      <c r="B59" s="305" t="n">
        <v>380430.8</v>
      </c>
      <c r="C59" s="306" t="n">
        <v>396367.8</v>
      </c>
      <c r="D59" s="306" t="n">
        <v>457661.1</v>
      </c>
      <c r="E59" s="306" t="n">
        <v>489587.1</v>
      </c>
      <c r="F59" s="306" t="n">
        <v>466779.7</v>
      </c>
      <c r="G59" s="306" t="n">
        <v>596319.8</v>
      </c>
      <c r="H59" s="306" t="n">
        <v>667916.8</v>
      </c>
      <c r="I59" s="307" t="n">
        <v>766752.8</v>
      </c>
    </row>
    <row r="60" ht="15" customHeight="1" s="226">
      <c r="A60" s="268" t="inlineStr">
        <is>
          <t>Чувашская Республика</t>
        </is>
      </c>
      <c r="B60" s="305" t="n">
        <v>231831.3</v>
      </c>
      <c r="C60" s="306" t="n">
        <v>242201.7</v>
      </c>
      <c r="D60" s="306" t="n">
        <v>260155.2</v>
      </c>
      <c r="E60" s="306" t="n">
        <v>280743.4</v>
      </c>
      <c r="F60" s="306" t="n">
        <v>288278.8</v>
      </c>
      <c r="G60" s="306" t="n">
        <v>336235.7</v>
      </c>
      <c r="H60" s="306" t="n">
        <v>415069.8</v>
      </c>
      <c r="I60" s="307" t="n">
        <v>513893.6</v>
      </c>
    </row>
    <row r="61" ht="15" customHeight="1" s="226">
      <c r="A61" s="268" t="inlineStr">
        <is>
          <t>Пермский край</t>
        </is>
      </c>
      <c r="B61" s="305" t="n">
        <v>438303.1</v>
      </c>
      <c r="C61" s="306" t="n">
        <v>477302.9</v>
      </c>
      <c r="D61" s="306" t="n">
        <v>547866.9</v>
      </c>
      <c r="E61" s="306" t="n">
        <v>579554</v>
      </c>
      <c r="F61" s="306" t="n">
        <v>540576.6</v>
      </c>
      <c r="G61" s="306" t="n">
        <v>695592.3</v>
      </c>
      <c r="H61" s="306" t="n">
        <v>793485</v>
      </c>
      <c r="I61" s="307" t="n">
        <v>878276.5</v>
      </c>
    </row>
    <row r="62" ht="15" customHeight="1" s="226">
      <c r="A62" s="268" t="inlineStr">
        <is>
          <t>Кировская область</t>
        </is>
      </c>
      <c r="B62" s="305" t="n">
        <v>250772.9</v>
      </c>
      <c r="C62" s="306" t="n">
        <v>268466.4</v>
      </c>
      <c r="D62" s="306" t="n">
        <v>289855.8</v>
      </c>
      <c r="E62" s="306" t="n">
        <v>308454</v>
      </c>
      <c r="F62" s="306" t="n">
        <v>335637</v>
      </c>
      <c r="G62" s="306" t="n">
        <v>420844.8</v>
      </c>
      <c r="H62" s="306" t="n">
        <v>479182.2</v>
      </c>
      <c r="I62" s="307" t="n">
        <v>534306.1</v>
      </c>
    </row>
    <row r="63" ht="15" customHeight="1" s="226">
      <c r="A63" s="268" t="inlineStr">
        <is>
          <t>Нижегородская область</t>
        </is>
      </c>
      <c r="B63" s="305" t="n">
        <v>396361.6</v>
      </c>
      <c r="C63" s="306" t="n">
        <v>430967</v>
      </c>
      <c r="D63" s="306" t="n">
        <v>469309.3</v>
      </c>
      <c r="E63" s="306" t="n">
        <v>508283.2</v>
      </c>
      <c r="F63" s="306" t="n">
        <v>506541.7</v>
      </c>
      <c r="G63" s="306" t="n">
        <v>617664.1</v>
      </c>
      <c r="H63" s="306" t="n">
        <v>735698</v>
      </c>
      <c r="I63" s="307" t="n">
        <v>870132.1</v>
      </c>
    </row>
    <row r="64" ht="15" customHeight="1" s="226">
      <c r="A64" s="268" t="inlineStr">
        <is>
          <t>Оренбургская область</t>
        </is>
      </c>
      <c r="B64" s="305" t="n">
        <v>416823.3</v>
      </c>
      <c r="C64" s="306" t="n">
        <v>450009.9</v>
      </c>
      <c r="D64" s="306" t="n">
        <v>551255.2</v>
      </c>
      <c r="E64" s="306" t="n">
        <v>581010.8</v>
      </c>
      <c r="F64" s="306" t="n">
        <v>554155.2</v>
      </c>
      <c r="G64" s="306" t="n">
        <v>754958.8</v>
      </c>
      <c r="H64" s="306" t="n">
        <v>847011.5</v>
      </c>
      <c r="I64" s="307" t="n">
        <v>961298.3</v>
      </c>
    </row>
    <row r="65" ht="15" customHeight="1" s="226">
      <c r="A65" s="268" t="inlineStr">
        <is>
          <t>Пензенская область</t>
        </is>
      </c>
      <c r="B65" s="305" t="n">
        <v>267664.3</v>
      </c>
      <c r="C65" s="306" t="n">
        <v>283036.5</v>
      </c>
      <c r="D65" s="306" t="n">
        <v>312421.6</v>
      </c>
      <c r="E65" s="306" t="n">
        <v>344672.1</v>
      </c>
      <c r="F65" s="306" t="n">
        <v>376779.9</v>
      </c>
      <c r="G65" s="306" t="n">
        <v>425303.8</v>
      </c>
      <c r="H65" s="306" t="n">
        <v>469186</v>
      </c>
      <c r="I65" s="307" t="n">
        <v>530871.2</v>
      </c>
    </row>
    <row r="66" ht="15" customHeight="1" s="226">
      <c r="A66" s="268" t="inlineStr">
        <is>
          <t>Самарская область</t>
        </is>
      </c>
      <c r="B66" s="305" t="n">
        <v>423704.5</v>
      </c>
      <c r="C66" s="306" t="n">
        <v>450296.1</v>
      </c>
      <c r="D66" s="306" t="n">
        <v>506319.5</v>
      </c>
      <c r="E66" s="306" t="n">
        <v>526919.7</v>
      </c>
      <c r="F66" s="306" t="n">
        <v>508744.1</v>
      </c>
      <c r="G66" s="306" t="n">
        <v>679767.6</v>
      </c>
      <c r="H66" s="306" t="n">
        <v>750782.8</v>
      </c>
      <c r="I66" s="307" t="n">
        <v>844104.3</v>
      </c>
    </row>
    <row r="67" ht="15" customHeight="1" s="226">
      <c r="A67" s="268" t="inlineStr">
        <is>
          <t>Саратовская область</t>
        </is>
      </c>
      <c r="B67" s="305" t="n">
        <v>278377.4</v>
      </c>
      <c r="C67" s="306" t="n">
        <v>290233.1</v>
      </c>
      <c r="D67" s="306" t="n">
        <v>309701.3</v>
      </c>
      <c r="E67" s="306" t="n">
        <v>325958.2</v>
      </c>
      <c r="F67" s="306" t="n">
        <v>347067.4</v>
      </c>
      <c r="G67" s="306" t="n">
        <v>413122</v>
      </c>
      <c r="H67" s="306" t="n">
        <v>486452.7</v>
      </c>
      <c r="I67" s="307" t="n">
        <v>561623.7</v>
      </c>
    </row>
    <row r="68" ht="15" customHeight="1" s="226">
      <c r="A68" s="268" t="inlineStr">
        <is>
          <t>Ульяновская область</t>
        </is>
      </c>
      <c r="B68" s="305" t="n">
        <v>293809.4</v>
      </c>
      <c r="C68" s="306" t="n">
        <v>301710</v>
      </c>
      <c r="D68" s="306" t="n">
        <v>313348.9</v>
      </c>
      <c r="E68" s="306" t="n">
        <v>347071.2</v>
      </c>
      <c r="F68" s="306" t="n">
        <v>361772.2</v>
      </c>
      <c r="G68" s="306" t="n">
        <v>423969.7</v>
      </c>
      <c r="H68" s="306" t="n">
        <v>494328</v>
      </c>
      <c r="I68" s="307" t="n">
        <v>572384.2</v>
      </c>
    </row>
    <row r="69" ht="15" customHeight="1" s="226">
      <c r="A69" s="267" t="inlineStr">
        <is>
          <t>Уральский федеральный округ</t>
        </is>
      </c>
      <c r="B69" s="315" t="n">
        <v>793034.7</v>
      </c>
      <c r="C69" s="315" t="n">
        <v>889782.9</v>
      </c>
      <c r="D69" s="315" t="n">
        <v>1055909.2</v>
      </c>
      <c r="E69" s="301" t="n">
        <v>1074908</v>
      </c>
      <c r="F69" s="301" t="n">
        <v>943274.8</v>
      </c>
      <c r="G69" s="315" t="n">
        <v>1374839.9</v>
      </c>
      <c r="H69" s="315" t="n">
        <v>1622976</v>
      </c>
      <c r="I69" s="301" t="n">
        <v>1879521.3</v>
      </c>
    </row>
    <row r="70" ht="15" customHeight="1" s="226">
      <c r="A70" s="294" t="inlineStr">
        <is>
          <t>Курганская область</t>
        </is>
      </c>
      <c r="B70" s="305" t="n">
        <v>240205.5</v>
      </c>
      <c r="C70" s="306" t="n">
        <v>252940.7</v>
      </c>
      <c r="D70" s="306" t="n">
        <v>263729.8</v>
      </c>
      <c r="E70" s="303" t="n">
        <v>294094.2</v>
      </c>
      <c r="F70" s="303" t="n">
        <v>302428.2</v>
      </c>
      <c r="G70" s="306" t="n">
        <v>348779.7</v>
      </c>
      <c r="H70" s="306" t="n">
        <v>438395.4</v>
      </c>
      <c r="I70" s="304" t="n">
        <v>502403</v>
      </c>
    </row>
    <row r="71" ht="15" customHeight="1" s="226">
      <c r="A71" s="294" t="inlineStr">
        <is>
          <t>Свердловская область</t>
        </is>
      </c>
      <c r="B71" s="305" t="n">
        <v>487287.7</v>
      </c>
      <c r="C71" s="306" t="n">
        <v>522207.4</v>
      </c>
      <c r="D71" s="306" t="n">
        <v>561039.3</v>
      </c>
      <c r="E71" s="306" t="n">
        <v>587854</v>
      </c>
      <c r="F71" s="306" t="n">
        <v>584365.9</v>
      </c>
      <c r="G71" s="306" t="n">
        <v>721124.8</v>
      </c>
      <c r="H71" s="306" t="n">
        <v>809984.4</v>
      </c>
      <c r="I71" s="307" t="n">
        <v>975700.6</v>
      </c>
    </row>
    <row r="72" ht="15" customHeight="1" s="226">
      <c r="A72" s="294" t="inlineStr">
        <is>
          <t>Тюменская область</t>
        </is>
      </c>
      <c r="B72" s="305" t="n">
        <v>1679858</v>
      </c>
      <c r="C72" s="306" t="n">
        <v>1924754.5</v>
      </c>
      <c r="D72" s="306" t="n">
        <v>2384749.1</v>
      </c>
      <c r="E72" s="306" t="n">
        <v>2383586</v>
      </c>
      <c r="F72" s="306" t="n">
        <v>1923636.2</v>
      </c>
      <c r="G72" s="306" t="n">
        <v>3014907.1</v>
      </c>
      <c r="H72" s="306" t="n">
        <v>3622583.3</v>
      </c>
      <c r="I72" s="307" t="n">
        <v>4119485.2</v>
      </c>
    </row>
    <row r="73" ht="15" customHeight="1" s="226">
      <c r="A73" s="268" t="inlineStr">
        <is>
          <t xml:space="preserve">            в т.ч. Ханты-Мансийский авт. округ-Югра</t>
        </is>
      </c>
      <c r="B73" s="305" t="n">
        <v>1906072.7</v>
      </c>
      <c r="C73" s="306" t="n">
        <v>2146291.8</v>
      </c>
      <c r="D73" s="306" t="n">
        <v>2702932.4</v>
      </c>
      <c r="E73" s="306" t="n">
        <v>2716456.6</v>
      </c>
      <c r="F73" s="306" t="n">
        <v>1975988.9</v>
      </c>
      <c r="G73" s="306" t="n">
        <v>3341316</v>
      </c>
      <c r="H73" s="306" t="n">
        <v>3995356.3</v>
      </c>
      <c r="I73" s="307" t="n">
        <v>4945301.6</v>
      </c>
    </row>
    <row r="74" ht="15" customHeight="1" s="226">
      <c r="A74" s="268" t="inlineStr">
        <is>
          <t xml:space="preserve">           Ямало-Ненецкий авт. округ</t>
        </is>
      </c>
      <c r="B74" s="305" t="n">
        <v>3950647.2</v>
      </c>
      <c r="C74" s="306" t="n">
        <v>4798760.9</v>
      </c>
      <c r="D74" s="306" t="n">
        <v>5972394.9</v>
      </c>
      <c r="E74" s="306" t="n">
        <v>6189325.8</v>
      </c>
      <c r="F74" s="306" t="n">
        <v>5433087.8</v>
      </c>
      <c r="G74" s="306" t="n">
        <v>8272866.4</v>
      </c>
      <c r="H74" s="306" t="n">
        <v>10366252.7</v>
      </c>
      <c r="I74" s="307" t="n">
        <v>10462220.5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305" t="n">
        <v>648871.3</v>
      </c>
      <c r="C75" s="306" t="n">
        <v>713731</v>
      </c>
      <c r="D75" s="306" t="n">
        <v>853161</v>
      </c>
      <c r="E75" s="306" t="n">
        <v>787838.4</v>
      </c>
      <c r="F75" s="306" t="n">
        <v>739208.2</v>
      </c>
      <c r="G75" s="306" t="n">
        <v>985846.5</v>
      </c>
      <c r="H75" s="306" t="n">
        <v>1073074.5</v>
      </c>
      <c r="I75" s="307" t="n">
        <v>1202433.7</v>
      </c>
    </row>
    <row r="76" ht="15" customHeight="1" s="226">
      <c r="A76" s="294" t="inlineStr">
        <is>
          <t>Челябинская область</t>
        </is>
      </c>
      <c r="B76" s="305" t="n">
        <v>380470</v>
      </c>
      <c r="C76" s="306" t="n">
        <v>404819.8</v>
      </c>
      <c r="D76" s="306" t="n">
        <v>436365.4</v>
      </c>
      <c r="E76" s="306" t="n">
        <v>445545.7</v>
      </c>
      <c r="F76" s="306" t="n">
        <v>463603.9</v>
      </c>
      <c r="G76" s="306" t="n">
        <v>601401.1</v>
      </c>
      <c r="H76" s="306" t="n">
        <v>652804.5</v>
      </c>
      <c r="I76" s="307" t="n">
        <v>761165.9</v>
      </c>
    </row>
    <row r="77" ht="15" customFormat="1" customHeight="1" s="225">
      <c r="A77" s="295" t="inlineStr">
        <is>
          <t>Сибирский федеральный округ</t>
        </is>
      </c>
      <c r="B77" s="301" t="n">
        <v>405674.7</v>
      </c>
      <c r="C77" s="301" t="n">
        <v>445809.9</v>
      </c>
      <c r="D77" s="301" t="n">
        <v>508523.9</v>
      </c>
      <c r="E77" s="301" t="n">
        <v>533351.4</v>
      </c>
      <c r="F77" s="301" t="n">
        <v>532339.7</v>
      </c>
      <c r="G77" s="301" t="n">
        <v>678737.5</v>
      </c>
      <c r="H77" s="301" t="n">
        <v>776704.4</v>
      </c>
      <c r="I77" s="301" t="n">
        <v>840763.6</v>
      </c>
    </row>
    <row r="78" ht="15" customHeight="1" s="226">
      <c r="A78" s="294" t="inlineStr">
        <is>
          <t>Республика Алтай</t>
        </is>
      </c>
      <c r="B78" s="305" t="n">
        <v>225265</v>
      </c>
      <c r="C78" s="306" t="n">
        <v>229400.6</v>
      </c>
      <c r="D78" s="306" t="n">
        <v>256230</v>
      </c>
      <c r="E78" s="303" t="n">
        <v>270282.7</v>
      </c>
      <c r="F78" s="303" t="n">
        <v>297548.1</v>
      </c>
      <c r="G78" s="306" t="n">
        <v>353184.5</v>
      </c>
      <c r="H78" s="306" t="n">
        <v>425131.5</v>
      </c>
      <c r="I78" s="304" t="n">
        <v>514010.8</v>
      </c>
    </row>
    <row r="79" ht="15" customHeight="1" s="226">
      <c r="A79" s="294" t="inlineStr">
        <is>
          <t>Республика Тыва</t>
        </is>
      </c>
      <c r="B79" s="305" t="n">
        <v>181916.2</v>
      </c>
      <c r="C79" s="306" t="n">
        <v>201882.5</v>
      </c>
      <c r="D79" s="306" t="n">
        <v>226436.7</v>
      </c>
      <c r="E79" s="306" t="n">
        <v>241482.8</v>
      </c>
      <c r="F79" s="306" t="n">
        <v>247766.7</v>
      </c>
      <c r="G79" s="306" t="n">
        <v>273231.6</v>
      </c>
      <c r="H79" s="306" t="n">
        <v>320446</v>
      </c>
      <c r="I79" s="307" t="n">
        <v>363158.2</v>
      </c>
    </row>
    <row r="80" ht="15" customHeight="1" s="226">
      <c r="A80" s="294" t="inlineStr">
        <is>
          <t>Республика Хакасия</t>
        </is>
      </c>
      <c r="B80" s="305" t="n">
        <v>385057.2</v>
      </c>
      <c r="C80" s="306" t="n">
        <v>403719.7</v>
      </c>
      <c r="D80" s="306" t="n">
        <v>448682.7</v>
      </c>
      <c r="E80" s="306" t="n">
        <v>475578.9</v>
      </c>
      <c r="F80" s="306" t="n">
        <v>495471.2</v>
      </c>
      <c r="G80" s="306" t="n">
        <v>589719.9</v>
      </c>
      <c r="H80" s="306" t="n">
        <v>650563.3</v>
      </c>
      <c r="I80" s="307" t="n">
        <v>715322.5</v>
      </c>
    </row>
    <row r="81" ht="15" customHeight="1" s="226">
      <c r="A81" s="294" t="inlineStr">
        <is>
          <t>Алтайский край</t>
        </is>
      </c>
      <c r="B81" s="305" t="n">
        <v>230047.1</v>
      </c>
      <c r="C81" s="306" t="n">
        <v>238056.6</v>
      </c>
      <c r="D81" s="306" t="n">
        <v>256081.7</v>
      </c>
      <c r="E81" s="306" t="n">
        <v>280785</v>
      </c>
      <c r="F81" s="306" t="n">
        <v>300706.5</v>
      </c>
      <c r="G81" s="306" t="n">
        <v>400038.7</v>
      </c>
      <c r="H81" s="306" t="n">
        <v>433803</v>
      </c>
      <c r="I81" s="307" t="n">
        <v>482474.4</v>
      </c>
    </row>
    <row r="82" ht="15" customHeight="1" s="226">
      <c r="A82" s="294" t="inlineStr">
        <is>
          <t>Красноярский край</t>
        </is>
      </c>
      <c r="B82" s="305" t="n">
        <v>633831.3</v>
      </c>
      <c r="C82" s="306" t="n">
        <v>686444.6</v>
      </c>
      <c r="D82" s="306" t="n">
        <v>824537.3</v>
      </c>
      <c r="E82" s="306" t="n">
        <v>937587</v>
      </c>
      <c r="F82" s="306" t="n">
        <v>950427.4</v>
      </c>
      <c r="G82" s="306" t="n">
        <v>1091894.6</v>
      </c>
      <c r="H82" s="306" t="n">
        <v>1162729.6</v>
      </c>
      <c r="I82" s="307" t="n">
        <v>1307050.7</v>
      </c>
    </row>
    <row r="83" ht="15" customHeight="1" s="226">
      <c r="A83" s="294" t="inlineStr">
        <is>
          <t>Иркутская область</t>
        </is>
      </c>
      <c r="B83" s="305" t="n">
        <v>471911.8</v>
      </c>
      <c r="C83" s="306" t="n">
        <v>526207.1</v>
      </c>
      <c r="D83" s="306" t="n">
        <v>607208.3</v>
      </c>
      <c r="E83" s="306" t="n">
        <v>641937.5</v>
      </c>
      <c r="F83" s="306" t="n">
        <v>625618.7</v>
      </c>
      <c r="G83" s="306" t="n">
        <v>831532.4</v>
      </c>
      <c r="H83" s="306" t="n">
        <v>997313.3</v>
      </c>
      <c r="I83" s="307" t="n">
        <v>1086391.6</v>
      </c>
    </row>
    <row r="84" ht="15" customHeight="1" s="226">
      <c r="A84" s="278" t="inlineStr">
        <is>
          <t>Кемеровская область-Кузбасс</t>
        </is>
      </c>
      <c r="B84" s="305" t="n">
        <v>333713.4</v>
      </c>
      <c r="C84" s="306" t="n">
        <v>407447.3</v>
      </c>
      <c r="D84" s="306" t="n">
        <v>473228.2</v>
      </c>
      <c r="E84" s="306" t="n">
        <v>417916.8</v>
      </c>
      <c r="F84" s="306" t="n">
        <v>396616.6</v>
      </c>
      <c r="G84" s="306" t="n">
        <v>699481.8</v>
      </c>
      <c r="H84" s="306" t="n">
        <v>841095</v>
      </c>
      <c r="I84" s="307" t="n">
        <v>736455.8</v>
      </c>
    </row>
    <row r="85" ht="15" customHeight="1" s="226">
      <c r="A85" s="294" t="inlineStr">
        <is>
          <t>Новосибирская область</t>
        </is>
      </c>
      <c r="B85" s="305" t="n">
        <v>386697.1</v>
      </c>
      <c r="C85" s="306" t="n">
        <v>422134.2</v>
      </c>
      <c r="D85" s="306" t="n">
        <v>464408.8</v>
      </c>
      <c r="E85" s="306" t="n">
        <v>474511.4</v>
      </c>
      <c r="F85" s="306" t="n">
        <v>483951.6</v>
      </c>
      <c r="G85" s="306" t="n">
        <v>581842.5</v>
      </c>
      <c r="H85" s="306" t="n">
        <v>689280</v>
      </c>
      <c r="I85" s="307" t="n">
        <v>793881.2</v>
      </c>
    </row>
    <row r="86" ht="15" customHeight="1" s="226">
      <c r="A86" s="294" t="inlineStr">
        <is>
          <t>Омская область</t>
        </is>
      </c>
      <c r="B86" s="305" t="n">
        <v>341344.5</v>
      </c>
      <c r="C86" s="306" t="n">
        <v>358909.4</v>
      </c>
      <c r="D86" s="306" t="n">
        <v>380834.5</v>
      </c>
      <c r="E86" s="306" t="n">
        <v>403479.5</v>
      </c>
      <c r="F86" s="306" t="n">
        <v>407371</v>
      </c>
      <c r="G86" s="306" t="n">
        <v>426871.8</v>
      </c>
      <c r="H86" s="306" t="n">
        <v>503176.3</v>
      </c>
      <c r="I86" s="307" t="n">
        <v>578934</v>
      </c>
    </row>
    <row r="87" ht="15" customHeight="1" s="226">
      <c r="A87" s="294" t="inlineStr">
        <is>
          <t>Томская область</t>
        </is>
      </c>
      <c r="B87" s="311" t="n">
        <v>484654.7</v>
      </c>
      <c r="C87" s="312" t="n">
        <v>515560.3</v>
      </c>
      <c r="D87" s="312" t="n">
        <v>570191.3</v>
      </c>
      <c r="E87" s="306" t="n">
        <v>575297.1</v>
      </c>
      <c r="F87" s="306" t="n">
        <v>517023</v>
      </c>
      <c r="G87" s="312" t="n">
        <v>679724.8</v>
      </c>
      <c r="H87" s="312" t="n">
        <v>769028.8</v>
      </c>
      <c r="I87" s="307" t="n">
        <v>870868.9</v>
      </c>
    </row>
    <row r="88" ht="15" customFormat="1" customHeight="1" s="225">
      <c r="A88" s="279" t="inlineStr">
        <is>
          <t>Дальневосточный федеральный округ</t>
        </is>
      </c>
      <c r="B88" s="315" t="n">
        <v>547349</v>
      </c>
      <c r="C88" s="315" t="n">
        <v>573579.7</v>
      </c>
      <c r="D88" s="315" t="n">
        <v>689413.9</v>
      </c>
      <c r="E88" s="301" t="n">
        <v>738802.4</v>
      </c>
      <c r="F88" s="301" t="n">
        <v>751094</v>
      </c>
      <c r="G88" s="315" t="n">
        <v>950614.1</v>
      </c>
      <c r="H88" s="315" t="n">
        <v>1113282.5</v>
      </c>
      <c r="I88" s="301" t="n">
        <v>1284545.3</v>
      </c>
    </row>
    <row r="89" ht="15" customHeight="1" s="226">
      <c r="A89" s="294" t="inlineStr">
        <is>
          <t>Республика Бурятия</t>
        </is>
      </c>
      <c r="B89" s="313" t="n">
        <v>225071.8</v>
      </c>
      <c r="C89" s="314" t="n">
        <v>228844.2</v>
      </c>
      <c r="D89" s="314" t="n">
        <v>263744.5</v>
      </c>
      <c r="E89" s="303" t="n">
        <v>291073.7</v>
      </c>
      <c r="F89" s="303" t="n">
        <v>308499.3</v>
      </c>
      <c r="G89" s="314" t="n">
        <v>363621.5</v>
      </c>
      <c r="H89" s="314" t="n">
        <v>458129.6</v>
      </c>
      <c r="I89" s="304" t="n">
        <v>517755.8</v>
      </c>
    </row>
    <row r="90" ht="15" customHeight="1" s="226">
      <c r="A90" s="294" t="inlineStr">
        <is>
          <t>Республика Саха (Якутия)</t>
        </is>
      </c>
      <c r="B90" s="305" t="n">
        <v>922292.1</v>
      </c>
      <c r="C90" s="306" t="n">
        <v>974017.3</v>
      </c>
      <c r="D90" s="306" t="n">
        <v>1161944.5</v>
      </c>
      <c r="E90" s="306" t="n">
        <v>1260373.1</v>
      </c>
      <c r="F90" s="306" t="n">
        <v>1154483.9</v>
      </c>
      <c r="G90" s="306" t="n">
        <v>1684839.3</v>
      </c>
      <c r="H90" s="306" t="n">
        <v>2013920.6</v>
      </c>
      <c r="I90" s="307" t="n">
        <v>2230677.6</v>
      </c>
    </row>
    <row r="91" ht="15" customHeight="1" s="226">
      <c r="A91" s="294" t="inlineStr">
        <is>
          <t>Забайкальский край</t>
        </is>
      </c>
      <c r="B91" s="305" t="n">
        <v>263346.5</v>
      </c>
      <c r="C91" s="306" t="n">
        <v>291717.4</v>
      </c>
      <c r="D91" s="306" t="n">
        <v>326599.2</v>
      </c>
      <c r="E91" s="306" t="n">
        <v>358683.8</v>
      </c>
      <c r="F91" s="306" t="n">
        <v>414483.8</v>
      </c>
      <c r="G91" s="306" t="n">
        <v>512723.1</v>
      </c>
      <c r="H91" s="306" t="n">
        <v>563667.1</v>
      </c>
      <c r="I91" s="307" t="n">
        <v>726780.2</v>
      </c>
    </row>
    <row r="92" ht="15" customHeight="1" s="226">
      <c r="A92" s="294" t="inlineStr">
        <is>
          <t>Камчатский край</t>
        </is>
      </c>
      <c r="B92" s="305" t="n">
        <v>734324.9</v>
      </c>
      <c r="C92" s="306" t="n">
        <v>752942.5</v>
      </c>
      <c r="D92" s="306" t="n">
        <v>873638.6</v>
      </c>
      <c r="E92" s="306" t="n">
        <v>936960.3</v>
      </c>
      <c r="F92" s="306" t="n">
        <v>1005493</v>
      </c>
      <c r="G92" s="306" t="n">
        <v>1199105.8</v>
      </c>
      <c r="H92" s="306" t="n">
        <v>1229861.6</v>
      </c>
      <c r="I92" s="307" t="n">
        <v>1523849.9</v>
      </c>
    </row>
    <row r="93" ht="15" customHeight="1" s="226">
      <c r="A93" s="294" t="inlineStr">
        <is>
          <t>Приморский край</t>
        </is>
      </c>
      <c r="B93" s="305" t="n">
        <v>449626.2</v>
      </c>
      <c r="C93" s="306" t="n">
        <v>475867.3</v>
      </c>
      <c r="D93" s="306" t="n">
        <v>510201.6</v>
      </c>
      <c r="E93" s="306" t="n">
        <v>568198.1</v>
      </c>
      <c r="F93" s="306" t="n">
        <v>591923.4</v>
      </c>
      <c r="G93" s="306" t="n">
        <v>731915.2</v>
      </c>
      <c r="H93" s="306" t="n">
        <v>860583.8</v>
      </c>
      <c r="I93" s="307" t="n">
        <v>1027409.8</v>
      </c>
    </row>
    <row r="94" ht="15" customHeight="1" s="226">
      <c r="A94" s="294" t="inlineStr">
        <is>
          <t>Хабаровский край</t>
        </is>
      </c>
      <c r="B94" s="305" t="n">
        <v>505753.3</v>
      </c>
      <c r="C94" s="306" t="n">
        <v>526220.9</v>
      </c>
      <c r="D94" s="306" t="n">
        <v>576902.1</v>
      </c>
      <c r="E94" s="306" t="n">
        <v>613006.2</v>
      </c>
      <c r="F94" s="306" t="n">
        <v>657755</v>
      </c>
      <c r="G94" s="306" t="n">
        <v>786590.9</v>
      </c>
      <c r="H94" s="306" t="n">
        <v>826667.6</v>
      </c>
      <c r="I94" s="307" t="n">
        <v>985369.8</v>
      </c>
    </row>
    <row r="95" ht="15" customHeight="1" s="226">
      <c r="A95" s="294" t="inlineStr">
        <is>
          <t>Амурская область</t>
        </is>
      </c>
      <c r="B95" s="305" t="n">
        <v>372300</v>
      </c>
      <c r="C95" s="306" t="n">
        <v>376452.8</v>
      </c>
      <c r="D95" s="306" t="n">
        <v>423176.6</v>
      </c>
      <c r="E95" s="306" t="n">
        <v>504185.5</v>
      </c>
      <c r="F95" s="306" t="n">
        <v>577387.2</v>
      </c>
      <c r="G95" s="306" t="n">
        <v>713306.9</v>
      </c>
      <c r="H95" s="306" t="n">
        <v>794282.4</v>
      </c>
      <c r="I95" s="307" t="n">
        <v>1054056.2</v>
      </c>
    </row>
    <row r="96" ht="15" customHeight="1" s="226">
      <c r="A96" s="294" t="inlineStr">
        <is>
          <t>Магаданская область</t>
        </is>
      </c>
      <c r="B96" s="305" t="n">
        <v>1060991.5</v>
      </c>
      <c r="C96" s="306" t="n">
        <v>1125991.6</v>
      </c>
      <c r="D96" s="306" t="n">
        <v>1247255.2</v>
      </c>
      <c r="E96" s="306" t="n">
        <v>1539596.1</v>
      </c>
      <c r="F96" s="306" t="n">
        <v>2066380.4</v>
      </c>
      <c r="G96" s="306" t="n">
        <v>2343311.4</v>
      </c>
      <c r="H96" s="306" t="n">
        <v>2334089</v>
      </c>
      <c r="I96" s="307" t="n">
        <v>3017481</v>
      </c>
    </row>
    <row r="97" ht="15" customHeight="1" s="226">
      <c r="A97" s="294" t="inlineStr">
        <is>
          <t>Сахалинская область</t>
        </is>
      </c>
      <c r="B97" s="305" t="n">
        <v>1598480.4</v>
      </c>
      <c r="C97" s="306" t="n">
        <v>1643090.5</v>
      </c>
      <c r="D97" s="306" t="n">
        <v>2583723.5</v>
      </c>
      <c r="E97" s="306" t="n">
        <v>2468171.7</v>
      </c>
      <c r="F97" s="306" t="n">
        <v>2124645</v>
      </c>
      <c r="G97" s="306" t="n">
        <v>2647233.9</v>
      </c>
      <c r="H97" s="306" t="n">
        <v>3610182</v>
      </c>
      <c r="I97" s="307" t="n">
        <v>3538862.2</v>
      </c>
    </row>
    <row r="98" ht="15" customHeight="1" s="226">
      <c r="A98" s="294" t="inlineStr">
        <is>
          <t>Еврейская автономная область</t>
        </is>
      </c>
      <c r="B98" s="305" t="n">
        <v>298404.2</v>
      </c>
      <c r="C98" s="306" t="n">
        <v>344645.5</v>
      </c>
      <c r="D98" s="306" t="n">
        <v>345698</v>
      </c>
      <c r="E98" s="306" t="n">
        <v>365145.1</v>
      </c>
      <c r="F98" s="306" t="n">
        <v>411199.2</v>
      </c>
      <c r="G98" s="306" t="n">
        <v>523964.8</v>
      </c>
      <c r="H98" s="306" t="n">
        <v>546196.2</v>
      </c>
      <c r="I98" s="307" t="n">
        <v>697096.5</v>
      </c>
    </row>
    <row r="99" ht="15" customHeight="1" s="226">
      <c r="A99" s="294" t="inlineStr">
        <is>
          <t>Чукотский автономный округ</t>
        </is>
      </c>
      <c r="B99" s="308" t="n">
        <v>1475863.4</v>
      </c>
      <c r="C99" s="309" t="n">
        <v>1508337.9</v>
      </c>
      <c r="D99" s="309" t="n">
        <v>1736306.1</v>
      </c>
      <c r="E99" s="309" t="n">
        <v>1965793.7</v>
      </c>
      <c r="F99" s="309" t="n">
        <v>2495513.7</v>
      </c>
      <c r="G99" s="309" t="n">
        <v>2932794</v>
      </c>
      <c r="H99" s="309" t="n">
        <v>3030095.5</v>
      </c>
      <c r="I99" s="310" t="n">
        <v>3895053.5</v>
      </c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2.2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316" t="n"/>
      <c r="G102" s="316" t="n"/>
      <c r="H102" s="316" t="n"/>
      <c r="I102" s="316" t="n"/>
      <c r="J102" s="316" t="n"/>
      <c r="K102" s="316" t="n"/>
    </row>
    <row r="104" ht="21" customFormat="1" customHeight="1" s="225">
      <c r="A104" s="296" t="inlineStr">
        <is>
          <t>3)Данные содержат изменения, связанные с учетом итогов ВПН-2020.</t>
        </is>
      </c>
      <c r="N104" s="243" t="n"/>
      <c r="P104" s="225" t="n"/>
      <c r="Q104" s="225" t="n"/>
      <c r="R104" s="225" t="n"/>
      <c r="S104" s="225" t="n"/>
    </row>
  </sheetData>
  <mergeCells count="4">
    <mergeCell ref="A2:F2"/>
    <mergeCell ref="A102:E102"/>
    <mergeCell ref="A104:L104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102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4" activeCellId="0" sqref="A4"/>
    </sheetView>
  </sheetViews>
  <sheetFormatPr baseColWidth="8" defaultColWidth="8.1484375" defaultRowHeight="15.75" customHeight="0" zeroHeight="0" outlineLevelRow="0"/>
  <cols>
    <col width="41.29" customWidth="1" style="225" min="1" max="1"/>
    <col width="8.15" customWidth="1" style="225" min="2" max="4"/>
    <col width="8.57" customWidth="1" style="225" min="5" max="5"/>
    <col width="8.15" customWidth="1" style="225" min="6" max="9"/>
    <col width="8.15" customWidth="1" style="248" min="10" max="10"/>
    <col width="8.15" customWidth="1" style="225" min="11" max="11"/>
    <col width="8.15" customWidth="1" style="225" min="12" max="12"/>
    <col width="8.15" customWidth="1" style="225" min="13" max="13"/>
    <col width="8.15" customWidth="1" style="225" min="14" max="14"/>
    <col width="8.15" customWidth="1" style="225" min="15" max="16"/>
    <col width="8.15" customWidth="1" style="248" min="17" max="17"/>
    <col width="8.15" customWidth="1" style="225" min="18" max="18"/>
    <col width="8.15" customWidth="1" style="225" min="19" max="19"/>
    <col width="8.15" customWidth="1" style="225" min="20" max="16384"/>
  </cols>
  <sheetData>
    <row r="1" ht="33" customHeight="1" s="226">
      <c r="A1" s="244" t="inlineStr">
        <is>
          <t xml:space="preserve">          К содержанию</t>
        </is>
      </c>
      <c r="B1" s="317" t="n"/>
      <c r="C1" s="317" t="n"/>
      <c r="D1" s="317" t="n"/>
      <c r="E1" s="317" t="n"/>
      <c r="F1" s="317" t="n"/>
      <c r="G1" s="317" t="n"/>
      <c r="J1" s="225" t="n"/>
      <c r="L1" s="225" t="n"/>
    </row>
    <row r="2" ht="45.75" customHeight="1" s="226">
      <c r="A2" s="292" t="inlineStr">
        <is>
          <t>Индексы физического объема валового регионального продукта в 1998-2016 гг.
(в постоянных ценах; в процентах к предыдущему году)</t>
        </is>
      </c>
      <c r="F2" s="317" t="n"/>
      <c r="G2" s="318" t="n"/>
      <c r="H2" s="318" t="n"/>
    </row>
    <row r="3" ht="15.75" customHeight="1" s="226">
      <c r="A3" s="319" t="n"/>
      <c r="B3" s="320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251" t="n">
        <v>2005</v>
      </c>
      <c r="J3" s="251" t="n">
        <v>2006</v>
      </c>
      <c r="K3" s="251" t="n">
        <v>2007</v>
      </c>
      <c r="L3" s="251" t="n">
        <v>2008</v>
      </c>
      <c r="M3" s="251" t="n">
        <v>2009</v>
      </c>
      <c r="N3" s="251" t="n">
        <v>2010</v>
      </c>
      <c r="O3" s="251" t="n">
        <v>2011</v>
      </c>
      <c r="P3" s="251" t="n">
        <v>2012</v>
      </c>
      <c r="Q3" s="251" t="n">
        <v>2013</v>
      </c>
      <c r="R3" s="251" t="n">
        <v>2014</v>
      </c>
      <c r="S3" s="251" t="n">
        <v>2015</v>
      </c>
      <c r="T3" s="251" t="n">
        <v>2016</v>
      </c>
    </row>
    <row r="4" ht="52.2" customHeight="1" s="226">
      <c r="A4" s="319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93.5</v>
      </c>
      <c r="C4" s="252" t="n">
        <v>105.6</v>
      </c>
      <c r="D4" s="252" t="n">
        <v>110.6</v>
      </c>
      <c r="E4" s="252" t="n">
        <v>106</v>
      </c>
      <c r="F4" s="252" t="n">
        <v>105.5</v>
      </c>
      <c r="G4" s="252" t="n">
        <v>107.6</v>
      </c>
      <c r="H4" s="252" t="n">
        <v>107.4</v>
      </c>
      <c r="I4" s="252" t="n">
        <v>107.6</v>
      </c>
      <c r="J4" s="252" t="n">
        <v>108.3</v>
      </c>
      <c r="K4" s="252" t="n">
        <v>108.3</v>
      </c>
      <c r="L4" s="252" t="n">
        <v>105.7</v>
      </c>
      <c r="M4" s="252" t="n">
        <v>92.40000000000001</v>
      </c>
      <c r="N4" s="252" t="n">
        <v>104.6</v>
      </c>
      <c r="O4" s="252" t="n">
        <v>105.4</v>
      </c>
      <c r="P4" s="252" t="n">
        <v>103.1</v>
      </c>
      <c r="Q4" s="252" t="n">
        <v>101.8</v>
      </c>
      <c r="R4" s="252" t="n">
        <v>101.3</v>
      </c>
      <c r="S4" s="252" t="n">
        <v>99.40000000000001</v>
      </c>
      <c r="T4" s="252" t="n">
        <v>100.8</v>
      </c>
      <c r="U4" s="243" t="n"/>
    </row>
    <row r="5" ht="15" customHeight="1" s="226">
      <c r="A5" s="253" t="inlineStr">
        <is>
          <t>Центральный федеральный округ</t>
        </is>
      </c>
      <c r="B5" s="254" t="n">
        <v>94.59999999999999</v>
      </c>
      <c r="C5" s="254" t="n">
        <v>106.2</v>
      </c>
      <c r="D5" s="254" t="n">
        <v>114.9</v>
      </c>
      <c r="E5" s="254" t="n">
        <v>103.6</v>
      </c>
      <c r="F5" s="254" t="n">
        <v>107.6</v>
      </c>
      <c r="G5" s="254" t="n">
        <v>108.7</v>
      </c>
      <c r="H5" s="254" t="n">
        <v>107.4</v>
      </c>
      <c r="I5" s="254" t="n">
        <v>109.8</v>
      </c>
      <c r="J5" s="254" t="n">
        <v>109.9</v>
      </c>
      <c r="K5" s="254" t="n">
        <v>108.9</v>
      </c>
      <c r="L5" s="254" t="n">
        <v>107.5</v>
      </c>
      <c r="M5" s="254" t="n">
        <v>89.2</v>
      </c>
      <c r="N5" s="254" t="n">
        <v>103</v>
      </c>
      <c r="O5" s="254" t="n">
        <v>104.8</v>
      </c>
      <c r="P5" s="254" t="n">
        <v>103.7</v>
      </c>
      <c r="Q5" s="254" t="n">
        <v>101.6</v>
      </c>
      <c r="R5" s="254" t="n">
        <v>100.8</v>
      </c>
      <c r="S5" s="254" t="n">
        <v>99.3</v>
      </c>
      <c r="T5" s="254" t="n">
        <v>101.3</v>
      </c>
      <c r="U5" s="243" t="n"/>
    </row>
    <row r="6" ht="15" customHeight="1" s="226">
      <c r="A6" s="255" t="inlineStr">
        <is>
          <t>Белгородская область</t>
        </is>
      </c>
      <c r="B6" s="261" t="n">
        <v>96.40000000000001</v>
      </c>
      <c r="C6" s="262" t="n">
        <v>111.1</v>
      </c>
      <c r="D6" s="262" t="n">
        <v>113.5</v>
      </c>
      <c r="E6" s="262" t="n">
        <v>102.3</v>
      </c>
      <c r="F6" s="262" t="n">
        <v>103.9</v>
      </c>
      <c r="G6" s="262" t="n">
        <v>107.4</v>
      </c>
      <c r="H6" s="262" t="n">
        <v>105.8</v>
      </c>
      <c r="I6" s="262" t="n">
        <v>107.4</v>
      </c>
      <c r="J6" s="262" t="n">
        <v>111.3</v>
      </c>
      <c r="K6" s="262" t="n">
        <v>113.2</v>
      </c>
      <c r="L6" s="262" t="n">
        <v>112.3</v>
      </c>
      <c r="M6" s="262" t="n">
        <v>101.5</v>
      </c>
      <c r="N6" s="262" t="n">
        <v>109.8</v>
      </c>
      <c r="O6" s="262" t="n">
        <v>111</v>
      </c>
      <c r="P6" s="262" t="n">
        <v>105.5</v>
      </c>
      <c r="Q6" s="262" t="n">
        <v>103</v>
      </c>
      <c r="R6" s="262" t="n">
        <v>102.8</v>
      </c>
      <c r="S6" s="262" t="n">
        <v>103</v>
      </c>
      <c r="T6" s="263" t="n">
        <v>103.4</v>
      </c>
      <c r="U6" s="243" t="n"/>
    </row>
    <row r="7" ht="15" customHeight="1" s="226">
      <c r="A7" s="260" t="inlineStr">
        <is>
          <t>Брянская область</t>
        </is>
      </c>
      <c r="B7" s="261" t="n">
        <v>100.9</v>
      </c>
      <c r="C7" s="262" t="n">
        <v>95.59999999999999</v>
      </c>
      <c r="D7" s="262" t="n">
        <v>115.5</v>
      </c>
      <c r="E7" s="262" t="n">
        <v>104.5</v>
      </c>
      <c r="F7" s="262" t="n">
        <v>105.4</v>
      </c>
      <c r="G7" s="262" t="n">
        <v>108</v>
      </c>
      <c r="H7" s="262" t="n">
        <v>103.8</v>
      </c>
      <c r="I7" s="262" t="n">
        <v>105.9</v>
      </c>
      <c r="J7" s="262" t="n">
        <v>106.9</v>
      </c>
      <c r="K7" s="262" t="n">
        <v>111.4</v>
      </c>
      <c r="L7" s="262" t="n">
        <v>106.2</v>
      </c>
      <c r="M7" s="262" t="n">
        <v>91.2</v>
      </c>
      <c r="N7" s="262" t="n">
        <v>104.5</v>
      </c>
      <c r="O7" s="262" t="n">
        <v>108.2</v>
      </c>
      <c r="P7" s="262" t="n">
        <v>108.3</v>
      </c>
      <c r="Q7" s="262" t="n">
        <v>101</v>
      </c>
      <c r="R7" s="262" t="n">
        <v>103.5</v>
      </c>
      <c r="S7" s="262" t="n">
        <v>101.5</v>
      </c>
      <c r="T7" s="263" t="n">
        <v>100.3</v>
      </c>
      <c r="U7" s="243" t="n"/>
    </row>
    <row r="8" ht="15" customHeight="1" s="226">
      <c r="A8" s="260" t="inlineStr">
        <is>
          <t>Владимирская область</t>
        </is>
      </c>
      <c r="B8" s="261" t="n">
        <v>94.7</v>
      </c>
      <c r="C8" s="262" t="n">
        <v>107</v>
      </c>
      <c r="D8" s="262" t="n">
        <v>111.9</v>
      </c>
      <c r="E8" s="262" t="n">
        <v>102.2</v>
      </c>
      <c r="F8" s="262" t="n">
        <v>103.6</v>
      </c>
      <c r="G8" s="262" t="n">
        <v>105.8</v>
      </c>
      <c r="H8" s="262" t="n">
        <v>105.2</v>
      </c>
      <c r="I8" s="262" t="n">
        <v>100.2</v>
      </c>
      <c r="J8" s="262" t="n">
        <v>107.2</v>
      </c>
      <c r="K8" s="262" t="n">
        <v>114</v>
      </c>
      <c r="L8" s="262" t="n">
        <v>101.2</v>
      </c>
      <c r="M8" s="262" t="n">
        <v>94.8</v>
      </c>
      <c r="N8" s="262" t="n">
        <v>106.7</v>
      </c>
      <c r="O8" s="262" t="n">
        <v>102.9</v>
      </c>
      <c r="P8" s="262" t="n">
        <v>102.2</v>
      </c>
      <c r="Q8" s="262" t="n">
        <v>101.4</v>
      </c>
      <c r="R8" s="262" t="n">
        <v>100.8</v>
      </c>
      <c r="S8" s="262" t="n">
        <v>98.40000000000001</v>
      </c>
      <c r="T8" s="263" t="n">
        <v>100.6</v>
      </c>
      <c r="U8" s="243" t="n"/>
    </row>
    <row r="9" ht="15" customHeight="1" s="226">
      <c r="A9" s="260" t="inlineStr">
        <is>
          <t>Воронежская область</t>
        </is>
      </c>
      <c r="B9" s="261" t="n">
        <v>92.40000000000001</v>
      </c>
      <c r="C9" s="262" t="n">
        <v>107.1</v>
      </c>
      <c r="D9" s="262" t="n">
        <v>108.5</v>
      </c>
      <c r="E9" s="262" t="n">
        <v>100.6</v>
      </c>
      <c r="F9" s="262" t="n">
        <v>101.4</v>
      </c>
      <c r="G9" s="262" t="n">
        <v>110.4</v>
      </c>
      <c r="H9" s="262" t="n">
        <v>101.6</v>
      </c>
      <c r="I9" s="262" t="n">
        <v>106.3</v>
      </c>
      <c r="J9" s="262" t="n">
        <v>107.6</v>
      </c>
      <c r="K9" s="262" t="n">
        <v>112.9</v>
      </c>
      <c r="L9" s="262" t="n">
        <v>108</v>
      </c>
      <c r="M9" s="262" t="n">
        <v>96.3</v>
      </c>
      <c r="N9" s="262" t="n">
        <v>101.2</v>
      </c>
      <c r="O9" s="262" t="n">
        <v>111.4</v>
      </c>
      <c r="P9" s="262" t="n">
        <v>109.3</v>
      </c>
      <c r="Q9" s="262" t="n">
        <v>102.2</v>
      </c>
      <c r="R9" s="262" t="n">
        <v>105.9</v>
      </c>
      <c r="S9" s="262" t="n">
        <v>100.5</v>
      </c>
      <c r="T9" s="263" t="n">
        <v>101.4</v>
      </c>
      <c r="U9" s="243" t="n"/>
    </row>
    <row r="10" ht="15" customHeight="1" s="226">
      <c r="A10" s="260" t="inlineStr">
        <is>
          <t>Ивановская область</t>
        </is>
      </c>
      <c r="B10" s="261" t="n">
        <v>86.09999999999999</v>
      </c>
      <c r="C10" s="262" t="n">
        <v>105</v>
      </c>
      <c r="D10" s="262" t="n">
        <v>112.4</v>
      </c>
      <c r="E10" s="262" t="n">
        <v>100.8</v>
      </c>
      <c r="F10" s="262" t="n">
        <v>102.3</v>
      </c>
      <c r="G10" s="262" t="n">
        <v>106.1</v>
      </c>
      <c r="H10" s="262" t="n">
        <v>107.1</v>
      </c>
      <c r="I10" s="262" t="n">
        <v>104.8</v>
      </c>
      <c r="J10" s="262" t="n">
        <v>107</v>
      </c>
      <c r="K10" s="262" t="n">
        <v>112.3</v>
      </c>
      <c r="L10" s="262" t="n">
        <v>99.90000000000001</v>
      </c>
      <c r="M10" s="262" t="n">
        <v>93.2</v>
      </c>
      <c r="N10" s="262" t="n">
        <v>101.8</v>
      </c>
      <c r="O10" s="262" t="n">
        <v>100.6</v>
      </c>
      <c r="P10" s="262" t="n">
        <v>96.40000000000001</v>
      </c>
      <c r="Q10" s="262" t="n">
        <v>105.1</v>
      </c>
      <c r="R10" s="262" t="n">
        <v>89.90000000000001</v>
      </c>
      <c r="S10" s="262" t="n">
        <v>101.3</v>
      </c>
      <c r="T10" s="263" t="n">
        <v>96.40000000000001</v>
      </c>
      <c r="U10" s="243" t="n"/>
    </row>
    <row r="11" ht="15" customHeight="1" s="226">
      <c r="A11" s="260" t="inlineStr">
        <is>
          <t>Калужская область</t>
        </is>
      </c>
      <c r="B11" s="261" t="n">
        <v>95.09999999999999</v>
      </c>
      <c r="C11" s="262" t="n">
        <v>101.5</v>
      </c>
      <c r="D11" s="262" t="n">
        <v>107.4</v>
      </c>
      <c r="E11" s="262" t="n">
        <v>107.8</v>
      </c>
      <c r="F11" s="262" t="n">
        <v>102.5</v>
      </c>
      <c r="G11" s="262" t="n">
        <v>107.6</v>
      </c>
      <c r="H11" s="262" t="n">
        <v>106.2</v>
      </c>
      <c r="I11" s="262" t="n">
        <v>105.6</v>
      </c>
      <c r="J11" s="262" t="n">
        <v>106.7</v>
      </c>
      <c r="K11" s="262" t="n">
        <v>112.6</v>
      </c>
      <c r="L11" s="262" t="n">
        <v>115.8</v>
      </c>
      <c r="M11" s="262" t="n">
        <v>93.59999999999999</v>
      </c>
      <c r="N11" s="262" t="n">
        <v>110.1</v>
      </c>
      <c r="O11" s="262" t="n">
        <v>112.9</v>
      </c>
      <c r="P11" s="262" t="n">
        <v>109.6</v>
      </c>
      <c r="Q11" s="262" t="n">
        <v>97.2</v>
      </c>
      <c r="R11" s="262" t="n">
        <v>103.1</v>
      </c>
      <c r="S11" s="262" t="n">
        <v>94.59999999999999</v>
      </c>
      <c r="T11" s="263" t="n">
        <v>102.7</v>
      </c>
      <c r="U11" s="243" t="n"/>
    </row>
    <row r="12" ht="15" customHeight="1" s="226">
      <c r="A12" s="260" t="inlineStr">
        <is>
          <t>Костромская область</t>
        </is>
      </c>
      <c r="B12" s="261" t="n">
        <v>94.90000000000001</v>
      </c>
      <c r="C12" s="262" t="n">
        <v>105.6</v>
      </c>
      <c r="D12" s="262" t="n">
        <v>106.6</v>
      </c>
      <c r="E12" s="262" t="n">
        <v>101.5</v>
      </c>
      <c r="F12" s="262" t="n">
        <v>102.1</v>
      </c>
      <c r="G12" s="262" t="n">
        <v>104.6</v>
      </c>
      <c r="H12" s="262" t="n">
        <v>105.1</v>
      </c>
      <c r="I12" s="262" t="n">
        <v>103.6</v>
      </c>
      <c r="J12" s="262" t="n">
        <v>106.4</v>
      </c>
      <c r="K12" s="262" t="n">
        <v>106.5</v>
      </c>
      <c r="L12" s="262" t="n">
        <v>103.9</v>
      </c>
      <c r="M12" s="262" t="n">
        <v>90.2</v>
      </c>
      <c r="N12" s="262" t="n">
        <v>106.3</v>
      </c>
      <c r="O12" s="262" t="n">
        <v>103.9</v>
      </c>
      <c r="P12" s="262" t="n">
        <v>104.1</v>
      </c>
      <c r="Q12" s="262" t="n">
        <v>102.3</v>
      </c>
      <c r="R12" s="262" t="n">
        <v>100.4</v>
      </c>
      <c r="S12" s="262" t="n">
        <v>98.59999999999999</v>
      </c>
      <c r="T12" s="263" t="n">
        <v>96.8</v>
      </c>
      <c r="U12" s="243" t="n"/>
    </row>
    <row r="13" ht="15" customHeight="1" s="226">
      <c r="A13" s="260" t="inlineStr">
        <is>
          <t>Курская область</t>
        </is>
      </c>
      <c r="B13" s="261" t="n">
        <v>102</v>
      </c>
      <c r="C13" s="262" t="n">
        <v>100.9</v>
      </c>
      <c r="D13" s="262" t="n">
        <v>111.4</v>
      </c>
      <c r="E13" s="262" t="n">
        <v>98.40000000000001</v>
      </c>
      <c r="F13" s="262" t="n">
        <v>107.8</v>
      </c>
      <c r="G13" s="262" t="n">
        <v>110.5</v>
      </c>
      <c r="H13" s="262" t="n">
        <v>107.5</v>
      </c>
      <c r="I13" s="262" t="n">
        <v>104.5</v>
      </c>
      <c r="J13" s="262" t="n">
        <v>105.2</v>
      </c>
      <c r="K13" s="262" t="n">
        <v>109.3</v>
      </c>
      <c r="L13" s="262" t="n">
        <v>104.1</v>
      </c>
      <c r="M13" s="262" t="n">
        <v>96</v>
      </c>
      <c r="N13" s="262" t="n">
        <v>103</v>
      </c>
      <c r="O13" s="262" t="n">
        <v>108.4</v>
      </c>
      <c r="P13" s="262" t="n">
        <v>104.7</v>
      </c>
      <c r="Q13" s="262" t="n">
        <v>104.2</v>
      </c>
      <c r="R13" s="262" t="n">
        <v>104.5</v>
      </c>
      <c r="S13" s="262" t="n">
        <v>102.9</v>
      </c>
      <c r="T13" s="263" t="n">
        <v>103.9</v>
      </c>
      <c r="U13" s="243" t="n"/>
    </row>
    <row r="14" ht="15" customHeight="1" s="226">
      <c r="A14" s="260" t="inlineStr">
        <is>
          <t>Липецкая область</t>
        </is>
      </c>
      <c r="B14" s="261" t="n">
        <v>95.7</v>
      </c>
      <c r="C14" s="262" t="n">
        <v>103.2</v>
      </c>
      <c r="D14" s="262" t="n">
        <v>108.3</v>
      </c>
      <c r="E14" s="262" t="n">
        <v>103.4</v>
      </c>
      <c r="F14" s="262" t="n">
        <v>110.5</v>
      </c>
      <c r="G14" s="262" t="n">
        <v>107.8</v>
      </c>
      <c r="H14" s="262" t="n">
        <v>106.2</v>
      </c>
      <c r="I14" s="262" t="n">
        <v>101.7</v>
      </c>
      <c r="J14" s="262" t="n">
        <v>108.2</v>
      </c>
      <c r="K14" s="262" t="n">
        <v>108</v>
      </c>
      <c r="L14" s="262" t="n">
        <v>103.6</v>
      </c>
      <c r="M14" s="262" t="n">
        <v>93.5</v>
      </c>
      <c r="N14" s="262" t="n">
        <v>104</v>
      </c>
      <c r="O14" s="262" t="n">
        <v>104.8</v>
      </c>
      <c r="P14" s="262" t="n">
        <v>101.8</v>
      </c>
      <c r="Q14" s="262" t="n">
        <v>103.4</v>
      </c>
      <c r="R14" s="262" t="n">
        <v>105.1</v>
      </c>
      <c r="S14" s="262" t="n">
        <v>101</v>
      </c>
      <c r="T14" s="263" t="n">
        <v>101.6</v>
      </c>
      <c r="U14" s="243" t="n"/>
    </row>
    <row r="15" ht="15" customHeight="1" s="226">
      <c r="A15" s="260" t="inlineStr">
        <is>
          <t>Московская область</t>
        </is>
      </c>
      <c r="B15" s="261" t="n">
        <v>97.7</v>
      </c>
      <c r="C15" s="262" t="n">
        <v>104.9</v>
      </c>
      <c r="D15" s="262" t="n">
        <v>106.6</v>
      </c>
      <c r="E15" s="262" t="n">
        <v>107</v>
      </c>
      <c r="F15" s="262" t="n">
        <v>104.9</v>
      </c>
      <c r="G15" s="262" t="n">
        <v>112.2</v>
      </c>
      <c r="H15" s="262" t="n">
        <v>113.4</v>
      </c>
      <c r="I15" s="262" t="n">
        <v>107.6</v>
      </c>
      <c r="J15" s="262" t="n">
        <v>108.7</v>
      </c>
      <c r="K15" s="262" t="n">
        <v>110.5</v>
      </c>
      <c r="L15" s="262" t="n">
        <v>108.2</v>
      </c>
      <c r="M15" s="262" t="n">
        <v>90.40000000000001</v>
      </c>
      <c r="N15" s="262" t="n">
        <v>107.7</v>
      </c>
      <c r="O15" s="262" t="n">
        <v>108.1</v>
      </c>
      <c r="P15" s="262" t="n">
        <v>104.8</v>
      </c>
      <c r="Q15" s="262" t="n">
        <v>102.2</v>
      </c>
      <c r="R15" s="262" t="n">
        <v>100.1</v>
      </c>
      <c r="S15" s="262" t="n">
        <v>102.6</v>
      </c>
      <c r="T15" s="263" t="n">
        <v>103.3</v>
      </c>
      <c r="U15" s="243" t="n"/>
    </row>
    <row r="16" ht="15" customHeight="1" s="226">
      <c r="A16" s="260" t="inlineStr">
        <is>
          <t>Орловская область</t>
        </is>
      </c>
      <c r="B16" s="261" t="n">
        <v>107</v>
      </c>
      <c r="C16" s="262" t="n">
        <v>101</v>
      </c>
      <c r="D16" s="262" t="n">
        <v>117.3</v>
      </c>
      <c r="E16" s="262" t="n">
        <v>106.3</v>
      </c>
      <c r="F16" s="262" t="n">
        <v>104.6</v>
      </c>
      <c r="G16" s="262" t="n">
        <v>105.2</v>
      </c>
      <c r="H16" s="262" t="n">
        <v>102.3</v>
      </c>
      <c r="I16" s="262" t="n">
        <v>107.9</v>
      </c>
      <c r="J16" s="262" t="n">
        <v>103.9</v>
      </c>
      <c r="K16" s="262" t="n">
        <v>106</v>
      </c>
      <c r="L16" s="262" t="n">
        <v>106.3</v>
      </c>
      <c r="M16" s="262" t="n">
        <v>85.8</v>
      </c>
      <c r="N16" s="262" t="n">
        <v>103.4</v>
      </c>
      <c r="O16" s="262" t="n">
        <v>113.3</v>
      </c>
      <c r="P16" s="262" t="n">
        <v>103.9</v>
      </c>
      <c r="Q16" s="262" t="n">
        <v>101.8</v>
      </c>
      <c r="R16" s="262" t="n">
        <v>101.4</v>
      </c>
      <c r="S16" s="262" t="n">
        <v>102.4</v>
      </c>
      <c r="T16" s="263" t="n">
        <v>97.90000000000001</v>
      </c>
      <c r="U16" s="243" t="n"/>
    </row>
    <row r="17" ht="15" customHeight="1" s="226">
      <c r="A17" s="260" t="inlineStr">
        <is>
          <t>Рязанская область</t>
        </is>
      </c>
      <c r="B17" s="261" t="n">
        <v>96.40000000000001</v>
      </c>
      <c r="C17" s="262" t="n">
        <v>102.3</v>
      </c>
      <c r="D17" s="262" t="n">
        <v>113.5</v>
      </c>
      <c r="E17" s="262" t="n">
        <v>104.2</v>
      </c>
      <c r="F17" s="262" t="n">
        <v>100</v>
      </c>
      <c r="G17" s="262" t="n">
        <v>107.4</v>
      </c>
      <c r="H17" s="262" t="n">
        <v>106.3</v>
      </c>
      <c r="I17" s="262" t="n">
        <v>105.7</v>
      </c>
      <c r="J17" s="262" t="n">
        <v>108</v>
      </c>
      <c r="K17" s="262" t="n">
        <v>104.4</v>
      </c>
      <c r="L17" s="262" t="n">
        <v>103.8</v>
      </c>
      <c r="M17" s="262" t="n">
        <v>93.59999999999999</v>
      </c>
      <c r="N17" s="262" t="n">
        <v>104.5</v>
      </c>
      <c r="O17" s="262" t="n">
        <v>108.6</v>
      </c>
      <c r="P17" s="262" t="n">
        <v>105</v>
      </c>
      <c r="Q17" s="262" t="n">
        <v>102.5</v>
      </c>
      <c r="R17" s="262" t="n">
        <v>99</v>
      </c>
      <c r="S17" s="262" t="n">
        <v>98.09999999999999</v>
      </c>
      <c r="T17" s="263" t="n">
        <v>99.09999999999999</v>
      </c>
      <c r="U17" s="243" t="n"/>
    </row>
    <row r="18" ht="15" customHeight="1" s="226">
      <c r="A18" s="260" t="inlineStr">
        <is>
          <t>Смоленская область</t>
        </is>
      </c>
      <c r="B18" s="261" t="n">
        <v>91.90000000000001</v>
      </c>
      <c r="C18" s="262" t="n">
        <v>125.6</v>
      </c>
      <c r="D18" s="262" t="n">
        <v>103.7</v>
      </c>
      <c r="E18" s="262" t="n">
        <v>106.5</v>
      </c>
      <c r="F18" s="262" t="n">
        <v>101.1</v>
      </c>
      <c r="G18" s="262" t="n">
        <v>104.7</v>
      </c>
      <c r="H18" s="262" t="n">
        <v>102.1</v>
      </c>
      <c r="I18" s="262" t="n">
        <v>105</v>
      </c>
      <c r="J18" s="262" t="n">
        <v>106.2</v>
      </c>
      <c r="K18" s="262" t="n">
        <v>109</v>
      </c>
      <c r="L18" s="262" t="n">
        <v>107.6</v>
      </c>
      <c r="M18" s="262" t="n">
        <v>95.40000000000001</v>
      </c>
      <c r="N18" s="262" t="n">
        <v>107.4</v>
      </c>
      <c r="O18" s="262" t="n">
        <v>104.7</v>
      </c>
      <c r="P18" s="262" t="n">
        <v>104.2</v>
      </c>
      <c r="Q18" s="262" t="n">
        <v>104.5</v>
      </c>
      <c r="R18" s="262" t="n">
        <v>100.4</v>
      </c>
      <c r="S18" s="262" t="n">
        <v>99.09999999999999</v>
      </c>
      <c r="T18" s="263" t="n">
        <v>97.7</v>
      </c>
      <c r="U18" s="243" t="n"/>
    </row>
    <row r="19" ht="15" customHeight="1" s="226">
      <c r="A19" s="260" t="inlineStr">
        <is>
          <t>Тамбовская область</t>
        </is>
      </c>
      <c r="B19" s="261" t="n">
        <v>99.09999999999999</v>
      </c>
      <c r="C19" s="262" t="n">
        <v>109.2</v>
      </c>
      <c r="D19" s="262" t="n">
        <v>112.1</v>
      </c>
      <c r="E19" s="262" t="n">
        <v>109.6</v>
      </c>
      <c r="F19" s="262" t="n">
        <v>103.1</v>
      </c>
      <c r="G19" s="262" t="n">
        <v>108.1</v>
      </c>
      <c r="H19" s="262" t="n">
        <v>104.9</v>
      </c>
      <c r="I19" s="262" t="n">
        <v>104.5</v>
      </c>
      <c r="J19" s="262" t="n">
        <v>107.2</v>
      </c>
      <c r="K19" s="262" t="n">
        <v>110.5</v>
      </c>
      <c r="L19" s="262" t="n">
        <v>105.8</v>
      </c>
      <c r="M19" s="262" t="n">
        <v>99.59999999999999</v>
      </c>
      <c r="N19" s="262" t="n">
        <v>97</v>
      </c>
      <c r="O19" s="262" t="n">
        <v>112.8</v>
      </c>
      <c r="P19" s="262" t="n">
        <v>108.9</v>
      </c>
      <c r="Q19" s="262" t="n">
        <v>109.2</v>
      </c>
      <c r="R19" s="262" t="n">
        <v>105.7</v>
      </c>
      <c r="S19" s="262" t="n">
        <v>106.9</v>
      </c>
      <c r="T19" s="263" t="n">
        <v>95.09999999999999</v>
      </c>
      <c r="U19" s="243" t="n"/>
    </row>
    <row r="20" ht="15" customHeight="1" s="226">
      <c r="A20" s="260" t="inlineStr">
        <is>
          <t>Тверская область</t>
        </is>
      </c>
      <c r="B20" s="261" t="n">
        <v>102</v>
      </c>
      <c r="C20" s="262" t="n">
        <v>105</v>
      </c>
      <c r="D20" s="262" t="n">
        <v>106.6</v>
      </c>
      <c r="E20" s="262" t="n">
        <v>102.7</v>
      </c>
      <c r="F20" s="262" t="n">
        <v>101.7</v>
      </c>
      <c r="G20" s="262" t="n">
        <v>109.4</v>
      </c>
      <c r="H20" s="262" t="n">
        <v>108.1</v>
      </c>
      <c r="I20" s="262" t="n">
        <v>102</v>
      </c>
      <c r="J20" s="262" t="n">
        <v>110.7</v>
      </c>
      <c r="K20" s="262" t="n">
        <v>107.7</v>
      </c>
      <c r="L20" s="262" t="n">
        <v>107.4</v>
      </c>
      <c r="M20" s="262" t="n">
        <v>91.5</v>
      </c>
      <c r="N20" s="262" t="n">
        <v>103.4</v>
      </c>
      <c r="O20" s="262" t="n">
        <v>105.7</v>
      </c>
      <c r="P20" s="262" t="n">
        <v>100</v>
      </c>
      <c r="Q20" s="262" t="n">
        <v>101</v>
      </c>
      <c r="R20" s="262" t="n">
        <v>98.90000000000001</v>
      </c>
      <c r="S20" s="262" t="n">
        <v>99.40000000000001</v>
      </c>
      <c r="T20" s="263" t="n">
        <v>101.5</v>
      </c>
      <c r="U20" s="243" t="n"/>
    </row>
    <row r="21" ht="15" customHeight="1" s="226">
      <c r="A21" s="260" t="inlineStr">
        <is>
          <t>Тульская область</t>
        </is>
      </c>
      <c r="B21" s="261" t="n">
        <v>96.7</v>
      </c>
      <c r="C21" s="262" t="n">
        <v>99.7</v>
      </c>
      <c r="D21" s="262" t="n">
        <v>110.5</v>
      </c>
      <c r="E21" s="262" t="n">
        <v>103.5</v>
      </c>
      <c r="F21" s="262" t="n">
        <v>102.1</v>
      </c>
      <c r="G21" s="262" t="n">
        <v>104.5</v>
      </c>
      <c r="H21" s="262" t="n">
        <v>106.2</v>
      </c>
      <c r="I21" s="262" t="n">
        <v>106.5</v>
      </c>
      <c r="J21" s="262" t="n">
        <v>109.1</v>
      </c>
      <c r="K21" s="262" t="n">
        <v>112.1</v>
      </c>
      <c r="L21" s="262" t="n">
        <v>107.4</v>
      </c>
      <c r="M21" s="262" t="n">
        <v>93.09999999999999</v>
      </c>
      <c r="N21" s="262" t="n">
        <v>103.6</v>
      </c>
      <c r="O21" s="262" t="n">
        <v>105.3</v>
      </c>
      <c r="P21" s="262" t="n">
        <v>102.5</v>
      </c>
      <c r="Q21" s="262" t="n">
        <v>104.4</v>
      </c>
      <c r="R21" s="262" t="n">
        <v>105.8</v>
      </c>
      <c r="S21" s="262" t="n">
        <v>105.6</v>
      </c>
      <c r="T21" s="263" t="n">
        <v>104.1</v>
      </c>
      <c r="U21" s="243" t="n"/>
    </row>
    <row r="22" ht="15" customHeight="1" s="226">
      <c r="A22" s="260" t="inlineStr">
        <is>
          <t>Ярославская область</t>
        </is>
      </c>
      <c r="B22" s="261" t="n">
        <v>90.09999999999999</v>
      </c>
      <c r="C22" s="262" t="n">
        <v>111.5</v>
      </c>
      <c r="D22" s="262" t="n">
        <v>107.7</v>
      </c>
      <c r="E22" s="262" t="n">
        <v>109.7</v>
      </c>
      <c r="F22" s="262" t="n">
        <v>103.5</v>
      </c>
      <c r="G22" s="262" t="n">
        <v>104.4</v>
      </c>
      <c r="H22" s="262" t="n">
        <v>108.3</v>
      </c>
      <c r="I22" s="262" t="n">
        <v>105.9</v>
      </c>
      <c r="J22" s="262" t="n">
        <v>110.5</v>
      </c>
      <c r="K22" s="262" t="n">
        <v>106.5</v>
      </c>
      <c r="L22" s="262" t="n">
        <v>101.1</v>
      </c>
      <c r="M22" s="262" t="n">
        <v>91.90000000000001</v>
      </c>
      <c r="N22" s="262" t="n">
        <v>103</v>
      </c>
      <c r="O22" s="262" t="n">
        <v>107</v>
      </c>
      <c r="P22" s="262" t="n">
        <v>104.6</v>
      </c>
      <c r="Q22" s="262" t="n">
        <v>102.6</v>
      </c>
      <c r="R22" s="262" t="n">
        <v>101.9</v>
      </c>
      <c r="S22" s="262" t="n">
        <v>100.4</v>
      </c>
      <c r="T22" s="263" t="n">
        <v>101.2</v>
      </c>
      <c r="U22" s="243" t="n"/>
    </row>
    <row r="23" ht="15" customHeight="1" s="226">
      <c r="A23" s="260" t="inlineStr">
        <is>
          <t>г.Москва</t>
        </is>
      </c>
      <c r="B23" s="261" t="n">
        <v>92.90000000000001</v>
      </c>
      <c r="C23" s="262" t="n">
        <v>106.8</v>
      </c>
      <c r="D23" s="262" t="n">
        <v>118.9</v>
      </c>
      <c r="E23" s="262" t="n">
        <v>103</v>
      </c>
      <c r="F23" s="262" t="n">
        <v>110</v>
      </c>
      <c r="G23" s="262" t="n">
        <v>108.8</v>
      </c>
      <c r="H23" s="262" t="n">
        <v>107.2</v>
      </c>
      <c r="I23" s="262" t="n">
        <v>112.5</v>
      </c>
      <c r="J23" s="262" t="n">
        <v>110.7</v>
      </c>
      <c r="K23" s="262" t="n">
        <v>108.3</v>
      </c>
      <c r="L23" s="262" t="n">
        <v>107.7</v>
      </c>
      <c r="M23" s="262" t="n">
        <v>87.2</v>
      </c>
      <c r="N23" s="262" t="n">
        <v>101.4</v>
      </c>
      <c r="O23" s="262" t="n">
        <v>102.8</v>
      </c>
      <c r="P23" s="262" t="n">
        <v>103</v>
      </c>
      <c r="Q23" s="262" t="n">
        <v>101</v>
      </c>
      <c r="R23" s="262" t="n">
        <v>100.2</v>
      </c>
      <c r="S23" s="262" t="n">
        <v>97.90000000000001</v>
      </c>
      <c r="T23" s="263" t="n">
        <v>101</v>
      </c>
      <c r="U23" s="243" t="n"/>
    </row>
    <row r="24" ht="15" customFormat="1" customHeight="1" s="318">
      <c r="A24" s="253" t="inlineStr">
        <is>
          <t>Северо-Западный федеральный округ</t>
        </is>
      </c>
      <c r="B24" s="254" t="n">
        <v>95.59999999999999</v>
      </c>
      <c r="C24" s="254" t="n">
        <v>107.4</v>
      </c>
      <c r="D24" s="254" t="n">
        <v>109.7</v>
      </c>
      <c r="E24" s="254" t="n">
        <v>104.8</v>
      </c>
      <c r="F24" s="254" t="n">
        <v>108.6</v>
      </c>
      <c r="G24" s="254" t="n">
        <v>107.1</v>
      </c>
      <c r="H24" s="254" t="n">
        <v>108.5</v>
      </c>
      <c r="I24" s="254" t="n">
        <v>106.6</v>
      </c>
      <c r="J24" s="254" t="n">
        <v>107.7</v>
      </c>
      <c r="K24" s="254" t="n">
        <v>109</v>
      </c>
      <c r="L24" s="254" t="n">
        <v>104.7</v>
      </c>
      <c r="M24" s="254" t="n">
        <v>94.90000000000001</v>
      </c>
      <c r="N24" s="254" t="n">
        <v>104.4</v>
      </c>
      <c r="O24" s="254" t="n">
        <v>106.1</v>
      </c>
      <c r="P24" s="254" t="n">
        <v>103.8</v>
      </c>
      <c r="Q24" s="254" t="n">
        <v>100.3</v>
      </c>
      <c r="R24" s="254" t="n">
        <v>100.9</v>
      </c>
      <c r="S24" s="254" t="n">
        <v>101.5</v>
      </c>
      <c r="T24" s="254" t="n">
        <v>101.7</v>
      </c>
      <c r="U24" s="243" t="n"/>
    </row>
    <row r="25" ht="15" customHeight="1" s="226">
      <c r="A25" s="260" t="inlineStr">
        <is>
          <t>Республика Карелия</t>
        </is>
      </c>
      <c r="B25" s="261" t="n">
        <v>92.8</v>
      </c>
      <c r="C25" s="262" t="n">
        <v>110.9</v>
      </c>
      <c r="D25" s="262" t="n">
        <v>108.3</v>
      </c>
      <c r="E25" s="262" t="n">
        <v>102.8</v>
      </c>
      <c r="F25" s="262" t="n">
        <v>107.5</v>
      </c>
      <c r="G25" s="262" t="n">
        <v>101.6</v>
      </c>
      <c r="H25" s="262" t="n">
        <v>103</v>
      </c>
      <c r="I25" s="262" t="n">
        <v>106.9</v>
      </c>
      <c r="J25" s="262" t="n">
        <v>105.1</v>
      </c>
      <c r="K25" s="262" t="n">
        <v>108.5</v>
      </c>
      <c r="L25" s="262" t="n">
        <v>95.40000000000001</v>
      </c>
      <c r="M25" s="262" t="n">
        <v>87.59999999999999</v>
      </c>
      <c r="N25" s="262" t="n">
        <v>104.4</v>
      </c>
      <c r="O25" s="262" t="n">
        <v>102.2</v>
      </c>
      <c r="P25" s="262" t="n">
        <v>101.5</v>
      </c>
      <c r="Q25" s="262" t="n">
        <v>100.7</v>
      </c>
      <c r="R25" s="262" t="n">
        <v>100.1</v>
      </c>
      <c r="S25" s="262" t="n">
        <v>100.4</v>
      </c>
      <c r="T25" s="263" t="n">
        <v>100.1</v>
      </c>
      <c r="U25" s="243" t="n"/>
    </row>
    <row r="26" ht="15" customHeight="1" s="226">
      <c r="A26" s="260" t="inlineStr">
        <is>
          <t>Республика Коми</t>
        </is>
      </c>
      <c r="B26" s="261" t="n">
        <v>99.40000000000001</v>
      </c>
      <c r="C26" s="262" t="n">
        <v>96.3</v>
      </c>
      <c r="D26" s="262" t="n">
        <v>110.1</v>
      </c>
      <c r="E26" s="262" t="n">
        <v>107.9</v>
      </c>
      <c r="F26" s="262" t="n">
        <v>96.59999999999999</v>
      </c>
      <c r="G26" s="262" t="n">
        <v>103.9</v>
      </c>
      <c r="H26" s="262" t="n">
        <v>105.1</v>
      </c>
      <c r="I26" s="262" t="n">
        <v>104</v>
      </c>
      <c r="J26" s="262" t="n">
        <v>108.6</v>
      </c>
      <c r="K26" s="262" t="n">
        <v>99.59999999999999</v>
      </c>
      <c r="L26" s="262" t="n">
        <v>103.3</v>
      </c>
      <c r="M26" s="262" t="n">
        <v>98.5</v>
      </c>
      <c r="N26" s="262" t="n">
        <v>102.6</v>
      </c>
      <c r="O26" s="262" t="n">
        <v>105.7</v>
      </c>
      <c r="P26" s="262" t="n">
        <v>101.8</v>
      </c>
      <c r="Q26" s="262" t="n">
        <v>96.7</v>
      </c>
      <c r="R26" s="262" t="n">
        <v>95.7</v>
      </c>
      <c r="S26" s="262" t="n">
        <v>98.3</v>
      </c>
      <c r="T26" s="263" t="n">
        <v>98.5</v>
      </c>
      <c r="U26" s="243" t="n"/>
    </row>
    <row r="27" ht="15" customHeight="1" s="226">
      <c r="A27" s="260" t="inlineStr">
        <is>
          <t>Архангельская область</t>
        </is>
      </c>
      <c r="B27" s="261" t="n">
        <v>96.2</v>
      </c>
      <c r="C27" s="262" t="n">
        <v>111.4</v>
      </c>
      <c r="D27" s="262" t="n">
        <v>116.4</v>
      </c>
      <c r="E27" s="262" t="n">
        <v>105.8</v>
      </c>
      <c r="F27" s="262" t="n">
        <v>101.6</v>
      </c>
      <c r="G27" s="262" t="n">
        <v>108.2</v>
      </c>
      <c r="H27" s="262" t="n">
        <v>121.4</v>
      </c>
      <c r="I27" s="262" t="n">
        <v>109</v>
      </c>
      <c r="J27" s="262" t="n">
        <v>107.2</v>
      </c>
      <c r="K27" s="262" t="n">
        <v>112.2</v>
      </c>
      <c r="L27" s="262" t="n">
        <v>100</v>
      </c>
      <c r="M27" s="262" t="n">
        <v>102.2</v>
      </c>
      <c r="N27" s="262" t="n">
        <v>100.8</v>
      </c>
      <c r="O27" s="262" t="n">
        <v>101.7</v>
      </c>
      <c r="P27" s="262" t="n">
        <v>100.6</v>
      </c>
      <c r="Q27" s="262" t="n">
        <v>101.1</v>
      </c>
      <c r="R27" s="262" t="n">
        <v>102</v>
      </c>
      <c r="S27" s="262" t="n">
        <v>103.3</v>
      </c>
      <c r="T27" s="263" t="n">
        <v>102.6</v>
      </c>
      <c r="U27" s="243" t="n"/>
    </row>
    <row r="28" ht="15" customHeight="1" s="226">
      <c r="A28" s="260" t="inlineStr">
        <is>
          <t xml:space="preserve">  в т.ч. Ненецкий авт. округ</t>
        </is>
      </c>
      <c r="B28" s="261" t="inlineStr">
        <is>
          <t>…</t>
        </is>
      </c>
      <c r="C28" s="262" t="inlineStr">
        <is>
          <t>…</t>
        </is>
      </c>
      <c r="D28" s="262" t="inlineStr">
        <is>
          <t>…</t>
        </is>
      </c>
      <c r="E28" s="262" t="n">
        <v>108.2</v>
      </c>
      <c r="F28" s="262" t="n">
        <v>117.8</v>
      </c>
      <c r="G28" s="262" t="n">
        <v>127.5</v>
      </c>
      <c r="H28" s="262" t="n">
        <v>127.5</v>
      </c>
      <c r="I28" s="262" t="n">
        <v>108.8</v>
      </c>
      <c r="J28" s="262" t="n">
        <v>114.6</v>
      </c>
      <c r="K28" s="262" t="n">
        <v>118.7</v>
      </c>
      <c r="L28" s="262" t="n">
        <v>86.7</v>
      </c>
      <c r="M28" s="262" t="n">
        <v>122.6</v>
      </c>
      <c r="N28" s="262" t="n">
        <v>95.90000000000001</v>
      </c>
      <c r="O28" s="262" t="n">
        <v>88.7</v>
      </c>
      <c r="P28" s="262" t="n">
        <v>94.90000000000001</v>
      </c>
      <c r="Q28" s="262" t="n">
        <v>99.40000000000001</v>
      </c>
      <c r="R28" s="262" t="n">
        <v>103.6</v>
      </c>
      <c r="S28" s="262" t="n">
        <v>109.3</v>
      </c>
      <c r="T28" s="263" t="n">
        <v>108.6</v>
      </c>
      <c r="U28" s="243" t="n"/>
    </row>
    <row r="29" ht="15" customHeight="1" s="226">
      <c r="A29" s="260" t="inlineStr">
        <is>
          <t xml:space="preserve">  Архангельская область без Ненецкого авт.округа</t>
        </is>
      </c>
      <c r="B29" s="321" t="inlineStr">
        <is>
          <t>…</t>
        </is>
      </c>
      <c r="C29" s="269" t="inlineStr">
        <is>
          <t>…</t>
        </is>
      </c>
      <c r="D29" s="269" t="inlineStr">
        <is>
          <t>…</t>
        </is>
      </c>
      <c r="E29" s="269" t="inlineStr">
        <is>
          <t>…</t>
        </is>
      </c>
      <c r="F29" s="269" t="inlineStr">
        <is>
          <t>…</t>
        </is>
      </c>
      <c r="G29" s="269" t="inlineStr">
        <is>
          <t>…</t>
        </is>
      </c>
      <c r="H29" s="269" t="inlineStr">
        <is>
          <t>…</t>
        </is>
      </c>
      <c r="I29" s="269" t="inlineStr">
        <is>
          <t>…</t>
        </is>
      </c>
      <c r="J29" s="269" t="inlineStr">
        <is>
          <t>…</t>
        </is>
      </c>
      <c r="K29" s="269" t="inlineStr">
        <is>
          <t>…</t>
        </is>
      </c>
      <c r="L29" s="269" t="inlineStr">
        <is>
          <t>…</t>
        </is>
      </c>
      <c r="M29" s="269" t="inlineStr">
        <is>
          <t>…</t>
        </is>
      </c>
      <c r="N29" s="269" t="inlineStr">
        <is>
          <t>…</t>
        </is>
      </c>
      <c r="O29" s="262" t="inlineStr">
        <is>
          <t>…</t>
        </is>
      </c>
      <c r="P29" s="262" t="n">
        <v>104</v>
      </c>
      <c r="Q29" s="262" t="n">
        <v>102</v>
      </c>
      <c r="R29" s="262" t="n">
        <v>101.1</v>
      </c>
      <c r="S29" s="262" t="n">
        <v>100.1</v>
      </c>
      <c r="T29" s="263" t="n">
        <v>99.2</v>
      </c>
      <c r="U29" s="243" t="n"/>
    </row>
    <row r="30" ht="15" customHeight="1" s="226">
      <c r="A30" s="260" t="inlineStr">
        <is>
          <t>Вологодская область</t>
        </is>
      </c>
      <c r="B30" s="261" t="n">
        <v>95.7</v>
      </c>
      <c r="C30" s="262" t="n">
        <v>114</v>
      </c>
      <c r="D30" s="262" t="n">
        <v>107.5</v>
      </c>
      <c r="E30" s="262" t="n">
        <v>101.9</v>
      </c>
      <c r="F30" s="262" t="n">
        <v>102.5</v>
      </c>
      <c r="G30" s="262" t="n">
        <v>104.6</v>
      </c>
      <c r="H30" s="262" t="n">
        <v>109.6</v>
      </c>
      <c r="I30" s="262" t="n">
        <v>104.5</v>
      </c>
      <c r="J30" s="262" t="n">
        <v>104.8</v>
      </c>
      <c r="K30" s="262" t="n">
        <v>105.1</v>
      </c>
      <c r="L30" s="262" t="n">
        <v>96.7</v>
      </c>
      <c r="M30" s="262" t="n">
        <v>87.09999999999999</v>
      </c>
      <c r="N30" s="262" t="n">
        <v>105.7</v>
      </c>
      <c r="O30" s="262" t="n">
        <v>106.9</v>
      </c>
      <c r="P30" s="262" t="n">
        <v>104.8</v>
      </c>
      <c r="Q30" s="262" t="n">
        <v>95.7</v>
      </c>
      <c r="R30" s="262" t="n">
        <v>103</v>
      </c>
      <c r="S30" s="262" t="n">
        <v>101.3</v>
      </c>
      <c r="T30" s="263" t="n">
        <v>100.1</v>
      </c>
      <c r="U30" s="243" t="n"/>
    </row>
    <row r="31" ht="15" customHeight="1" s="226">
      <c r="A31" s="260" t="inlineStr">
        <is>
          <t>Калининградская область</t>
        </is>
      </c>
      <c r="B31" s="261" t="n">
        <v>90.59999999999999</v>
      </c>
      <c r="C31" s="262" t="n">
        <v>106.9</v>
      </c>
      <c r="D31" s="262" t="n">
        <v>115.1</v>
      </c>
      <c r="E31" s="262" t="n">
        <v>103.2</v>
      </c>
      <c r="F31" s="262" t="n">
        <v>109.5</v>
      </c>
      <c r="G31" s="262" t="n">
        <v>109.3</v>
      </c>
      <c r="H31" s="262" t="n">
        <v>112.6</v>
      </c>
      <c r="I31" s="262" t="n">
        <v>103.6</v>
      </c>
      <c r="J31" s="262" t="n">
        <v>115.3</v>
      </c>
      <c r="K31" s="262" t="n">
        <v>119.9</v>
      </c>
      <c r="L31" s="262" t="n">
        <v>104.7</v>
      </c>
      <c r="M31" s="262" t="n">
        <v>91.5</v>
      </c>
      <c r="N31" s="262" t="n">
        <v>107.6</v>
      </c>
      <c r="O31" s="262" t="n">
        <v>104.6</v>
      </c>
      <c r="P31" s="262" t="n">
        <v>104.7</v>
      </c>
      <c r="Q31" s="262" t="n">
        <v>101</v>
      </c>
      <c r="R31" s="262" t="n">
        <v>104.6</v>
      </c>
      <c r="S31" s="262" t="n">
        <v>98.5</v>
      </c>
      <c r="T31" s="263" t="n">
        <v>102.2</v>
      </c>
      <c r="U31" s="243" t="n"/>
    </row>
    <row r="32" ht="15" customHeight="1" s="226">
      <c r="A32" s="260" t="inlineStr">
        <is>
          <t>Ленинградская область</t>
        </is>
      </c>
      <c r="B32" s="261" t="n">
        <v>93.59999999999999</v>
      </c>
      <c r="C32" s="262" t="n">
        <v>113.7</v>
      </c>
      <c r="D32" s="262" t="n">
        <v>112.6</v>
      </c>
      <c r="E32" s="262" t="n">
        <v>108.4</v>
      </c>
      <c r="F32" s="262" t="n">
        <v>116.2</v>
      </c>
      <c r="G32" s="262" t="n">
        <v>114.3</v>
      </c>
      <c r="H32" s="262" t="n">
        <v>108.7</v>
      </c>
      <c r="I32" s="262" t="n">
        <v>109.6</v>
      </c>
      <c r="J32" s="262" t="n">
        <v>111.2</v>
      </c>
      <c r="K32" s="262" t="n">
        <v>106.3</v>
      </c>
      <c r="L32" s="262" t="n">
        <v>105.3</v>
      </c>
      <c r="M32" s="262" t="n">
        <v>99.59999999999999</v>
      </c>
      <c r="N32" s="262" t="n">
        <v>105.4</v>
      </c>
      <c r="O32" s="262" t="n">
        <v>106.5</v>
      </c>
      <c r="P32" s="262" t="n">
        <v>106.2</v>
      </c>
      <c r="Q32" s="262" t="n">
        <v>98.59999999999999</v>
      </c>
      <c r="R32" s="262" t="n">
        <v>100.2</v>
      </c>
      <c r="S32" s="262" t="n">
        <v>104.6</v>
      </c>
      <c r="T32" s="263" t="n">
        <v>101.8</v>
      </c>
      <c r="U32" s="243" t="n"/>
    </row>
    <row r="33" ht="15" customHeight="1" s="226">
      <c r="A33" s="260" t="inlineStr">
        <is>
          <t>Мурманская область</t>
        </is>
      </c>
      <c r="B33" s="261" t="n">
        <v>96.09999999999999</v>
      </c>
      <c r="C33" s="262" t="n">
        <v>106</v>
      </c>
      <c r="D33" s="262" t="n">
        <v>104.2</v>
      </c>
      <c r="E33" s="262" t="n">
        <v>101.6</v>
      </c>
      <c r="F33" s="262" t="n">
        <v>98</v>
      </c>
      <c r="G33" s="262" t="n">
        <v>101.1</v>
      </c>
      <c r="H33" s="262" t="n">
        <v>103.8</v>
      </c>
      <c r="I33" s="262" t="n">
        <v>102.4</v>
      </c>
      <c r="J33" s="262" t="n">
        <v>102.7</v>
      </c>
      <c r="K33" s="262" t="n">
        <v>102.2</v>
      </c>
      <c r="L33" s="262" t="n">
        <v>99.8</v>
      </c>
      <c r="M33" s="262" t="n">
        <v>91.2</v>
      </c>
      <c r="N33" s="262" t="n">
        <v>99.40000000000001</v>
      </c>
      <c r="O33" s="262" t="n">
        <v>99.8</v>
      </c>
      <c r="P33" s="262" t="n">
        <v>100.5</v>
      </c>
      <c r="Q33" s="262" t="n">
        <v>100.8</v>
      </c>
      <c r="R33" s="262" t="n">
        <v>101.3</v>
      </c>
      <c r="S33" s="262" t="n">
        <v>101.2</v>
      </c>
      <c r="T33" s="263" t="n">
        <v>100.6</v>
      </c>
      <c r="U33" s="243" t="n"/>
    </row>
    <row r="34" ht="15" customHeight="1" s="226">
      <c r="A34" s="260" t="inlineStr">
        <is>
          <t>Новгородская область</t>
        </is>
      </c>
      <c r="B34" s="261" t="n">
        <v>105.7</v>
      </c>
      <c r="C34" s="262" t="n">
        <v>106.5</v>
      </c>
      <c r="D34" s="262" t="n">
        <v>102.9</v>
      </c>
      <c r="E34" s="262" t="n">
        <v>112.2</v>
      </c>
      <c r="F34" s="262" t="n">
        <v>98.2</v>
      </c>
      <c r="G34" s="262" t="n">
        <v>103.5</v>
      </c>
      <c r="H34" s="262" t="n">
        <v>106.5</v>
      </c>
      <c r="I34" s="262" t="n">
        <v>103.8</v>
      </c>
      <c r="J34" s="262" t="n">
        <v>104</v>
      </c>
      <c r="K34" s="262" t="n">
        <v>105.5</v>
      </c>
      <c r="L34" s="262" t="n">
        <v>108.2</v>
      </c>
      <c r="M34" s="262" t="n">
        <v>98.90000000000001</v>
      </c>
      <c r="N34" s="262" t="n">
        <v>102.3</v>
      </c>
      <c r="O34" s="262" t="n">
        <v>103.7</v>
      </c>
      <c r="P34" s="262" t="n">
        <v>108.4</v>
      </c>
      <c r="Q34" s="262" t="n">
        <v>101.9</v>
      </c>
      <c r="R34" s="262" t="n">
        <v>105.2</v>
      </c>
      <c r="S34" s="262" t="n">
        <v>102.2</v>
      </c>
      <c r="T34" s="263" t="n">
        <v>101.6</v>
      </c>
      <c r="U34" s="243" t="n"/>
    </row>
    <row r="35" ht="15" customHeight="1" s="226">
      <c r="A35" s="260" t="inlineStr">
        <is>
          <t>Псковская область</t>
        </is>
      </c>
      <c r="B35" s="261" t="n">
        <v>92.7</v>
      </c>
      <c r="C35" s="262" t="n">
        <v>117.8</v>
      </c>
      <c r="D35" s="262" t="n">
        <v>105.8</v>
      </c>
      <c r="E35" s="262" t="n">
        <v>100.2</v>
      </c>
      <c r="F35" s="262" t="n">
        <v>105</v>
      </c>
      <c r="G35" s="262" t="n">
        <v>103</v>
      </c>
      <c r="H35" s="262" t="n">
        <v>106.2</v>
      </c>
      <c r="I35" s="262" t="n">
        <v>100.3</v>
      </c>
      <c r="J35" s="262" t="n">
        <v>104.9</v>
      </c>
      <c r="K35" s="262" t="n">
        <v>105.6</v>
      </c>
      <c r="L35" s="262" t="n">
        <v>103.1</v>
      </c>
      <c r="M35" s="262" t="n">
        <v>93.8</v>
      </c>
      <c r="N35" s="262" t="n">
        <v>105.6</v>
      </c>
      <c r="O35" s="262" t="n">
        <v>106.5</v>
      </c>
      <c r="P35" s="262" t="n">
        <v>100.1</v>
      </c>
      <c r="Q35" s="262" t="n">
        <v>100.5</v>
      </c>
      <c r="R35" s="262" t="n">
        <v>99.5</v>
      </c>
      <c r="S35" s="262" t="n">
        <v>98</v>
      </c>
      <c r="T35" s="263" t="n">
        <v>100.7</v>
      </c>
      <c r="U35" s="243" t="n"/>
    </row>
    <row r="36" ht="15" customHeight="1" s="226">
      <c r="A36" s="260" t="inlineStr">
        <is>
          <t>г.Санкт-Петербург</t>
        </is>
      </c>
      <c r="B36" s="285" t="n">
        <v>94.7</v>
      </c>
      <c r="C36" s="270" t="n">
        <v>106</v>
      </c>
      <c r="D36" s="270" t="n">
        <v>110.1</v>
      </c>
      <c r="E36" s="270" t="n">
        <v>104.6</v>
      </c>
      <c r="F36" s="270" t="n">
        <v>117.5</v>
      </c>
      <c r="G36" s="270" t="n">
        <v>108.5</v>
      </c>
      <c r="H36" s="270" t="n">
        <v>107.1</v>
      </c>
      <c r="I36" s="270" t="n">
        <v>108.3</v>
      </c>
      <c r="J36" s="270" t="n">
        <v>108.3</v>
      </c>
      <c r="K36" s="270" t="n">
        <v>113.1</v>
      </c>
      <c r="L36" s="270" t="n">
        <v>109.3</v>
      </c>
      <c r="M36" s="270" t="n">
        <v>94.3</v>
      </c>
      <c r="N36" s="270" t="n">
        <v>105.5</v>
      </c>
      <c r="O36" s="270" t="n">
        <v>108.3</v>
      </c>
      <c r="P36" s="270" t="n">
        <v>104.3</v>
      </c>
      <c r="Q36" s="270" t="n">
        <v>101.8</v>
      </c>
      <c r="R36" s="270" t="n">
        <v>101</v>
      </c>
      <c r="S36" s="270" t="n">
        <v>101.4</v>
      </c>
      <c r="T36" s="271" t="n">
        <v>102.3</v>
      </c>
      <c r="U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94.09999999999999</v>
      </c>
      <c r="C37" s="254" t="n">
        <v>110.1</v>
      </c>
      <c r="D37" s="254" t="n">
        <v>111.7</v>
      </c>
      <c r="E37" s="254" t="n">
        <v>106.2</v>
      </c>
      <c r="F37" s="254" t="n">
        <v>105.8</v>
      </c>
      <c r="G37" s="254" t="n">
        <v>103.8</v>
      </c>
      <c r="H37" s="254" t="n">
        <v>109.8</v>
      </c>
      <c r="I37" s="254" t="n">
        <v>106.1</v>
      </c>
      <c r="J37" s="254" t="n">
        <v>108.8</v>
      </c>
      <c r="K37" s="254" t="n">
        <v>110.1</v>
      </c>
      <c r="L37" s="254" t="n">
        <v>108.5</v>
      </c>
      <c r="M37" s="254" t="n">
        <v>92.8</v>
      </c>
      <c r="N37" s="254" t="n">
        <v>105.4</v>
      </c>
      <c r="O37" s="254" t="n">
        <v>106.5</v>
      </c>
      <c r="P37" s="254" t="n">
        <v>103.7</v>
      </c>
      <c r="Q37" s="254" t="n">
        <v>104</v>
      </c>
      <c r="R37" s="254" t="n">
        <v>102.1</v>
      </c>
      <c r="S37" s="254" t="n">
        <v>99.5</v>
      </c>
      <c r="T37" s="254" t="n">
        <v>101.3</v>
      </c>
      <c r="U37" s="243" t="n"/>
    </row>
    <row r="38" ht="15" customHeight="1" s="226">
      <c r="A38" s="260" t="inlineStr">
        <is>
          <t>Республика Адыгея</t>
        </is>
      </c>
      <c r="B38" s="286" t="n">
        <v>96.3</v>
      </c>
      <c r="C38" s="273" t="n">
        <v>104.7</v>
      </c>
      <c r="D38" s="273" t="n">
        <v>105.6</v>
      </c>
      <c r="E38" s="273" t="n">
        <v>100.7</v>
      </c>
      <c r="F38" s="273" t="n">
        <v>101.2</v>
      </c>
      <c r="G38" s="273" t="n">
        <v>103.9</v>
      </c>
      <c r="H38" s="273" t="n">
        <v>111.5</v>
      </c>
      <c r="I38" s="273" t="n">
        <v>107.9</v>
      </c>
      <c r="J38" s="273" t="n">
        <v>107</v>
      </c>
      <c r="K38" s="273" t="n">
        <v>116</v>
      </c>
      <c r="L38" s="273" t="n">
        <v>114</v>
      </c>
      <c r="M38" s="273" t="n">
        <v>106.1</v>
      </c>
      <c r="N38" s="273" t="n">
        <v>104.4</v>
      </c>
      <c r="O38" s="273" t="n">
        <v>105.6</v>
      </c>
      <c r="P38" s="273" t="n">
        <v>105.9</v>
      </c>
      <c r="Q38" s="273" t="n">
        <v>102.7</v>
      </c>
      <c r="R38" s="273" t="n">
        <v>103.8</v>
      </c>
      <c r="S38" s="273" t="n">
        <v>100.8</v>
      </c>
      <c r="T38" s="274" t="n">
        <v>101.9</v>
      </c>
      <c r="U38" s="243" t="n"/>
    </row>
    <row r="39" ht="15" customHeight="1" s="226">
      <c r="A39" s="260" t="inlineStr">
        <is>
          <t>Республика Калмыкия</t>
        </is>
      </c>
      <c r="B39" s="261" t="n">
        <v>90.40000000000001</v>
      </c>
      <c r="C39" s="262" t="n">
        <v>95.90000000000001</v>
      </c>
      <c r="D39" s="262" t="n">
        <v>178.7</v>
      </c>
      <c r="E39" s="262" t="n">
        <v>98.40000000000001</v>
      </c>
      <c r="F39" s="262" t="n">
        <v>95.40000000000001</v>
      </c>
      <c r="G39" s="262" t="n">
        <v>77.2</v>
      </c>
      <c r="H39" s="262" t="n">
        <v>104.2</v>
      </c>
      <c r="I39" s="262" t="n">
        <v>106.8</v>
      </c>
      <c r="J39" s="262" t="n">
        <v>103.1</v>
      </c>
      <c r="K39" s="262" t="n">
        <v>103.4</v>
      </c>
      <c r="L39" s="262" t="n">
        <v>102.2</v>
      </c>
      <c r="M39" s="262" t="n">
        <v>101.4</v>
      </c>
      <c r="N39" s="262" t="n">
        <v>96.40000000000001</v>
      </c>
      <c r="O39" s="262" t="n">
        <v>102.2</v>
      </c>
      <c r="P39" s="262" t="n">
        <v>100</v>
      </c>
      <c r="Q39" s="262" t="n">
        <v>102.6</v>
      </c>
      <c r="R39" s="262" t="n">
        <v>104.7</v>
      </c>
      <c r="S39" s="262" t="n">
        <v>95.90000000000001</v>
      </c>
      <c r="T39" s="263" t="n">
        <v>98.09999999999999</v>
      </c>
      <c r="U39" s="243" t="n"/>
    </row>
    <row r="40" ht="15" customHeight="1" s="226">
      <c r="A40" s="260" t="inlineStr">
        <is>
          <t>Республика Крым</t>
        </is>
      </c>
      <c r="B40" s="261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/>
      <c r="S40" s="262" t="n">
        <v>108.5</v>
      </c>
      <c r="T40" s="263" t="n">
        <v>106</v>
      </c>
      <c r="U40" s="243" t="n"/>
    </row>
    <row r="41" ht="15" customHeight="1" s="226">
      <c r="A41" s="260" t="inlineStr">
        <is>
          <t>Краснодарский край</t>
        </is>
      </c>
      <c r="B41" s="261" t="n">
        <v>94.8</v>
      </c>
      <c r="C41" s="262" t="n">
        <v>116.5</v>
      </c>
      <c r="D41" s="262" t="n">
        <v>110.6</v>
      </c>
      <c r="E41" s="262" t="n">
        <v>98.09999999999999</v>
      </c>
      <c r="F41" s="262" t="n">
        <v>108.5</v>
      </c>
      <c r="G41" s="262" t="n">
        <v>102</v>
      </c>
      <c r="H41" s="262" t="n">
        <v>109.3</v>
      </c>
      <c r="I41" s="262" t="n">
        <v>106.1</v>
      </c>
      <c r="J41" s="262" t="n">
        <v>110.7</v>
      </c>
      <c r="K41" s="262" t="n">
        <v>110.3</v>
      </c>
      <c r="L41" s="262" t="n">
        <v>108.8</v>
      </c>
      <c r="M41" s="262" t="n">
        <v>98.2</v>
      </c>
      <c r="N41" s="262" t="n">
        <v>106.2</v>
      </c>
      <c r="O41" s="262" t="n">
        <v>107.6</v>
      </c>
      <c r="P41" s="262" t="n">
        <v>103.7</v>
      </c>
      <c r="Q41" s="262" t="n">
        <v>103.9</v>
      </c>
      <c r="R41" s="262" t="n">
        <v>100.7</v>
      </c>
      <c r="S41" s="262" t="n">
        <v>98.40000000000001</v>
      </c>
      <c r="T41" s="263" t="n">
        <v>100.1</v>
      </c>
      <c r="U41" s="243" t="n"/>
    </row>
    <row r="42" ht="15" customHeight="1" s="226">
      <c r="A42" s="260" t="inlineStr">
        <is>
          <t>Астраханская область</t>
        </is>
      </c>
      <c r="B42" s="261" t="n">
        <v>101</v>
      </c>
      <c r="C42" s="262" t="n">
        <v>111.7</v>
      </c>
      <c r="D42" s="262" t="n">
        <v>114.3</v>
      </c>
      <c r="E42" s="262" t="n">
        <v>108.6</v>
      </c>
      <c r="F42" s="262" t="n">
        <v>104.7</v>
      </c>
      <c r="G42" s="262" t="n">
        <v>101.9</v>
      </c>
      <c r="H42" s="262" t="n">
        <v>102.8</v>
      </c>
      <c r="I42" s="262" t="n">
        <v>105.4</v>
      </c>
      <c r="J42" s="262" t="n">
        <v>107.8</v>
      </c>
      <c r="K42" s="262" t="n">
        <v>108.5</v>
      </c>
      <c r="L42" s="262" t="n">
        <v>108</v>
      </c>
      <c r="M42" s="262" t="n">
        <v>89.40000000000001</v>
      </c>
      <c r="N42" s="262" t="n">
        <v>102.1</v>
      </c>
      <c r="O42" s="262" t="n">
        <v>107.8</v>
      </c>
      <c r="P42" s="262" t="n">
        <v>111.3</v>
      </c>
      <c r="Q42" s="262" t="n">
        <v>116.2</v>
      </c>
      <c r="R42" s="262" t="n">
        <v>100.5</v>
      </c>
      <c r="S42" s="262" t="n">
        <v>99.09999999999999</v>
      </c>
      <c r="T42" s="263" t="n">
        <v>102.8</v>
      </c>
      <c r="U42" s="243" t="n"/>
    </row>
    <row r="43" ht="15" customHeight="1" s="226">
      <c r="A43" s="260" t="inlineStr">
        <is>
          <t>Волгоградская область</t>
        </is>
      </c>
      <c r="B43" s="261" t="n">
        <v>87.7</v>
      </c>
      <c r="C43" s="262" t="n">
        <v>101.1</v>
      </c>
      <c r="D43" s="262" t="n">
        <v>111.8</v>
      </c>
      <c r="E43" s="262" t="n">
        <v>110</v>
      </c>
      <c r="F43" s="262" t="n">
        <v>104.1</v>
      </c>
      <c r="G43" s="262" t="n">
        <v>106.8</v>
      </c>
      <c r="H43" s="262" t="n">
        <v>109.4</v>
      </c>
      <c r="I43" s="262" t="n">
        <v>105.2</v>
      </c>
      <c r="J43" s="262" t="n">
        <v>101.7</v>
      </c>
      <c r="K43" s="262" t="n">
        <v>107</v>
      </c>
      <c r="L43" s="262" t="n">
        <v>105.7</v>
      </c>
      <c r="M43" s="262" t="n">
        <v>87</v>
      </c>
      <c r="N43" s="262" t="n">
        <v>103.7</v>
      </c>
      <c r="O43" s="262" t="n">
        <v>103.3</v>
      </c>
      <c r="P43" s="262" t="n">
        <v>102.8</v>
      </c>
      <c r="Q43" s="262" t="n">
        <v>101.4</v>
      </c>
      <c r="R43" s="262" t="n">
        <v>104.7</v>
      </c>
      <c r="S43" s="262" t="n">
        <v>93.8</v>
      </c>
      <c r="T43" s="263" t="n">
        <v>98.59999999999999</v>
      </c>
      <c r="U43" s="243" t="n"/>
    </row>
    <row r="44" ht="15" customHeight="1" s="226">
      <c r="A44" s="260" t="inlineStr">
        <is>
          <t>Ростовская область</t>
        </is>
      </c>
      <c r="B44" s="261" t="n">
        <v>96.8</v>
      </c>
      <c r="C44" s="262" t="n">
        <v>109.2</v>
      </c>
      <c r="D44" s="262" t="n">
        <v>111</v>
      </c>
      <c r="E44" s="262" t="n">
        <v>116</v>
      </c>
      <c r="F44" s="262" t="n">
        <v>104.2</v>
      </c>
      <c r="G44" s="262" t="n">
        <v>106.4</v>
      </c>
      <c r="H44" s="262" t="n">
        <v>113.2</v>
      </c>
      <c r="I44" s="262" t="n">
        <v>106.9</v>
      </c>
      <c r="J44" s="262" t="n">
        <v>112.2</v>
      </c>
      <c r="K44" s="262" t="n">
        <v>112.4</v>
      </c>
      <c r="L44" s="262" t="n">
        <v>110.2</v>
      </c>
      <c r="M44" s="262" t="n">
        <v>89.2</v>
      </c>
      <c r="N44" s="262" t="n">
        <v>106.4</v>
      </c>
      <c r="O44" s="262" t="n">
        <v>106.8</v>
      </c>
      <c r="P44" s="262" t="n">
        <v>102.5</v>
      </c>
      <c r="Q44" s="262" t="n">
        <v>102.9</v>
      </c>
      <c r="R44" s="262" t="n">
        <v>103.2</v>
      </c>
      <c r="S44" s="262" t="n">
        <v>104</v>
      </c>
      <c r="T44" s="263" t="n">
        <v>103.2</v>
      </c>
      <c r="U44" s="243" t="n"/>
    </row>
    <row r="45" ht="15" customHeight="1" s="226">
      <c r="A45" s="260" t="inlineStr">
        <is>
          <t>г.Севастополь</t>
        </is>
      </c>
      <c r="B45" s="261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  <c r="S45" s="262" t="n">
        <v>104.5</v>
      </c>
      <c r="T45" s="263" t="n">
        <v>107.7</v>
      </c>
      <c r="U45" s="243" t="n"/>
    </row>
    <row r="46" ht="15" customHeight="1" s="226">
      <c r="A46" s="253" t="inlineStr">
        <is>
          <t>Северо-Кавказский федеральный округ</t>
        </is>
      </c>
      <c r="B46" s="254" t="n">
        <v>95.09999999999999</v>
      </c>
      <c r="C46" s="254" t="n">
        <v>104.3</v>
      </c>
      <c r="D46" s="254" t="n">
        <v>110.9</v>
      </c>
      <c r="E46" s="254" t="n">
        <v>112.9</v>
      </c>
      <c r="F46" s="254" t="n">
        <v>107.3</v>
      </c>
      <c r="G46" s="275" t="n">
        <v>106.9</v>
      </c>
      <c r="H46" s="275" t="n">
        <v>112</v>
      </c>
      <c r="I46" s="275" t="n">
        <v>108.6</v>
      </c>
      <c r="J46" s="275" t="n">
        <v>110.3</v>
      </c>
      <c r="K46" s="275" t="n">
        <v>110.1</v>
      </c>
      <c r="L46" s="275" t="n">
        <v>108.4</v>
      </c>
      <c r="M46" s="275" t="n">
        <v>101.2</v>
      </c>
      <c r="N46" s="275" t="n">
        <v>103.5</v>
      </c>
      <c r="O46" s="275" t="n">
        <v>106.5</v>
      </c>
      <c r="P46" s="275" t="n">
        <v>103.4</v>
      </c>
      <c r="Q46" s="275" t="n">
        <v>103.6</v>
      </c>
      <c r="R46" s="275" t="n">
        <v>104.6</v>
      </c>
      <c r="S46" s="254" t="n">
        <v>99.8</v>
      </c>
      <c r="T46" s="254" t="n">
        <v>100.9</v>
      </c>
      <c r="U46" s="243" t="n"/>
    </row>
    <row r="47" ht="15" customHeight="1" s="226">
      <c r="A47" s="260" t="inlineStr">
        <is>
          <t>Республика Дагестан</t>
        </is>
      </c>
      <c r="B47" s="261" t="n">
        <v>91.7</v>
      </c>
      <c r="C47" s="262" t="n">
        <v>101.8</v>
      </c>
      <c r="D47" s="262" t="n">
        <v>114.9</v>
      </c>
      <c r="E47" s="262" t="n">
        <v>119</v>
      </c>
      <c r="F47" s="262" t="n">
        <v>111.1</v>
      </c>
      <c r="G47" s="262" t="n">
        <v>113.9</v>
      </c>
      <c r="H47" s="262" t="n">
        <v>115.9</v>
      </c>
      <c r="I47" s="262" t="n">
        <v>108.8</v>
      </c>
      <c r="J47" s="262" t="n">
        <v>115.2</v>
      </c>
      <c r="K47" s="262" t="n">
        <v>117</v>
      </c>
      <c r="L47" s="262" t="n">
        <v>112.7</v>
      </c>
      <c r="M47" s="262" t="n">
        <v>108.9</v>
      </c>
      <c r="N47" s="262" t="n">
        <v>103.6</v>
      </c>
      <c r="O47" s="262" t="n">
        <v>108</v>
      </c>
      <c r="P47" s="262" t="n">
        <v>104.6</v>
      </c>
      <c r="Q47" s="262" t="n">
        <v>106.3</v>
      </c>
      <c r="R47" s="262" t="n">
        <v>106.3</v>
      </c>
      <c r="S47" s="262" t="n">
        <v>98.59999999999999</v>
      </c>
      <c r="T47" s="263" t="n">
        <v>101.4</v>
      </c>
      <c r="U47" s="243" t="n"/>
    </row>
    <row r="48" ht="15" customHeight="1" s="226">
      <c r="A48" s="260" t="inlineStr">
        <is>
          <t>Республика Ингушетия</t>
        </is>
      </c>
      <c r="B48" s="261" t="n">
        <v>78.5</v>
      </c>
      <c r="C48" s="262" t="n">
        <v>93.90000000000001</v>
      </c>
      <c r="D48" s="262" t="n">
        <v>125.1</v>
      </c>
      <c r="E48" s="262" t="n">
        <v>118.3</v>
      </c>
      <c r="F48" s="262" t="n">
        <v>79.8</v>
      </c>
      <c r="G48" s="262" t="n">
        <v>105.5</v>
      </c>
      <c r="H48" s="262" t="n">
        <v>106</v>
      </c>
      <c r="I48" s="262" t="n">
        <v>102</v>
      </c>
      <c r="J48" s="262" t="n">
        <v>99.90000000000001</v>
      </c>
      <c r="K48" s="262" t="n">
        <v>126.3</v>
      </c>
      <c r="L48" s="262" t="n">
        <v>98.40000000000001</v>
      </c>
      <c r="M48" s="262" t="n">
        <v>87.90000000000001</v>
      </c>
      <c r="N48" s="262" t="n">
        <v>101.9</v>
      </c>
      <c r="O48" s="262" t="n">
        <v>109.4</v>
      </c>
      <c r="P48" s="262" t="n">
        <v>115.3</v>
      </c>
      <c r="Q48" s="262" t="n">
        <v>114.2</v>
      </c>
      <c r="R48" s="262" t="n">
        <v>105.5</v>
      </c>
      <c r="S48" s="262" t="n">
        <v>97.59999999999999</v>
      </c>
      <c r="T48" s="263" t="n">
        <v>97.2</v>
      </c>
      <c r="U48" s="243" t="n"/>
    </row>
    <row r="49" ht="15" customHeight="1" s="226">
      <c r="A49" s="260" t="inlineStr">
        <is>
          <t>Кабардино-Балкарская Республика</t>
        </is>
      </c>
      <c r="B49" s="261" t="n">
        <v>100.6</v>
      </c>
      <c r="C49" s="262" t="n">
        <v>109.1</v>
      </c>
      <c r="D49" s="262" t="n">
        <v>118.2</v>
      </c>
      <c r="E49" s="262" t="n">
        <v>115</v>
      </c>
      <c r="F49" s="262" t="n">
        <v>105.6</v>
      </c>
      <c r="G49" s="262" t="n">
        <v>104.5</v>
      </c>
      <c r="H49" s="262" t="n">
        <v>106.2</v>
      </c>
      <c r="I49" s="262" t="n">
        <v>107.8</v>
      </c>
      <c r="J49" s="262" t="n">
        <v>104.8</v>
      </c>
      <c r="K49" s="262" t="n">
        <v>104.8</v>
      </c>
      <c r="L49" s="262" t="n">
        <v>107.9</v>
      </c>
      <c r="M49" s="262" t="n">
        <v>104.2</v>
      </c>
      <c r="N49" s="262" t="n">
        <v>105.5</v>
      </c>
      <c r="O49" s="262" t="n">
        <v>104.1</v>
      </c>
      <c r="P49" s="262" t="n">
        <v>105.8</v>
      </c>
      <c r="Q49" s="262" t="n">
        <v>98.8</v>
      </c>
      <c r="R49" s="262" t="n">
        <v>101.6</v>
      </c>
      <c r="S49" s="262" t="n">
        <v>101.9</v>
      </c>
      <c r="T49" s="263" t="n">
        <v>102.5</v>
      </c>
      <c r="U49" s="243" t="n"/>
    </row>
    <row r="50" ht="15" customHeight="1" s="226">
      <c r="A50" s="260" t="inlineStr">
        <is>
          <t>Карачаево-Черкесская Республика</t>
        </is>
      </c>
      <c r="B50" s="261" t="n">
        <v>100.4</v>
      </c>
      <c r="C50" s="262" t="n">
        <v>97.2</v>
      </c>
      <c r="D50" s="262" t="n">
        <v>112.4</v>
      </c>
      <c r="E50" s="262" t="n">
        <v>113.2</v>
      </c>
      <c r="F50" s="262" t="n">
        <v>107.4</v>
      </c>
      <c r="G50" s="262" t="n">
        <v>101.8</v>
      </c>
      <c r="H50" s="262" t="n">
        <v>107.5</v>
      </c>
      <c r="I50" s="262" t="n">
        <v>107.2</v>
      </c>
      <c r="J50" s="262" t="n">
        <v>113.5</v>
      </c>
      <c r="K50" s="262" t="n">
        <v>103.7</v>
      </c>
      <c r="L50" s="262" t="n">
        <v>107.8</v>
      </c>
      <c r="M50" s="262" t="n">
        <v>101</v>
      </c>
      <c r="N50" s="262" t="n">
        <v>101.9</v>
      </c>
      <c r="O50" s="262" t="n">
        <v>105.2</v>
      </c>
      <c r="P50" s="262" t="n">
        <v>104.7</v>
      </c>
      <c r="Q50" s="262" t="n">
        <v>99.09999999999999</v>
      </c>
      <c r="R50" s="262" t="n">
        <v>98</v>
      </c>
      <c r="S50" s="262" t="n">
        <v>95.09999999999999</v>
      </c>
      <c r="T50" s="263" t="n">
        <v>104.3</v>
      </c>
      <c r="U50" s="243" t="n"/>
    </row>
    <row r="51" ht="15" customHeight="1" s="226">
      <c r="A51" s="260" t="inlineStr">
        <is>
          <t>Республика Северная Осетия-Алания</t>
        </is>
      </c>
      <c r="B51" s="261" t="n">
        <v>102.2</v>
      </c>
      <c r="C51" s="262" t="n">
        <v>112</v>
      </c>
      <c r="D51" s="262" t="n">
        <v>113.6</v>
      </c>
      <c r="E51" s="262" t="n">
        <v>109.9</v>
      </c>
      <c r="F51" s="262" t="n">
        <v>112.8</v>
      </c>
      <c r="G51" s="262" t="n">
        <v>103.1</v>
      </c>
      <c r="H51" s="262" t="n">
        <v>105.8</v>
      </c>
      <c r="I51" s="262" t="n">
        <v>105.5</v>
      </c>
      <c r="J51" s="262" t="n">
        <v>112.4</v>
      </c>
      <c r="K51" s="262" t="n">
        <v>106.1</v>
      </c>
      <c r="L51" s="262" t="n">
        <v>100.4</v>
      </c>
      <c r="M51" s="262" t="n">
        <v>102.5</v>
      </c>
      <c r="N51" s="262" t="n">
        <v>106.2</v>
      </c>
      <c r="O51" s="262" t="n">
        <v>102.9</v>
      </c>
      <c r="P51" s="262" t="n">
        <v>101.6</v>
      </c>
      <c r="Q51" s="262" t="n">
        <v>103.6</v>
      </c>
      <c r="R51" s="262" t="n">
        <v>101.5</v>
      </c>
      <c r="S51" s="262" t="n">
        <v>97.40000000000001</v>
      </c>
      <c r="T51" s="263" t="n">
        <v>95.59999999999999</v>
      </c>
      <c r="U51" s="243" t="n"/>
    </row>
    <row r="52" ht="15" customHeight="1" s="226">
      <c r="A52" s="260" t="inlineStr">
        <is>
          <t>Чеченская Республика</t>
        </is>
      </c>
      <c r="B52" s="261" t="inlineStr">
        <is>
          <t>…</t>
        </is>
      </c>
      <c r="C52" s="262" t="inlineStr">
        <is>
          <t>…</t>
        </is>
      </c>
      <c r="D52" s="262" t="inlineStr">
        <is>
          <t>…</t>
        </is>
      </c>
      <c r="E52" s="262" t="inlineStr">
        <is>
          <t>…</t>
        </is>
      </c>
      <c r="F52" s="262" t="inlineStr">
        <is>
          <t>…</t>
        </is>
      </c>
      <c r="G52" s="262" t="inlineStr">
        <is>
          <t>…</t>
        </is>
      </c>
      <c r="H52" s="262" t="inlineStr">
        <is>
          <t>…</t>
        </is>
      </c>
      <c r="I52" s="262" t="inlineStr">
        <is>
          <t>…</t>
        </is>
      </c>
      <c r="J52" s="262" t="n">
        <v>111.9</v>
      </c>
      <c r="K52" s="262" t="n">
        <v>126.4</v>
      </c>
      <c r="L52" s="262" t="n">
        <v>110.5</v>
      </c>
      <c r="M52" s="262" t="n">
        <v>90.3</v>
      </c>
      <c r="N52" s="262" t="n">
        <v>96.2</v>
      </c>
      <c r="O52" s="262" t="n">
        <v>106.8</v>
      </c>
      <c r="P52" s="262" t="n">
        <v>107.1</v>
      </c>
      <c r="Q52" s="262" t="n">
        <v>100.2</v>
      </c>
      <c r="R52" s="262" t="n">
        <v>108.5</v>
      </c>
      <c r="S52" s="262" t="n">
        <v>102.9</v>
      </c>
      <c r="T52" s="263" t="n">
        <v>104.4</v>
      </c>
      <c r="U52" s="243" t="n"/>
    </row>
    <row r="53" ht="15" customFormat="1" customHeight="1" s="318">
      <c r="A53" s="260" t="inlineStr">
        <is>
          <t>Ставропольский край</t>
        </is>
      </c>
      <c r="B53" s="261" t="n">
        <v>94.5</v>
      </c>
      <c r="C53" s="262" t="n">
        <v>104.2</v>
      </c>
      <c r="D53" s="262" t="n">
        <v>106.5</v>
      </c>
      <c r="E53" s="262" t="n">
        <v>110.1</v>
      </c>
      <c r="F53" s="262" t="n">
        <v>106.5</v>
      </c>
      <c r="G53" s="262" t="n">
        <v>105.4</v>
      </c>
      <c r="H53" s="262" t="n">
        <v>113.2</v>
      </c>
      <c r="I53" s="262" t="n">
        <v>108.3</v>
      </c>
      <c r="J53" s="262" t="n">
        <v>108.2</v>
      </c>
      <c r="K53" s="262" t="n">
        <v>104.7</v>
      </c>
      <c r="L53" s="262" t="n">
        <v>107.7</v>
      </c>
      <c r="M53" s="262" t="n">
        <v>97.7</v>
      </c>
      <c r="N53" s="262" t="n">
        <v>104.5</v>
      </c>
      <c r="O53" s="262" t="n">
        <v>106.7</v>
      </c>
      <c r="P53" s="262" t="n">
        <v>100.6</v>
      </c>
      <c r="Q53" s="262" t="n">
        <v>102.8</v>
      </c>
      <c r="R53" s="262" t="n">
        <v>104.3</v>
      </c>
      <c r="S53" s="262" t="n">
        <v>100.9</v>
      </c>
      <c r="T53" s="263" t="n">
        <v>100.4</v>
      </c>
      <c r="U53" s="243" t="n"/>
    </row>
    <row r="54" ht="15" customHeight="1" s="226">
      <c r="A54" s="253" t="inlineStr">
        <is>
          <t>Приволжский федеральный округ</t>
        </is>
      </c>
      <c r="B54" s="254" t="n">
        <v>91.90000000000001</v>
      </c>
      <c r="C54" s="254" t="n">
        <v>105.2</v>
      </c>
      <c r="D54" s="254" t="n">
        <v>108.4</v>
      </c>
      <c r="E54" s="254" t="n">
        <v>106.9</v>
      </c>
      <c r="F54" s="254" t="n">
        <v>102.6</v>
      </c>
      <c r="G54" s="275" t="n">
        <v>106.9</v>
      </c>
      <c r="H54" s="275" t="n">
        <v>105.8</v>
      </c>
      <c r="I54" s="275" t="n">
        <v>104.5</v>
      </c>
      <c r="J54" s="275" t="n">
        <v>107.9</v>
      </c>
      <c r="K54" s="275" t="n">
        <v>109.1</v>
      </c>
      <c r="L54" s="275" t="n">
        <v>105.2</v>
      </c>
      <c r="M54" s="275" t="n">
        <v>92.5</v>
      </c>
      <c r="N54" s="275" t="n">
        <v>105.5</v>
      </c>
      <c r="O54" s="275" t="n">
        <v>106.8</v>
      </c>
      <c r="P54" s="275" t="n">
        <v>104.1</v>
      </c>
      <c r="Q54" s="275" t="n">
        <v>102.4</v>
      </c>
      <c r="R54" s="275" t="n">
        <v>102</v>
      </c>
      <c r="S54" s="254" t="n">
        <v>98.7</v>
      </c>
      <c r="T54" s="254" t="n">
        <v>100</v>
      </c>
      <c r="U54" s="243" t="n"/>
    </row>
    <row r="55" ht="15" customHeight="1" s="226">
      <c r="A55" s="322" t="inlineStr">
        <is>
          <t>Республика Башкортостан</t>
        </is>
      </c>
      <c r="B55" s="261" t="n">
        <v>91.2</v>
      </c>
      <c r="C55" s="262" t="n">
        <v>104.5</v>
      </c>
      <c r="D55" s="262" t="n">
        <v>105.5</v>
      </c>
      <c r="E55" s="262" t="n">
        <v>108.3</v>
      </c>
      <c r="F55" s="262" t="n">
        <v>102.8</v>
      </c>
      <c r="G55" s="262" t="n">
        <v>109</v>
      </c>
      <c r="H55" s="262" t="n">
        <v>106.4</v>
      </c>
      <c r="I55" s="262" t="n">
        <v>106.9</v>
      </c>
      <c r="J55" s="262" t="n">
        <v>108.5</v>
      </c>
      <c r="K55" s="262" t="n">
        <v>109.5</v>
      </c>
      <c r="L55" s="262" t="n">
        <v>107.7</v>
      </c>
      <c r="M55" s="262" t="n">
        <v>99</v>
      </c>
      <c r="N55" s="262" t="n">
        <v>105.2</v>
      </c>
      <c r="O55" s="262" t="n">
        <v>108.2</v>
      </c>
      <c r="P55" s="262" t="n">
        <v>104.4</v>
      </c>
      <c r="Q55" s="262" t="n">
        <v>102.6</v>
      </c>
      <c r="R55" s="262" t="n">
        <v>101.9</v>
      </c>
      <c r="S55" s="262" t="n">
        <v>98.3</v>
      </c>
      <c r="T55" s="263" t="n">
        <v>100.5</v>
      </c>
      <c r="U55" s="243" t="n"/>
    </row>
    <row r="56" ht="15" customHeight="1" s="226">
      <c r="A56" s="322" t="inlineStr">
        <is>
          <t>Республика Марий Эл</t>
        </is>
      </c>
      <c r="B56" s="261" t="n">
        <v>95.40000000000001</v>
      </c>
      <c r="C56" s="262" t="n">
        <v>100.4</v>
      </c>
      <c r="D56" s="262" t="n">
        <v>97.2</v>
      </c>
      <c r="E56" s="262" t="n">
        <v>104.4</v>
      </c>
      <c r="F56" s="262" t="n">
        <v>99</v>
      </c>
      <c r="G56" s="262" t="n">
        <v>109.2</v>
      </c>
      <c r="H56" s="262" t="n">
        <v>108.4</v>
      </c>
      <c r="I56" s="262" t="n">
        <v>101.5</v>
      </c>
      <c r="J56" s="262" t="n">
        <v>112.3</v>
      </c>
      <c r="K56" s="262" t="n">
        <v>107.4</v>
      </c>
      <c r="L56" s="262" t="n">
        <v>105.4</v>
      </c>
      <c r="M56" s="262" t="n">
        <v>100</v>
      </c>
      <c r="N56" s="262" t="n">
        <v>105.6</v>
      </c>
      <c r="O56" s="262" t="n">
        <v>106</v>
      </c>
      <c r="P56" s="262" t="n">
        <v>109.8</v>
      </c>
      <c r="Q56" s="262" t="n">
        <v>101.9</v>
      </c>
      <c r="R56" s="262" t="n">
        <v>106</v>
      </c>
      <c r="S56" s="262" t="n">
        <v>103.2</v>
      </c>
      <c r="T56" s="263" t="n">
        <v>94.7</v>
      </c>
      <c r="U56" s="243" t="n"/>
    </row>
    <row r="57" ht="15" customHeight="1" s="226">
      <c r="A57" s="322" t="inlineStr">
        <is>
          <t>Республика Мордовия</t>
        </is>
      </c>
      <c r="B57" s="261" t="n">
        <v>95.3</v>
      </c>
      <c r="C57" s="262" t="n">
        <v>101.4</v>
      </c>
      <c r="D57" s="262" t="n">
        <v>109.6</v>
      </c>
      <c r="E57" s="262" t="n">
        <v>106.6</v>
      </c>
      <c r="F57" s="262" t="n">
        <v>108.8</v>
      </c>
      <c r="G57" s="262" t="n">
        <v>113.1</v>
      </c>
      <c r="H57" s="262" t="n">
        <v>101.1</v>
      </c>
      <c r="I57" s="262" t="n">
        <v>106</v>
      </c>
      <c r="J57" s="262" t="n">
        <v>112.2</v>
      </c>
      <c r="K57" s="262" t="n">
        <v>111</v>
      </c>
      <c r="L57" s="262" t="n">
        <v>104.2</v>
      </c>
      <c r="M57" s="262" t="n">
        <v>93</v>
      </c>
      <c r="N57" s="262" t="n">
        <v>104.8</v>
      </c>
      <c r="O57" s="262" t="n">
        <v>109.4</v>
      </c>
      <c r="P57" s="262" t="n">
        <v>102.1</v>
      </c>
      <c r="Q57" s="262" t="n">
        <v>102.5</v>
      </c>
      <c r="R57" s="262" t="n">
        <v>108.1</v>
      </c>
      <c r="S57" s="262" t="n">
        <v>101.1</v>
      </c>
      <c r="T57" s="263" t="n">
        <v>103.6</v>
      </c>
      <c r="U57" s="243" t="n"/>
    </row>
    <row r="58" ht="15" customHeight="1" s="226">
      <c r="A58" s="322" t="inlineStr">
        <is>
          <t>Республика Татарстан</t>
        </is>
      </c>
      <c r="B58" s="261" t="n">
        <v>91.40000000000001</v>
      </c>
      <c r="C58" s="262" t="n">
        <v>107.7</v>
      </c>
      <c r="D58" s="262" t="n">
        <v>107</v>
      </c>
      <c r="E58" s="262" t="n">
        <v>111</v>
      </c>
      <c r="F58" s="262" t="n">
        <v>103.6</v>
      </c>
      <c r="G58" s="262" t="n">
        <v>107.4</v>
      </c>
      <c r="H58" s="262" t="n">
        <v>105.3</v>
      </c>
      <c r="I58" s="262" t="n">
        <v>105.5</v>
      </c>
      <c r="J58" s="262" t="n">
        <v>108.5</v>
      </c>
      <c r="K58" s="262" t="n">
        <v>110.7</v>
      </c>
      <c r="L58" s="262" t="n">
        <v>107.7</v>
      </c>
      <c r="M58" s="262" t="n">
        <v>96.59999999999999</v>
      </c>
      <c r="N58" s="262" t="n">
        <v>104.3</v>
      </c>
      <c r="O58" s="262" t="n">
        <v>105.7</v>
      </c>
      <c r="P58" s="262" t="n">
        <v>105.5</v>
      </c>
      <c r="Q58" s="262" t="n">
        <v>102.4</v>
      </c>
      <c r="R58" s="262" t="n">
        <v>102.1</v>
      </c>
      <c r="S58" s="262" t="n">
        <v>100</v>
      </c>
      <c r="T58" s="263" t="n">
        <v>101</v>
      </c>
      <c r="U58" s="243" t="n"/>
    </row>
    <row r="59" ht="15" customHeight="1" s="226">
      <c r="A59" s="322" t="inlineStr">
        <is>
          <t>Удмуртская Республика</t>
        </is>
      </c>
      <c r="B59" s="261" t="n">
        <v>93.5</v>
      </c>
      <c r="C59" s="262" t="n">
        <v>101.3</v>
      </c>
      <c r="D59" s="262" t="n">
        <v>113.2</v>
      </c>
      <c r="E59" s="262" t="n">
        <v>105.6</v>
      </c>
      <c r="F59" s="262" t="n">
        <v>99.09999999999999</v>
      </c>
      <c r="G59" s="262" t="n">
        <v>107.3</v>
      </c>
      <c r="H59" s="262" t="n">
        <v>101.6</v>
      </c>
      <c r="I59" s="262" t="n">
        <v>104.4</v>
      </c>
      <c r="J59" s="262" t="n">
        <v>104.2</v>
      </c>
      <c r="K59" s="262" t="n">
        <v>104</v>
      </c>
      <c r="L59" s="262" t="n">
        <v>102.7</v>
      </c>
      <c r="M59" s="262" t="n">
        <v>94</v>
      </c>
      <c r="N59" s="262" t="n">
        <v>104.7</v>
      </c>
      <c r="O59" s="262" t="n">
        <v>104.8</v>
      </c>
      <c r="P59" s="262" t="n">
        <v>103.3</v>
      </c>
      <c r="Q59" s="262" t="n">
        <v>102.7</v>
      </c>
      <c r="R59" s="262" t="n">
        <v>101</v>
      </c>
      <c r="S59" s="262" t="n">
        <v>99.8</v>
      </c>
      <c r="T59" s="263" t="n">
        <v>101.7</v>
      </c>
      <c r="U59" s="243" t="n"/>
    </row>
    <row r="60" ht="15" customHeight="1" s="226">
      <c r="A60" s="322" t="inlineStr">
        <is>
          <t>Чувашская Республика</t>
        </is>
      </c>
      <c r="B60" s="261" t="n">
        <v>90.90000000000001</v>
      </c>
      <c r="C60" s="262" t="n">
        <v>100.6</v>
      </c>
      <c r="D60" s="262" t="n">
        <v>106.4</v>
      </c>
      <c r="E60" s="262" t="n">
        <v>106.4</v>
      </c>
      <c r="F60" s="262" t="n">
        <v>102.6</v>
      </c>
      <c r="G60" s="262" t="n">
        <v>106.6</v>
      </c>
      <c r="H60" s="262" t="n">
        <v>108.1</v>
      </c>
      <c r="I60" s="262" t="n">
        <v>103.5</v>
      </c>
      <c r="J60" s="262" t="n">
        <v>110.7</v>
      </c>
      <c r="K60" s="262" t="n">
        <v>111.4</v>
      </c>
      <c r="L60" s="262" t="n">
        <v>104.8</v>
      </c>
      <c r="M60" s="262" t="n">
        <v>82.3</v>
      </c>
      <c r="N60" s="262" t="n">
        <v>103.3</v>
      </c>
      <c r="O60" s="262" t="n">
        <v>106.7</v>
      </c>
      <c r="P60" s="262" t="n">
        <v>106.2</v>
      </c>
      <c r="Q60" s="262" t="n">
        <v>98.09999999999999</v>
      </c>
      <c r="R60" s="262" t="n">
        <v>100.2</v>
      </c>
      <c r="S60" s="262" t="n">
        <v>97.3</v>
      </c>
      <c r="T60" s="263" t="n">
        <v>100.6</v>
      </c>
      <c r="U60" s="243" t="n"/>
    </row>
    <row r="61" ht="15" customHeight="1" s="226">
      <c r="A61" s="260" t="inlineStr">
        <is>
          <t>Пермский край</t>
        </is>
      </c>
      <c r="B61" s="261" t="n">
        <v>93.59999999999999</v>
      </c>
      <c r="C61" s="262" t="n">
        <v>107.3</v>
      </c>
      <c r="D61" s="262" t="n">
        <v>113.1</v>
      </c>
      <c r="E61" s="262" t="n">
        <v>108.1</v>
      </c>
      <c r="F61" s="262" t="n">
        <v>95.09999999999999</v>
      </c>
      <c r="G61" s="262" t="n">
        <v>104.9</v>
      </c>
      <c r="H61" s="262" t="n">
        <v>102.3</v>
      </c>
      <c r="I61" s="262" t="n">
        <v>103.5</v>
      </c>
      <c r="J61" s="262" t="n">
        <v>109.3</v>
      </c>
      <c r="K61" s="262" t="n">
        <v>108.1</v>
      </c>
      <c r="L61" s="262" t="n">
        <v>104.9</v>
      </c>
      <c r="M61" s="262" t="n">
        <v>91.59999999999999</v>
      </c>
      <c r="N61" s="262" t="n">
        <v>107.4</v>
      </c>
      <c r="O61" s="262" t="n">
        <v>108.3</v>
      </c>
      <c r="P61" s="262" t="n">
        <v>100.6</v>
      </c>
      <c r="Q61" s="262" t="n">
        <v>100.8</v>
      </c>
      <c r="R61" s="262" t="n">
        <v>103.3</v>
      </c>
      <c r="S61" s="262" t="n">
        <v>99.59999999999999</v>
      </c>
      <c r="T61" s="263" t="n">
        <v>96.7</v>
      </c>
      <c r="U61" s="243" t="n"/>
    </row>
    <row r="62" ht="15" customHeight="1" s="226">
      <c r="A62" s="260" t="inlineStr">
        <is>
          <t>Кировская область</t>
        </is>
      </c>
      <c r="B62" s="261" t="n">
        <v>94.2</v>
      </c>
      <c r="C62" s="262" t="n">
        <v>104.5</v>
      </c>
      <c r="D62" s="262" t="n">
        <v>107.2</v>
      </c>
      <c r="E62" s="262" t="n">
        <v>99.2</v>
      </c>
      <c r="F62" s="262" t="n">
        <v>99.40000000000001</v>
      </c>
      <c r="G62" s="262" t="n">
        <v>102.5</v>
      </c>
      <c r="H62" s="262" t="n">
        <v>105.2</v>
      </c>
      <c r="I62" s="262" t="n">
        <v>100.9</v>
      </c>
      <c r="J62" s="262" t="n">
        <v>105.7</v>
      </c>
      <c r="K62" s="262" t="n">
        <v>104.8</v>
      </c>
      <c r="L62" s="262" t="n">
        <v>103.8</v>
      </c>
      <c r="M62" s="262" t="n">
        <v>90.8</v>
      </c>
      <c r="N62" s="262" t="n">
        <v>104.6</v>
      </c>
      <c r="O62" s="262" t="n">
        <v>104.8</v>
      </c>
      <c r="P62" s="262" t="n">
        <v>101.8</v>
      </c>
      <c r="Q62" s="262" t="n">
        <v>100.6</v>
      </c>
      <c r="R62" s="262" t="n">
        <v>102.2</v>
      </c>
      <c r="S62" s="262" t="n">
        <v>99.2</v>
      </c>
      <c r="T62" s="263" t="n">
        <v>99.59999999999999</v>
      </c>
      <c r="U62" s="243" t="n"/>
    </row>
    <row r="63" ht="15" customHeight="1" s="226">
      <c r="A63" s="260" t="inlineStr">
        <is>
          <t>Нижегородская область</t>
        </is>
      </c>
      <c r="B63" s="261" t="n">
        <v>95.5</v>
      </c>
      <c r="C63" s="262" t="n">
        <v>103.4</v>
      </c>
      <c r="D63" s="262" t="n">
        <v>109.9</v>
      </c>
      <c r="E63" s="262" t="n">
        <v>109.3</v>
      </c>
      <c r="F63" s="262" t="n">
        <v>105.2</v>
      </c>
      <c r="G63" s="262" t="n">
        <v>105.2</v>
      </c>
      <c r="H63" s="262" t="n">
        <v>104.3</v>
      </c>
      <c r="I63" s="262" t="n">
        <v>106</v>
      </c>
      <c r="J63" s="262" t="n">
        <v>108.1</v>
      </c>
      <c r="K63" s="262" t="n">
        <v>109</v>
      </c>
      <c r="L63" s="262" t="n">
        <v>102.2</v>
      </c>
      <c r="M63" s="262" t="n">
        <v>88.2</v>
      </c>
      <c r="N63" s="262" t="n">
        <v>107.5</v>
      </c>
      <c r="O63" s="262" t="n">
        <v>106.9</v>
      </c>
      <c r="P63" s="262" t="n">
        <v>103.8</v>
      </c>
      <c r="Q63" s="262" t="n">
        <v>102</v>
      </c>
      <c r="R63" s="262" t="n">
        <v>102.9</v>
      </c>
      <c r="S63" s="262" t="n">
        <v>96.5</v>
      </c>
      <c r="T63" s="263" t="n">
        <v>103</v>
      </c>
      <c r="U63" s="243" t="n"/>
    </row>
    <row r="64" ht="15" customHeight="1" s="226">
      <c r="A64" s="260" t="inlineStr">
        <is>
          <t>Оренбургская область</t>
        </is>
      </c>
      <c r="B64" s="261" t="n">
        <v>86.09999999999999</v>
      </c>
      <c r="C64" s="262" t="n">
        <v>109.1</v>
      </c>
      <c r="D64" s="262" t="n">
        <v>109.6</v>
      </c>
      <c r="E64" s="262" t="n">
        <v>101</v>
      </c>
      <c r="F64" s="262" t="n">
        <v>105</v>
      </c>
      <c r="G64" s="262" t="n">
        <v>112.8</v>
      </c>
      <c r="H64" s="262" t="n">
        <v>110.1</v>
      </c>
      <c r="I64" s="262" t="n">
        <v>105.2</v>
      </c>
      <c r="J64" s="262" t="n">
        <v>107.7</v>
      </c>
      <c r="K64" s="262" t="n">
        <v>109.7</v>
      </c>
      <c r="L64" s="262" t="n">
        <v>102.6</v>
      </c>
      <c r="M64" s="262" t="n">
        <v>95.90000000000001</v>
      </c>
      <c r="N64" s="262" t="n">
        <v>104.5</v>
      </c>
      <c r="O64" s="262" t="n">
        <v>105.1</v>
      </c>
      <c r="P64" s="262" t="n">
        <v>102.5</v>
      </c>
      <c r="Q64" s="262" t="n">
        <v>102.2</v>
      </c>
      <c r="R64" s="262" t="n">
        <v>99.3</v>
      </c>
      <c r="S64" s="262" t="n">
        <v>96.09999999999999</v>
      </c>
      <c r="T64" s="263" t="n">
        <v>99.09999999999999</v>
      </c>
      <c r="U64" s="243" t="n"/>
    </row>
    <row r="65" ht="15" customHeight="1" s="226">
      <c r="A65" s="260" t="inlineStr">
        <is>
          <t>Пензенская область</t>
        </is>
      </c>
      <c r="B65" s="261" t="n">
        <v>87.8</v>
      </c>
      <c r="C65" s="262" t="n">
        <v>112.2</v>
      </c>
      <c r="D65" s="262" t="n">
        <v>106.2</v>
      </c>
      <c r="E65" s="262" t="n">
        <v>105.3</v>
      </c>
      <c r="F65" s="262" t="n">
        <v>101.9</v>
      </c>
      <c r="G65" s="262" t="n">
        <v>104.8</v>
      </c>
      <c r="H65" s="262" t="n">
        <v>105.7</v>
      </c>
      <c r="I65" s="262" t="n">
        <v>100.7</v>
      </c>
      <c r="J65" s="262" t="n">
        <v>108</v>
      </c>
      <c r="K65" s="262" t="n">
        <v>116.2</v>
      </c>
      <c r="L65" s="262" t="n">
        <v>107.7</v>
      </c>
      <c r="M65" s="262" t="n">
        <v>95.3</v>
      </c>
      <c r="N65" s="262" t="n">
        <v>101.8</v>
      </c>
      <c r="O65" s="262" t="n">
        <v>107.9</v>
      </c>
      <c r="P65" s="262" t="n">
        <v>106.7</v>
      </c>
      <c r="Q65" s="262" t="n">
        <v>104.6</v>
      </c>
      <c r="R65" s="262" t="n">
        <v>103.5</v>
      </c>
      <c r="S65" s="262" t="n">
        <v>103.9</v>
      </c>
      <c r="T65" s="263" t="n">
        <v>97</v>
      </c>
      <c r="U65" s="243" t="n"/>
    </row>
    <row r="66" ht="15" customHeight="1" s="226">
      <c r="A66" s="260" t="inlineStr">
        <is>
          <t>Самарская область</t>
        </is>
      </c>
      <c r="B66" s="261" t="n">
        <v>92.8</v>
      </c>
      <c r="C66" s="262" t="n">
        <v>102.3</v>
      </c>
      <c r="D66" s="262" t="n">
        <v>106.2</v>
      </c>
      <c r="E66" s="262" t="n">
        <v>106.8</v>
      </c>
      <c r="F66" s="262" t="n">
        <v>103.9</v>
      </c>
      <c r="G66" s="262" t="n">
        <v>104.8</v>
      </c>
      <c r="H66" s="262" t="n">
        <v>108.7</v>
      </c>
      <c r="I66" s="262" t="n">
        <v>101.7</v>
      </c>
      <c r="J66" s="262" t="n">
        <v>106.4</v>
      </c>
      <c r="K66" s="262" t="n">
        <v>108.1</v>
      </c>
      <c r="L66" s="262" t="n">
        <v>103.8</v>
      </c>
      <c r="M66" s="262" t="n">
        <v>80.40000000000001</v>
      </c>
      <c r="N66" s="262" t="n">
        <v>108.5</v>
      </c>
      <c r="O66" s="262" t="n">
        <v>105.9</v>
      </c>
      <c r="P66" s="262" t="n">
        <v>105</v>
      </c>
      <c r="Q66" s="262" t="n">
        <v>104.2</v>
      </c>
      <c r="R66" s="262" t="n">
        <v>101.9</v>
      </c>
      <c r="S66" s="262" t="n">
        <v>97</v>
      </c>
      <c r="T66" s="263" t="n">
        <v>97.8</v>
      </c>
      <c r="U66" s="243" t="n"/>
    </row>
    <row r="67" ht="15" customHeight="1" s="226">
      <c r="A67" s="322" t="inlineStr">
        <is>
          <t>Саратовская область</t>
        </is>
      </c>
      <c r="B67" s="261" t="n">
        <v>87.7</v>
      </c>
      <c r="C67" s="262" t="n">
        <v>106.2</v>
      </c>
      <c r="D67" s="262" t="n">
        <v>113.1</v>
      </c>
      <c r="E67" s="262" t="n">
        <v>103.1</v>
      </c>
      <c r="F67" s="262" t="n">
        <v>105.4</v>
      </c>
      <c r="G67" s="262" t="n">
        <v>109.8</v>
      </c>
      <c r="H67" s="262" t="n">
        <v>108.4</v>
      </c>
      <c r="I67" s="262" t="n">
        <v>105.6</v>
      </c>
      <c r="J67" s="262" t="n">
        <v>105.6</v>
      </c>
      <c r="K67" s="262" t="n">
        <v>108.2</v>
      </c>
      <c r="L67" s="262" t="n">
        <v>108.4</v>
      </c>
      <c r="M67" s="262" t="n">
        <v>97.8</v>
      </c>
      <c r="N67" s="262" t="n">
        <v>102.1</v>
      </c>
      <c r="O67" s="262" t="n">
        <v>108</v>
      </c>
      <c r="P67" s="262" t="n">
        <v>105.9</v>
      </c>
      <c r="Q67" s="262" t="n">
        <v>104.3</v>
      </c>
      <c r="R67" s="262" t="n">
        <v>100.3</v>
      </c>
      <c r="S67" s="262" t="n">
        <v>99</v>
      </c>
      <c r="T67" s="263" t="n">
        <v>100.9</v>
      </c>
      <c r="U67" s="243" t="n"/>
    </row>
    <row r="68" ht="15" customFormat="1" customHeight="1" s="318">
      <c r="A68" s="322" t="inlineStr">
        <is>
          <t>Ульяновская область</t>
        </is>
      </c>
      <c r="B68" s="261" t="n">
        <v>91.09999999999999</v>
      </c>
      <c r="C68" s="262" t="n">
        <v>106.1</v>
      </c>
      <c r="D68" s="262" t="n">
        <v>104.3</v>
      </c>
      <c r="E68" s="262" t="n">
        <v>100</v>
      </c>
      <c r="F68" s="262" t="n">
        <v>107.8</v>
      </c>
      <c r="G68" s="262" t="n">
        <v>102.8</v>
      </c>
      <c r="H68" s="262" t="n">
        <v>104.4</v>
      </c>
      <c r="I68" s="262" t="n">
        <v>104.5</v>
      </c>
      <c r="J68" s="262" t="n">
        <v>109.3</v>
      </c>
      <c r="K68" s="262" t="n">
        <v>110</v>
      </c>
      <c r="L68" s="262" t="n">
        <v>101.6</v>
      </c>
      <c r="M68" s="262" t="n">
        <v>92.59999999999999</v>
      </c>
      <c r="N68" s="262" t="n">
        <v>105.1</v>
      </c>
      <c r="O68" s="262" t="n">
        <v>107.9</v>
      </c>
      <c r="P68" s="262" t="n">
        <v>102.5</v>
      </c>
      <c r="Q68" s="262" t="n">
        <v>102</v>
      </c>
      <c r="R68" s="262" t="n">
        <v>100.5</v>
      </c>
      <c r="S68" s="262" t="n">
        <v>98.09999999999999</v>
      </c>
      <c r="T68" s="263" t="n">
        <v>101.8</v>
      </c>
      <c r="U68" s="243" t="n"/>
    </row>
    <row r="69" ht="15" customHeight="1" s="226">
      <c r="A69" s="272" t="inlineStr">
        <is>
          <t>Уральский федеральный округ</t>
        </is>
      </c>
      <c r="B69" s="254" t="n">
        <v>93.5</v>
      </c>
      <c r="C69" s="254" t="n">
        <v>102.8</v>
      </c>
      <c r="D69" s="254" t="n">
        <v>110.1</v>
      </c>
      <c r="E69" s="254" t="n">
        <v>108.9</v>
      </c>
      <c r="F69" s="254" t="n">
        <v>104.2</v>
      </c>
      <c r="G69" s="275" t="n">
        <v>108.4</v>
      </c>
      <c r="H69" s="275" t="n">
        <v>106.7</v>
      </c>
      <c r="I69" s="275" t="n">
        <v>110.2</v>
      </c>
      <c r="J69" s="275" t="n">
        <v>107.5</v>
      </c>
      <c r="K69" s="275" t="n">
        <v>105.5</v>
      </c>
      <c r="L69" s="275" t="n">
        <v>103.4</v>
      </c>
      <c r="M69" s="275" t="n">
        <v>92</v>
      </c>
      <c r="N69" s="275" t="n">
        <v>106.8</v>
      </c>
      <c r="O69" s="275" t="n">
        <v>104.6</v>
      </c>
      <c r="P69" s="275" t="n">
        <v>101.5</v>
      </c>
      <c r="Q69" s="275" t="n">
        <v>102.2</v>
      </c>
      <c r="R69" s="275" t="n">
        <v>99</v>
      </c>
      <c r="S69" s="254" t="n">
        <v>98.8</v>
      </c>
      <c r="T69" s="254" t="n">
        <v>100.3</v>
      </c>
      <c r="U69" s="243" t="n"/>
    </row>
    <row r="70" ht="15" customHeight="1" s="226">
      <c r="A70" s="323" t="inlineStr">
        <is>
          <t>Курганская область</t>
        </is>
      </c>
      <c r="B70" s="261" t="n">
        <v>90.2</v>
      </c>
      <c r="C70" s="262" t="n">
        <v>103.1</v>
      </c>
      <c r="D70" s="262" t="n">
        <v>107.1</v>
      </c>
      <c r="E70" s="262" t="n">
        <v>101.2</v>
      </c>
      <c r="F70" s="262" t="n">
        <v>102</v>
      </c>
      <c r="G70" s="262" t="n">
        <v>107.9</v>
      </c>
      <c r="H70" s="262" t="n">
        <v>103.3</v>
      </c>
      <c r="I70" s="262" t="n">
        <v>107.5</v>
      </c>
      <c r="J70" s="262" t="n">
        <v>111.8</v>
      </c>
      <c r="K70" s="262" t="n">
        <v>104.4</v>
      </c>
      <c r="L70" s="262" t="n">
        <v>109.3</v>
      </c>
      <c r="M70" s="262" t="n">
        <v>92.90000000000001</v>
      </c>
      <c r="N70" s="262" t="n">
        <v>97.5</v>
      </c>
      <c r="O70" s="262" t="n">
        <v>106.8</v>
      </c>
      <c r="P70" s="262" t="n">
        <v>96</v>
      </c>
      <c r="Q70" s="262" t="n">
        <v>102.8</v>
      </c>
      <c r="R70" s="262" t="n">
        <v>97.09999999999999</v>
      </c>
      <c r="S70" s="262" t="n">
        <v>97.40000000000001</v>
      </c>
      <c r="T70" s="263" t="n">
        <v>101.8</v>
      </c>
      <c r="U70" s="243" t="n"/>
    </row>
    <row r="71" ht="15" customHeight="1" s="226">
      <c r="A71" s="323" t="inlineStr">
        <is>
          <t>Свердловская область</t>
        </is>
      </c>
      <c r="B71" s="261" t="n">
        <v>92.09999999999999</v>
      </c>
      <c r="C71" s="262" t="n">
        <v>101.6</v>
      </c>
      <c r="D71" s="262" t="n">
        <v>112.1</v>
      </c>
      <c r="E71" s="262" t="n">
        <v>108.6</v>
      </c>
      <c r="F71" s="262" t="n">
        <v>104.2</v>
      </c>
      <c r="G71" s="262" t="n">
        <v>109</v>
      </c>
      <c r="H71" s="262" t="n">
        <v>108.9</v>
      </c>
      <c r="I71" s="262" t="n">
        <v>109.5</v>
      </c>
      <c r="J71" s="262" t="n">
        <v>111.5</v>
      </c>
      <c r="K71" s="262" t="n">
        <v>109.4</v>
      </c>
      <c r="L71" s="262" t="n">
        <v>102.5</v>
      </c>
      <c r="M71" s="262" t="n">
        <v>88.40000000000001</v>
      </c>
      <c r="N71" s="262" t="n">
        <v>111.4</v>
      </c>
      <c r="O71" s="262" t="n">
        <v>108.9</v>
      </c>
      <c r="P71" s="262" t="n">
        <v>107.1</v>
      </c>
      <c r="Q71" s="262" t="n">
        <v>102</v>
      </c>
      <c r="R71" s="262" t="n">
        <v>100.1</v>
      </c>
      <c r="S71" s="262" t="n">
        <v>97.3</v>
      </c>
      <c r="T71" s="263" t="n">
        <v>101.9</v>
      </c>
      <c r="U71" s="243" t="n"/>
    </row>
    <row r="72" ht="15" customHeight="1" s="226">
      <c r="A72" s="323" t="inlineStr">
        <is>
          <t>Тюменская область</t>
        </is>
      </c>
      <c r="B72" s="261" t="n">
        <v>97.09999999999999</v>
      </c>
      <c r="C72" s="262" t="n">
        <v>101.9</v>
      </c>
      <c r="D72" s="262" t="n">
        <v>109.4</v>
      </c>
      <c r="E72" s="262" t="n">
        <v>110.4</v>
      </c>
      <c r="F72" s="262" t="n">
        <v>104.9</v>
      </c>
      <c r="G72" s="262" t="n">
        <v>108.2</v>
      </c>
      <c r="H72" s="262" t="n">
        <v>106.5</v>
      </c>
      <c r="I72" s="262" t="n">
        <v>110.8</v>
      </c>
      <c r="J72" s="262" t="n">
        <v>106</v>
      </c>
      <c r="K72" s="262" t="n">
        <v>103.1</v>
      </c>
      <c r="L72" s="262" t="n">
        <v>103.8</v>
      </c>
      <c r="M72" s="262" t="n">
        <v>94.3</v>
      </c>
      <c r="N72" s="262" t="n">
        <v>106</v>
      </c>
      <c r="O72" s="262" t="n">
        <v>103.1</v>
      </c>
      <c r="P72" s="262" t="n">
        <v>99.8</v>
      </c>
      <c r="Q72" s="262" t="n">
        <v>102.4</v>
      </c>
      <c r="R72" s="262" t="n">
        <v>98.09999999999999</v>
      </c>
      <c r="S72" s="262" t="n">
        <v>99.2</v>
      </c>
      <c r="T72" s="263" t="n">
        <v>100.5</v>
      </c>
      <c r="U72" s="243" t="n"/>
    </row>
    <row r="73" ht="15" customHeight="1" s="226">
      <c r="A73" s="260" t="inlineStr">
        <is>
          <t xml:space="preserve">   в т.ч. Ханты-Мансийский авт.округ-Югра</t>
        </is>
      </c>
      <c r="B73" s="261" t="inlineStr">
        <is>
          <t>…</t>
        </is>
      </c>
      <c r="C73" s="262" t="inlineStr">
        <is>
          <t>…</t>
        </is>
      </c>
      <c r="D73" s="262" t="inlineStr">
        <is>
          <t>…</t>
        </is>
      </c>
      <c r="E73" s="262" t="n">
        <v>109.3</v>
      </c>
      <c r="F73" s="262" t="n">
        <v>102.5</v>
      </c>
      <c r="G73" s="262" t="n">
        <v>109.2</v>
      </c>
      <c r="H73" s="262" t="n">
        <v>107.9</v>
      </c>
      <c r="I73" s="262" t="n">
        <v>112.4</v>
      </c>
      <c r="J73" s="262" t="n">
        <v>106.7</v>
      </c>
      <c r="K73" s="262" t="n">
        <v>103.2</v>
      </c>
      <c r="L73" s="262" t="n">
        <v>102.9</v>
      </c>
      <c r="M73" s="262" t="n">
        <v>95.2</v>
      </c>
      <c r="N73" s="262" t="n">
        <v>103</v>
      </c>
      <c r="O73" s="262" t="n">
        <v>100.9</v>
      </c>
      <c r="P73" s="262" t="n">
        <v>98.09999999999999</v>
      </c>
      <c r="Q73" s="262" t="n">
        <v>100</v>
      </c>
      <c r="R73" s="262" t="n">
        <v>98.7</v>
      </c>
      <c r="S73" s="262" t="n">
        <v>98.2</v>
      </c>
      <c r="T73" s="263" t="n">
        <v>97.59999999999999</v>
      </c>
      <c r="U73" s="243" t="n"/>
    </row>
    <row r="74" ht="15" customHeight="1" s="226">
      <c r="A74" s="260" t="inlineStr">
        <is>
          <t xml:space="preserve">           Ямало-Ненецкий авт. округ</t>
        </is>
      </c>
      <c r="B74" s="261" t="inlineStr">
        <is>
          <t>…</t>
        </is>
      </c>
      <c r="C74" s="262" t="inlineStr">
        <is>
          <t>…</t>
        </is>
      </c>
      <c r="D74" s="262" t="inlineStr">
        <is>
          <t>…</t>
        </is>
      </c>
      <c r="E74" s="262" t="n">
        <v>111.4</v>
      </c>
      <c r="F74" s="262" t="n">
        <v>109.8</v>
      </c>
      <c r="G74" s="262" t="n">
        <v>108.5</v>
      </c>
      <c r="H74" s="262" t="n">
        <v>100.4</v>
      </c>
      <c r="I74" s="262" t="n">
        <v>101.2</v>
      </c>
      <c r="J74" s="262" t="n">
        <v>104.6</v>
      </c>
      <c r="K74" s="262" t="n">
        <v>103.5</v>
      </c>
      <c r="L74" s="262" t="n">
        <v>105.5</v>
      </c>
      <c r="M74" s="262" t="n">
        <v>89.8</v>
      </c>
      <c r="N74" s="262" t="n">
        <v>110.1</v>
      </c>
      <c r="O74" s="262" t="n">
        <v>102.7</v>
      </c>
      <c r="P74" s="262" t="n">
        <v>102.2</v>
      </c>
      <c r="Q74" s="262" t="n">
        <v>103.9</v>
      </c>
      <c r="R74" s="262" t="n">
        <v>105.7</v>
      </c>
      <c r="S74" s="262" t="n">
        <v>98.09999999999999</v>
      </c>
      <c r="T74" s="263" t="n">
        <v>105.6</v>
      </c>
      <c r="U74" s="243" t="n"/>
    </row>
    <row r="75" ht="15" customHeight="1" s="226">
      <c r="A75" s="260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1" t="inlineStr">
        <is>
          <t>…</t>
        </is>
      </c>
      <c r="C75" s="262" t="inlineStr">
        <is>
          <t>…</t>
        </is>
      </c>
      <c r="D75" s="262" t="inlineStr">
        <is>
          <t>…</t>
        </is>
      </c>
      <c r="E75" s="262" t="inlineStr">
        <is>
          <t>…</t>
        </is>
      </c>
      <c r="F75" s="262" t="inlineStr">
        <is>
          <t>…</t>
        </is>
      </c>
      <c r="G75" s="262" t="inlineStr">
        <is>
          <t>…</t>
        </is>
      </c>
      <c r="H75" s="262" t="inlineStr">
        <is>
          <t>…</t>
        </is>
      </c>
      <c r="I75" s="262" t="inlineStr">
        <is>
          <t>…</t>
        </is>
      </c>
      <c r="J75" s="262" t="inlineStr">
        <is>
          <t>…</t>
        </is>
      </c>
      <c r="K75" s="262" t="inlineStr">
        <is>
          <t>…</t>
        </is>
      </c>
      <c r="L75" s="262" t="inlineStr">
        <is>
          <t>…</t>
        </is>
      </c>
      <c r="M75" s="262" t="inlineStr">
        <is>
          <t>…</t>
        </is>
      </c>
      <c r="N75" s="262" t="inlineStr">
        <is>
          <t>…</t>
        </is>
      </c>
      <c r="O75" s="262" t="inlineStr">
        <is>
          <t>…</t>
        </is>
      </c>
      <c r="P75" s="262" t="n">
        <v>102.1</v>
      </c>
      <c r="Q75" s="262" t="n">
        <v>108.9</v>
      </c>
      <c r="R75" s="262" t="n">
        <v>83.5</v>
      </c>
      <c r="S75" s="262" t="n">
        <v>105.3</v>
      </c>
      <c r="T75" s="263" t="n">
        <v>100.6</v>
      </c>
      <c r="U75" s="243" t="n"/>
    </row>
    <row r="76" ht="15" customFormat="1" customHeight="1" s="318">
      <c r="A76" s="323" t="inlineStr">
        <is>
          <t>Челябинская область</t>
        </is>
      </c>
      <c r="B76" s="261" t="n">
        <v>83.09999999999999</v>
      </c>
      <c r="C76" s="262" t="n">
        <v>108.4</v>
      </c>
      <c r="D76" s="262" t="n">
        <v>110.7</v>
      </c>
      <c r="E76" s="262" t="n">
        <v>103.1</v>
      </c>
      <c r="F76" s="262" t="n">
        <v>100.9</v>
      </c>
      <c r="G76" s="262" t="n">
        <v>108.5</v>
      </c>
      <c r="H76" s="262" t="n">
        <v>104.9</v>
      </c>
      <c r="I76" s="262" t="n">
        <v>108.3</v>
      </c>
      <c r="J76" s="262" t="n">
        <v>110.6</v>
      </c>
      <c r="K76" s="262" t="n">
        <v>113.4</v>
      </c>
      <c r="L76" s="262" t="n">
        <v>101.5</v>
      </c>
      <c r="M76" s="262" t="n">
        <v>85.90000000000001</v>
      </c>
      <c r="N76" s="262" t="n">
        <v>106</v>
      </c>
      <c r="O76" s="262" t="n">
        <v>105.3</v>
      </c>
      <c r="P76" s="262" t="n">
        <v>102.4</v>
      </c>
      <c r="Q76" s="262" t="n">
        <v>101.5</v>
      </c>
      <c r="R76" s="262" t="n">
        <v>102.8</v>
      </c>
      <c r="S76" s="262" t="n">
        <v>99.5</v>
      </c>
      <c r="T76" s="263" t="n">
        <v>96.90000000000001</v>
      </c>
      <c r="U76" s="243" t="n"/>
    </row>
    <row r="77" ht="15" customFormat="1" customHeight="1" s="225">
      <c r="A77" s="324" t="inlineStr">
        <is>
          <t>Сибирский федеральный округ</t>
        </is>
      </c>
      <c r="B77" s="254" t="n">
        <v>92.40000000000001</v>
      </c>
      <c r="C77" s="254" t="n">
        <v>104</v>
      </c>
      <c r="D77" s="254" t="n">
        <v>107.5</v>
      </c>
      <c r="E77" s="254" t="n">
        <v>106.9</v>
      </c>
      <c r="F77" s="254" t="n">
        <v>104.1</v>
      </c>
      <c r="G77" s="254" t="n">
        <v>107.5</v>
      </c>
      <c r="H77" s="254" t="n">
        <v>108.8</v>
      </c>
      <c r="I77" s="254" t="n">
        <v>104.9</v>
      </c>
      <c r="J77" s="254" t="n">
        <v>106.2</v>
      </c>
      <c r="K77" s="254" t="n">
        <v>107.3</v>
      </c>
      <c r="L77" s="254" t="n">
        <v>103.8</v>
      </c>
      <c r="M77" s="254" t="n">
        <v>95.8</v>
      </c>
      <c r="N77" s="254" t="n">
        <v>104.5</v>
      </c>
      <c r="O77" s="254" t="n">
        <v>105</v>
      </c>
      <c r="P77" s="254" t="n">
        <v>103.1</v>
      </c>
      <c r="Q77" s="254" t="n">
        <v>102.4</v>
      </c>
      <c r="R77" s="254" t="n">
        <v>102.1</v>
      </c>
      <c r="S77" s="254" t="n">
        <v>98.8</v>
      </c>
      <c r="T77" s="254" t="n">
        <v>100.5</v>
      </c>
      <c r="U77" s="243" t="n"/>
    </row>
    <row r="78" ht="15" customHeight="1" s="226">
      <c r="A78" s="323" t="inlineStr">
        <is>
          <t>Республика Алтай</t>
        </is>
      </c>
      <c r="B78" s="261" t="n">
        <v>90.59999999999999</v>
      </c>
      <c r="C78" s="262" t="n">
        <v>104.8</v>
      </c>
      <c r="D78" s="262" t="n">
        <v>109</v>
      </c>
      <c r="E78" s="262" t="n">
        <v>119.5</v>
      </c>
      <c r="F78" s="262" t="n">
        <v>95.5</v>
      </c>
      <c r="G78" s="262" t="n">
        <v>114.9</v>
      </c>
      <c r="H78" s="262" t="n">
        <v>107.9</v>
      </c>
      <c r="I78" s="262" t="n">
        <v>101.5</v>
      </c>
      <c r="J78" s="262" t="n">
        <v>104</v>
      </c>
      <c r="K78" s="262" t="n">
        <v>107.5</v>
      </c>
      <c r="L78" s="262" t="n">
        <v>107</v>
      </c>
      <c r="M78" s="262" t="n">
        <v>96.2</v>
      </c>
      <c r="N78" s="262" t="n">
        <v>100.8</v>
      </c>
      <c r="O78" s="262" t="n">
        <v>102.7</v>
      </c>
      <c r="P78" s="262" t="n">
        <v>98.8</v>
      </c>
      <c r="Q78" s="262" t="n">
        <v>100.3</v>
      </c>
      <c r="R78" s="262" t="n">
        <v>108.4</v>
      </c>
      <c r="S78" s="262" t="n">
        <v>100.2</v>
      </c>
      <c r="T78" s="263" t="n">
        <v>103.1</v>
      </c>
      <c r="U78" s="243" t="n"/>
    </row>
    <row r="79" ht="15" customHeight="1" s="226">
      <c r="A79" s="323" t="inlineStr">
        <is>
          <t>Республика Тыва</t>
        </is>
      </c>
      <c r="B79" s="261" t="n">
        <v>95.3</v>
      </c>
      <c r="C79" s="262" t="n">
        <v>106.1</v>
      </c>
      <c r="D79" s="262" t="n">
        <v>103.1</v>
      </c>
      <c r="E79" s="262" t="n">
        <v>114</v>
      </c>
      <c r="F79" s="262" t="n">
        <v>103.5</v>
      </c>
      <c r="G79" s="262" t="n">
        <v>105.8</v>
      </c>
      <c r="H79" s="262" t="n">
        <v>105.4</v>
      </c>
      <c r="I79" s="262" t="n">
        <v>99.90000000000001</v>
      </c>
      <c r="J79" s="262" t="n">
        <v>103.9</v>
      </c>
      <c r="K79" s="262" t="n">
        <v>106.2</v>
      </c>
      <c r="L79" s="262" t="n">
        <v>100.1</v>
      </c>
      <c r="M79" s="262" t="n">
        <v>99.7</v>
      </c>
      <c r="N79" s="262" t="n">
        <v>104.2</v>
      </c>
      <c r="O79" s="262" t="n">
        <v>100.9</v>
      </c>
      <c r="P79" s="262" t="n">
        <v>102.1</v>
      </c>
      <c r="Q79" s="262" t="n">
        <v>101</v>
      </c>
      <c r="R79" s="262" t="n">
        <v>104.6</v>
      </c>
      <c r="S79" s="262" t="n">
        <v>98.59999999999999</v>
      </c>
      <c r="T79" s="263" t="n">
        <v>101.1</v>
      </c>
      <c r="U79" s="243" t="n"/>
    </row>
    <row r="80" ht="15" customHeight="1" s="226">
      <c r="A80" s="323" t="inlineStr">
        <is>
          <t>Республика Хакасия</t>
        </is>
      </c>
      <c r="B80" s="261" t="n">
        <v>91.3</v>
      </c>
      <c r="C80" s="262" t="n">
        <v>99.2</v>
      </c>
      <c r="D80" s="262" t="n">
        <v>107.8</v>
      </c>
      <c r="E80" s="262" t="n">
        <v>103.7</v>
      </c>
      <c r="F80" s="262" t="n">
        <v>96.8</v>
      </c>
      <c r="G80" s="262" t="n">
        <v>103.4</v>
      </c>
      <c r="H80" s="262" t="n">
        <v>103.9</v>
      </c>
      <c r="I80" s="262" t="n">
        <v>103.1</v>
      </c>
      <c r="J80" s="262" t="n">
        <v>102.7</v>
      </c>
      <c r="K80" s="262" t="n">
        <v>103.6</v>
      </c>
      <c r="L80" s="262" t="n">
        <v>102.8</v>
      </c>
      <c r="M80" s="262" t="n">
        <v>99.5</v>
      </c>
      <c r="N80" s="262" t="n">
        <v>102.2</v>
      </c>
      <c r="O80" s="262" t="n">
        <v>105.1</v>
      </c>
      <c r="P80" s="262" t="n">
        <v>105.4</v>
      </c>
      <c r="Q80" s="262" t="n">
        <v>104</v>
      </c>
      <c r="R80" s="262" t="n">
        <v>101.9</v>
      </c>
      <c r="S80" s="262" t="n">
        <v>98.5</v>
      </c>
      <c r="T80" s="263" t="n">
        <v>101.5</v>
      </c>
      <c r="U80" s="243" t="n"/>
    </row>
    <row r="81" ht="15" customHeight="1" s="226">
      <c r="A81" s="323" t="inlineStr">
        <is>
          <t>Алтайский край</t>
        </is>
      </c>
      <c r="B81" s="261" t="n">
        <v>96.7</v>
      </c>
      <c r="C81" s="262" t="n">
        <v>102.8</v>
      </c>
      <c r="D81" s="262" t="n">
        <v>111.7</v>
      </c>
      <c r="E81" s="262" t="n">
        <v>107.1</v>
      </c>
      <c r="F81" s="262" t="n">
        <v>103.8</v>
      </c>
      <c r="G81" s="262" t="n">
        <v>107.7</v>
      </c>
      <c r="H81" s="262" t="n">
        <v>107.2</v>
      </c>
      <c r="I81" s="262" t="n">
        <v>101.6</v>
      </c>
      <c r="J81" s="262" t="n">
        <v>110.2</v>
      </c>
      <c r="K81" s="262" t="n">
        <v>109.5</v>
      </c>
      <c r="L81" s="262" t="n">
        <v>103.3</v>
      </c>
      <c r="M81" s="262" t="n">
        <v>94.7</v>
      </c>
      <c r="N81" s="262" t="n">
        <v>103.2</v>
      </c>
      <c r="O81" s="262" t="n">
        <v>103.9</v>
      </c>
      <c r="P81" s="262" t="n">
        <v>101.6</v>
      </c>
      <c r="Q81" s="262" t="n">
        <v>104.9</v>
      </c>
      <c r="R81" s="262" t="n">
        <v>100.4</v>
      </c>
      <c r="S81" s="262" t="n">
        <v>100.5</v>
      </c>
      <c r="T81" s="263" t="n">
        <v>99</v>
      </c>
      <c r="U81" s="243" t="n"/>
    </row>
    <row r="82" ht="15" customHeight="1" s="226">
      <c r="A82" s="323" t="inlineStr">
        <is>
          <t>Красноярский край</t>
        </is>
      </c>
      <c r="B82" s="261" t="n">
        <v>93.59999999999999</v>
      </c>
      <c r="C82" s="262" t="n">
        <v>105.1</v>
      </c>
      <c r="D82" s="262" t="n">
        <v>105.1</v>
      </c>
      <c r="E82" s="262" t="n">
        <v>106.3</v>
      </c>
      <c r="F82" s="262" t="n">
        <v>104</v>
      </c>
      <c r="G82" s="262" t="n">
        <v>105.6</v>
      </c>
      <c r="H82" s="262" t="n">
        <v>106.4</v>
      </c>
      <c r="I82" s="262" t="n">
        <v>103.3</v>
      </c>
      <c r="J82" s="262" t="n">
        <v>104.4</v>
      </c>
      <c r="K82" s="262" t="n">
        <v>106</v>
      </c>
      <c r="L82" s="262" t="n">
        <v>104.6</v>
      </c>
      <c r="M82" s="262" t="n">
        <v>98.5</v>
      </c>
      <c r="N82" s="262" t="n">
        <v>105.8</v>
      </c>
      <c r="O82" s="262" t="n">
        <v>105.7</v>
      </c>
      <c r="P82" s="262" t="n">
        <v>105.8</v>
      </c>
      <c r="Q82" s="262" t="n">
        <v>102.9</v>
      </c>
      <c r="R82" s="262" t="n">
        <v>101</v>
      </c>
      <c r="S82" s="262" t="n">
        <v>97.8</v>
      </c>
      <c r="T82" s="263" t="n">
        <v>101.5</v>
      </c>
      <c r="U82" s="243" t="n"/>
    </row>
    <row r="83" ht="15" customHeight="1" s="226">
      <c r="A83" s="323" t="inlineStr">
        <is>
          <t>Иркутская область</t>
        </is>
      </c>
      <c r="B83" s="261" t="n">
        <v>90.59999999999999</v>
      </c>
      <c r="C83" s="262" t="n">
        <v>101</v>
      </c>
      <c r="D83" s="262" t="n">
        <v>105.2</v>
      </c>
      <c r="E83" s="262" t="n">
        <v>102.8</v>
      </c>
      <c r="F83" s="262" t="n">
        <v>101.2</v>
      </c>
      <c r="G83" s="262" t="n">
        <v>105.3</v>
      </c>
      <c r="H83" s="262" t="n">
        <v>106.1</v>
      </c>
      <c r="I83" s="262" t="n">
        <v>108.3</v>
      </c>
      <c r="J83" s="262" t="n">
        <v>112</v>
      </c>
      <c r="K83" s="262" t="n">
        <v>109.1</v>
      </c>
      <c r="L83" s="262" t="n">
        <v>103.7</v>
      </c>
      <c r="M83" s="262" t="n">
        <v>100.1</v>
      </c>
      <c r="N83" s="262" t="n">
        <v>106.8</v>
      </c>
      <c r="O83" s="262" t="n">
        <v>104.5</v>
      </c>
      <c r="P83" s="262" t="n">
        <v>109.4</v>
      </c>
      <c r="Q83" s="262" t="n">
        <v>102</v>
      </c>
      <c r="R83" s="262" t="n">
        <v>104.8</v>
      </c>
      <c r="S83" s="262" t="n">
        <v>100.4</v>
      </c>
      <c r="T83" s="263" t="n">
        <v>102.8</v>
      </c>
      <c r="U83" s="243" t="n"/>
    </row>
    <row r="84" ht="15" customHeight="1" s="226">
      <c r="A84" s="278" t="inlineStr">
        <is>
          <t>Кемеровская область-Кузбасс</t>
        </is>
      </c>
      <c r="B84" s="261" t="n">
        <v>91.90000000000001</v>
      </c>
      <c r="C84" s="262" t="n">
        <v>108.2</v>
      </c>
      <c r="D84" s="262" t="n">
        <v>106.8</v>
      </c>
      <c r="E84" s="262" t="n">
        <v>104.6</v>
      </c>
      <c r="F84" s="262" t="n">
        <v>103.8</v>
      </c>
      <c r="G84" s="262" t="n">
        <v>107</v>
      </c>
      <c r="H84" s="262" t="n">
        <v>104.7</v>
      </c>
      <c r="I84" s="262" t="n">
        <v>106.8</v>
      </c>
      <c r="J84" s="262" t="n">
        <v>107.2</v>
      </c>
      <c r="K84" s="262" t="n">
        <v>106.8</v>
      </c>
      <c r="L84" s="262" t="n">
        <v>102.1</v>
      </c>
      <c r="M84" s="262" t="n">
        <v>92.90000000000001</v>
      </c>
      <c r="N84" s="262" t="n">
        <v>102.7</v>
      </c>
      <c r="O84" s="262" t="n">
        <v>102.3</v>
      </c>
      <c r="P84" s="262" t="n">
        <v>95.8</v>
      </c>
      <c r="Q84" s="262" t="n">
        <v>96</v>
      </c>
      <c r="R84" s="262" t="n">
        <v>102.1</v>
      </c>
      <c r="S84" s="262" t="n">
        <v>99</v>
      </c>
      <c r="T84" s="263" t="n">
        <v>97</v>
      </c>
      <c r="U84" s="243" t="n"/>
    </row>
    <row r="85" ht="15" customHeight="1" s="226">
      <c r="A85" s="323" t="inlineStr">
        <is>
          <t>Новосибирская область</t>
        </is>
      </c>
      <c r="B85" s="261" t="n">
        <v>95</v>
      </c>
      <c r="C85" s="262" t="n">
        <v>104.7</v>
      </c>
      <c r="D85" s="262" t="n">
        <v>113.7</v>
      </c>
      <c r="E85" s="262" t="n">
        <v>111.6</v>
      </c>
      <c r="F85" s="262" t="n">
        <v>105.4</v>
      </c>
      <c r="G85" s="262" t="n">
        <v>109.7</v>
      </c>
      <c r="H85" s="262" t="n">
        <v>110</v>
      </c>
      <c r="I85" s="262" t="n">
        <v>108.9</v>
      </c>
      <c r="J85" s="262" t="n">
        <v>108.5</v>
      </c>
      <c r="K85" s="262" t="n">
        <v>111.7</v>
      </c>
      <c r="L85" s="262" t="n">
        <v>105.7</v>
      </c>
      <c r="M85" s="262" t="n">
        <v>89.40000000000001</v>
      </c>
      <c r="N85" s="262" t="n">
        <v>104.6</v>
      </c>
      <c r="O85" s="262" t="n">
        <v>108.4</v>
      </c>
      <c r="P85" s="262" t="n">
        <v>101.5</v>
      </c>
      <c r="Q85" s="262" t="n">
        <v>105</v>
      </c>
      <c r="R85" s="262" t="n">
        <v>102.5</v>
      </c>
      <c r="S85" s="262" t="n">
        <v>98</v>
      </c>
      <c r="T85" s="263" t="n">
        <v>101.1</v>
      </c>
      <c r="U85" s="243" t="n"/>
    </row>
    <row r="86" ht="15" customHeight="1" s="226">
      <c r="A86" s="323" t="inlineStr">
        <is>
          <t>Омская область</t>
        </is>
      </c>
      <c r="B86" s="261" t="n">
        <v>87.59999999999999</v>
      </c>
      <c r="C86" s="262" t="n">
        <v>101.1</v>
      </c>
      <c r="D86" s="262" t="n">
        <v>107.9</v>
      </c>
      <c r="E86" s="262" t="n">
        <v>112.7</v>
      </c>
      <c r="F86" s="262" t="n">
        <v>107.8</v>
      </c>
      <c r="G86" s="262" t="n">
        <v>110.7</v>
      </c>
      <c r="H86" s="262" t="n">
        <v>128.5</v>
      </c>
      <c r="I86" s="262" t="n">
        <v>106.1</v>
      </c>
      <c r="J86" s="262" t="n">
        <v>100.6</v>
      </c>
      <c r="K86" s="262" t="n">
        <v>105.2</v>
      </c>
      <c r="L86" s="262" t="n">
        <v>104.1</v>
      </c>
      <c r="M86" s="262" t="n">
        <v>96.8</v>
      </c>
      <c r="N86" s="262" t="n">
        <v>102.7</v>
      </c>
      <c r="O86" s="262" t="n">
        <v>106.1</v>
      </c>
      <c r="P86" s="262" t="n">
        <v>101.8</v>
      </c>
      <c r="Q86" s="262" t="n">
        <v>105.1</v>
      </c>
      <c r="R86" s="262" t="n">
        <v>102</v>
      </c>
      <c r="S86" s="262" t="n">
        <v>97</v>
      </c>
      <c r="T86" s="263" t="n">
        <v>98.5</v>
      </c>
      <c r="U86" s="243" t="n"/>
    </row>
    <row r="87" ht="15" customFormat="1" customHeight="1" s="318">
      <c r="A87" s="323" t="inlineStr">
        <is>
          <t>Томская область</t>
        </is>
      </c>
      <c r="B87" s="261" t="n">
        <v>92.40000000000001</v>
      </c>
      <c r="C87" s="262" t="n">
        <v>104.2</v>
      </c>
      <c r="D87" s="262" t="n">
        <v>109.9</v>
      </c>
      <c r="E87" s="262" t="n">
        <v>110.8</v>
      </c>
      <c r="F87" s="262" t="n">
        <v>109.2</v>
      </c>
      <c r="G87" s="270" t="n">
        <v>111.8</v>
      </c>
      <c r="H87" s="270" t="n">
        <v>105</v>
      </c>
      <c r="I87" s="270" t="n">
        <v>96.2</v>
      </c>
      <c r="J87" s="270" t="n">
        <v>102.7</v>
      </c>
      <c r="K87" s="270" t="n">
        <v>104</v>
      </c>
      <c r="L87" s="270" t="n">
        <v>102.4</v>
      </c>
      <c r="M87" s="270" t="n">
        <v>96.5</v>
      </c>
      <c r="N87" s="270" t="n">
        <v>104.7</v>
      </c>
      <c r="O87" s="270" t="n">
        <v>103.6</v>
      </c>
      <c r="P87" s="270" t="n">
        <v>103.6</v>
      </c>
      <c r="Q87" s="270" t="n">
        <v>101.8</v>
      </c>
      <c r="R87" s="270" t="n">
        <v>100.2</v>
      </c>
      <c r="S87" s="270" t="n">
        <v>100.4</v>
      </c>
      <c r="T87" s="271" t="n">
        <v>100.9</v>
      </c>
      <c r="U87" s="243" t="n"/>
    </row>
    <row r="88" ht="15" customFormat="1" customHeight="1" s="225">
      <c r="A88" s="324" t="inlineStr">
        <is>
          <t>Дальневосточный федеральный округ</t>
        </is>
      </c>
      <c r="B88" s="254" t="n">
        <v>92.09999999999999</v>
      </c>
      <c r="C88" s="254" t="n">
        <v>106.5</v>
      </c>
      <c r="D88" s="254" t="n">
        <v>103.7</v>
      </c>
      <c r="E88" s="254" t="n">
        <v>106.1</v>
      </c>
      <c r="F88" s="275" t="n">
        <v>103.7</v>
      </c>
      <c r="G88" s="275" t="n">
        <v>106.1</v>
      </c>
      <c r="H88" s="275" t="n">
        <v>106.1</v>
      </c>
      <c r="I88" s="275" t="n">
        <v>104.6</v>
      </c>
      <c r="J88" s="275" t="n">
        <v>105.4</v>
      </c>
      <c r="K88" s="275" t="n">
        <v>109.5</v>
      </c>
      <c r="L88" s="275" t="n">
        <v>104</v>
      </c>
      <c r="M88" s="275" t="n">
        <v>100.8</v>
      </c>
      <c r="N88" s="275" t="n">
        <v>106.3</v>
      </c>
      <c r="O88" s="275" t="n">
        <v>105.4</v>
      </c>
      <c r="P88" s="275" t="n">
        <v>98.90000000000001</v>
      </c>
      <c r="Q88" s="275" t="n">
        <v>99.09999999999999</v>
      </c>
      <c r="R88" s="275" t="n">
        <v>101.1</v>
      </c>
      <c r="S88" s="254" t="n">
        <v>100.5</v>
      </c>
      <c r="T88" s="254" t="n">
        <v>99.90000000000001</v>
      </c>
      <c r="U88" s="243" t="n"/>
    </row>
    <row r="89" ht="15" customFormat="1" customHeight="1" s="225">
      <c r="A89" s="323" t="inlineStr">
        <is>
          <t>Республика Бурятия</t>
        </is>
      </c>
      <c r="B89" s="261" t="n">
        <v>94.09999999999999</v>
      </c>
      <c r="C89" s="262" t="n">
        <v>108</v>
      </c>
      <c r="D89" s="262" t="n">
        <v>104.9</v>
      </c>
      <c r="E89" s="262" t="n">
        <v>106.4</v>
      </c>
      <c r="F89" s="262" t="n">
        <v>106.4</v>
      </c>
      <c r="G89" s="273" t="n">
        <v>106.7</v>
      </c>
      <c r="H89" s="273" t="n">
        <v>103.7</v>
      </c>
      <c r="I89" s="273" t="n">
        <v>104.8</v>
      </c>
      <c r="J89" s="273" t="n">
        <v>105.8</v>
      </c>
      <c r="K89" s="273" t="n">
        <v>107.7</v>
      </c>
      <c r="L89" s="273" t="n">
        <v>105.4</v>
      </c>
      <c r="M89" s="273" t="n">
        <v>92.59999999999999</v>
      </c>
      <c r="N89" s="273" t="n">
        <v>103.5</v>
      </c>
      <c r="O89" s="273" t="n">
        <v>103.8</v>
      </c>
      <c r="P89" s="273" t="n">
        <v>100.5</v>
      </c>
      <c r="Q89" s="273" t="n">
        <v>100.8</v>
      </c>
      <c r="R89" s="273" t="n">
        <v>98.3</v>
      </c>
      <c r="S89" s="273" t="n">
        <v>99.59999999999999</v>
      </c>
      <c r="T89" s="274" t="n">
        <v>93.5</v>
      </c>
      <c r="U89" s="243" t="n"/>
    </row>
    <row r="90" ht="15" customHeight="1" s="226">
      <c r="A90" s="323" t="inlineStr">
        <is>
          <t>Республика Саха (Якутия)</t>
        </is>
      </c>
      <c r="B90" s="261" t="n">
        <v>94.09999999999999</v>
      </c>
      <c r="C90" s="262" t="n">
        <v>106.6</v>
      </c>
      <c r="D90" s="262" t="n">
        <v>107.8</v>
      </c>
      <c r="E90" s="262" t="n">
        <v>101.8</v>
      </c>
      <c r="F90" s="262" t="n">
        <v>101</v>
      </c>
      <c r="G90" s="262" t="n">
        <v>104.3</v>
      </c>
      <c r="H90" s="262" t="n">
        <v>107.7</v>
      </c>
      <c r="I90" s="262" t="n">
        <v>104.9</v>
      </c>
      <c r="J90" s="262" t="n">
        <v>103.4</v>
      </c>
      <c r="K90" s="262" t="n">
        <v>104.5</v>
      </c>
      <c r="L90" s="262" t="n">
        <v>107.2</v>
      </c>
      <c r="M90" s="262" t="n">
        <v>97.59999999999999</v>
      </c>
      <c r="N90" s="262" t="n">
        <v>101.6</v>
      </c>
      <c r="O90" s="262" t="n">
        <v>107.1</v>
      </c>
      <c r="P90" s="262" t="n">
        <v>103.2</v>
      </c>
      <c r="Q90" s="262" t="n">
        <v>100.9</v>
      </c>
      <c r="R90" s="262" t="n">
        <v>103.2</v>
      </c>
      <c r="S90" s="262" t="n">
        <v>101.7</v>
      </c>
      <c r="T90" s="263" t="n">
        <v>104</v>
      </c>
      <c r="U90" s="243" t="n"/>
    </row>
    <row r="91" ht="15" customFormat="1" customHeight="1" s="225">
      <c r="A91" s="323" t="inlineStr">
        <is>
          <t>Забайкальский край</t>
        </is>
      </c>
      <c r="B91" s="261" t="n">
        <v>86.8</v>
      </c>
      <c r="C91" s="262" t="n">
        <v>109.8</v>
      </c>
      <c r="D91" s="262" t="n">
        <v>109.2</v>
      </c>
      <c r="E91" s="262" t="n">
        <v>107.5</v>
      </c>
      <c r="F91" s="262" t="n">
        <v>101.6</v>
      </c>
      <c r="G91" s="262" t="n">
        <v>107.4</v>
      </c>
      <c r="H91" s="262" t="n">
        <v>103.4</v>
      </c>
      <c r="I91" s="262" t="n">
        <v>103.7</v>
      </c>
      <c r="J91" s="262" t="n">
        <v>105.7</v>
      </c>
      <c r="K91" s="262" t="n">
        <v>111.8</v>
      </c>
      <c r="L91" s="262" t="n">
        <v>109.1</v>
      </c>
      <c r="M91" s="262" t="n">
        <v>100.7</v>
      </c>
      <c r="N91" s="262" t="n">
        <v>103.7</v>
      </c>
      <c r="O91" s="262" t="n">
        <v>107.8</v>
      </c>
      <c r="P91" s="262" t="n">
        <v>102.2</v>
      </c>
      <c r="Q91" s="262" t="n">
        <v>98.09999999999999</v>
      </c>
      <c r="R91" s="262" t="n">
        <v>94.2</v>
      </c>
      <c r="S91" s="262" t="n">
        <v>99.09999999999999</v>
      </c>
      <c r="T91" s="263" t="n">
        <v>100.1</v>
      </c>
      <c r="U91" s="243" t="n"/>
    </row>
    <row r="92" ht="15" customHeight="1" s="226">
      <c r="A92" s="323" t="inlineStr">
        <is>
          <t>Камчатский край</t>
        </is>
      </c>
      <c r="B92" s="261" t="n">
        <v>91.8</v>
      </c>
      <c r="C92" s="262" t="n">
        <v>92.90000000000001</v>
      </c>
      <c r="D92" s="262" t="n">
        <v>106.3</v>
      </c>
      <c r="E92" s="262" t="n">
        <v>96</v>
      </c>
      <c r="F92" s="262" t="n">
        <v>96.40000000000001</v>
      </c>
      <c r="G92" s="262" t="n">
        <v>105.8</v>
      </c>
      <c r="H92" s="262" t="n">
        <v>94.09999999999999</v>
      </c>
      <c r="I92" s="262" t="n">
        <v>104.9</v>
      </c>
      <c r="J92" s="262" t="n">
        <v>105.7</v>
      </c>
      <c r="K92" s="262" t="n">
        <v>105.8</v>
      </c>
      <c r="L92" s="262" t="n">
        <v>104.2</v>
      </c>
      <c r="M92" s="262" t="n">
        <v>105.2</v>
      </c>
      <c r="N92" s="262" t="n">
        <v>99.5</v>
      </c>
      <c r="O92" s="262" t="n">
        <v>103.5</v>
      </c>
      <c r="P92" s="262" t="n">
        <v>102.2</v>
      </c>
      <c r="Q92" s="262" t="n">
        <v>99.5</v>
      </c>
      <c r="R92" s="262" t="n">
        <v>100.9</v>
      </c>
      <c r="S92" s="262" t="n">
        <v>101.9</v>
      </c>
      <c r="T92" s="263" t="n">
        <v>103.2</v>
      </c>
      <c r="U92" s="243" t="n"/>
    </row>
    <row r="93" ht="15" customHeight="1" s="226">
      <c r="A93" s="323" t="inlineStr">
        <is>
          <t>Приморский край</t>
        </is>
      </c>
      <c r="B93" s="261" t="n">
        <v>93.90000000000001</v>
      </c>
      <c r="C93" s="262" t="n">
        <v>106.5</v>
      </c>
      <c r="D93" s="262" t="n">
        <v>98.3</v>
      </c>
      <c r="E93" s="262" t="n">
        <v>100</v>
      </c>
      <c r="F93" s="262" t="n">
        <v>104.6</v>
      </c>
      <c r="G93" s="262" t="n">
        <v>105.8</v>
      </c>
      <c r="H93" s="262" t="n">
        <v>108</v>
      </c>
      <c r="I93" s="262" t="n">
        <v>105.5</v>
      </c>
      <c r="J93" s="262" t="n">
        <v>104.1</v>
      </c>
      <c r="K93" s="262" t="n">
        <v>106.6</v>
      </c>
      <c r="L93" s="262" t="n">
        <v>107.2</v>
      </c>
      <c r="M93" s="262" t="n">
        <v>102.4</v>
      </c>
      <c r="N93" s="262" t="n">
        <v>111.7</v>
      </c>
      <c r="O93" s="262" t="n">
        <v>107.3</v>
      </c>
      <c r="P93" s="262" t="n">
        <v>93.09999999999999</v>
      </c>
      <c r="Q93" s="262" t="n">
        <v>97.40000000000001</v>
      </c>
      <c r="R93" s="262" t="n">
        <v>101.3</v>
      </c>
      <c r="S93" s="262" t="n">
        <v>99.5</v>
      </c>
      <c r="T93" s="263" t="n">
        <v>97.7</v>
      </c>
      <c r="U93" s="243" t="n"/>
    </row>
    <row r="94" ht="15" customHeight="1" s="226">
      <c r="A94" s="323" t="inlineStr">
        <is>
          <t>Хабаровский край</t>
        </is>
      </c>
      <c r="B94" s="261" t="n">
        <v>93.7</v>
      </c>
      <c r="C94" s="262" t="n">
        <v>109.2</v>
      </c>
      <c r="D94" s="262" t="n">
        <v>111.6</v>
      </c>
      <c r="E94" s="262" t="n">
        <v>108.1</v>
      </c>
      <c r="F94" s="262" t="n">
        <v>106.4</v>
      </c>
      <c r="G94" s="262" t="n">
        <v>104.1</v>
      </c>
      <c r="H94" s="262" t="n">
        <v>105.5</v>
      </c>
      <c r="I94" s="262" t="n">
        <v>104.2</v>
      </c>
      <c r="J94" s="262" t="n">
        <v>105.3</v>
      </c>
      <c r="K94" s="262" t="n">
        <v>105.1</v>
      </c>
      <c r="L94" s="262" t="n">
        <v>102.6</v>
      </c>
      <c r="M94" s="262" t="n">
        <v>93</v>
      </c>
      <c r="N94" s="262" t="n">
        <v>111</v>
      </c>
      <c r="O94" s="262" t="n">
        <v>102.5</v>
      </c>
      <c r="P94" s="262" t="n">
        <v>100.5</v>
      </c>
      <c r="Q94" s="262" t="n">
        <v>101.3</v>
      </c>
      <c r="R94" s="262" t="n">
        <v>101</v>
      </c>
      <c r="S94" s="262" t="n">
        <v>95.7</v>
      </c>
      <c r="T94" s="263" t="n">
        <v>100.1</v>
      </c>
      <c r="U94" s="243" t="n"/>
    </row>
    <row r="95" ht="15" customHeight="1" s="226">
      <c r="A95" s="323" t="inlineStr">
        <is>
          <t>Амурская область</t>
        </is>
      </c>
      <c r="B95" s="261" t="n">
        <v>89.40000000000001</v>
      </c>
      <c r="C95" s="262" t="n">
        <v>104</v>
      </c>
      <c r="D95" s="262" t="n">
        <v>106.3</v>
      </c>
      <c r="E95" s="262" t="n">
        <v>117.5</v>
      </c>
      <c r="F95" s="262" t="n">
        <v>96.59999999999999</v>
      </c>
      <c r="G95" s="262" t="n">
        <v>104.1</v>
      </c>
      <c r="H95" s="262" t="n">
        <v>103.3</v>
      </c>
      <c r="I95" s="262" t="n">
        <v>103.1</v>
      </c>
      <c r="J95" s="262" t="n">
        <v>103.2</v>
      </c>
      <c r="K95" s="262" t="n">
        <v>109</v>
      </c>
      <c r="L95" s="262" t="n">
        <v>105</v>
      </c>
      <c r="M95" s="262" t="n">
        <v>98.3</v>
      </c>
      <c r="N95" s="262" t="n">
        <v>106</v>
      </c>
      <c r="O95" s="262" t="n">
        <v>108.1</v>
      </c>
      <c r="P95" s="262" t="n">
        <v>97.3</v>
      </c>
      <c r="Q95" s="262" t="n">
        <v>89.40000000000001</v>
      </c>
      <c r="R95" s="262" t="n">
        <v>103.1</v>
      </c>
      <c r="S95" s="262" t="n">
        <v>103.7</v>
      </c>
      <c r="T95" s="263" t="n">
        <v>98.59999999999999</v>
      </c>
      <c r="U95" s="243" t="n"/>
    </row>
    <row r="96" ht="15" customHeight="1" s="226">
      <c r="A96" s="323" t="inlineStr">
        <is>
          <t>Магаданская область</t>
        </is>
      </c>
      <c r="B96" s="261" t="n">
        <v>81.2</v>
      </c>
      <c r="C96" s="262" t="n">
        <v>96.90000000000001</v>
      </c>
      <c r="D96" s="262" t="n">
        <v>101.8</v>
      </c>
      <c r="E96" s="262" t="n">
        <v>102.6</v>
      </c>
      <c r="F96" s="262" t="n">
        <v>105.2</v>
      </c>
      <c r="G96" s="262" t="n">
        <v>94.59999999999999</v>
      </c>
      <c r="H96" s="262" t="n">
        <v>100</v>
      </c>
      <c r="I96" s="262" t="n">
        <v>97.90000000000001</v>
      </c>
      <c r="J96" s="262" t="n">
        <v>100.4</v>
      </c>
      <c r="K96" s="262" t="n">
        <v>99.3</v>
      </c>
      <c r="L96" s="262" t="n">
        <v>105.3</v>
      </c>
      <c r="M96" s="262" t="n">
        <v>99.3</v>
      </c>
      <c r="N96" s="262" t="n">
        <v>104.4</v>
      </c>
      <c r="O96" s="262" t="n">
        <v>102.4</v>
      </c>
      <c r="P96" s="262" t="n">
        <v>103.6</v>
      </c>
      <c r="Q96" s="262" t="n">
        <v>103.9</v>
      </c>
      <c r="R96" s="262" t="n">
        <v>103</v>
      </c>
      <c r="S96" s="262" t="n">
        <v>102.2</v>
      </c>
      <c r="T96" s="263" t="n">
        <v>98.59999999999999</v>
      </c>
      <c r="U96" s="243" t="n"/>
    </row>
    <row r="97" ht="15" customHeight="1" s="226">
      <c r="A97" s="323" t="inlineStr">
        <is>
          <t>Сахалинская область</t>
        </is>
      </c>
      <c r="B97" s="261" t="n">
        <v>95.90000000000001</v>
      </c>
      <c r="C97" s="262" t="n">
        <v>119</v>
      </c>
      <c r="D97" s="262" t="n">
        <v>84.7</v>
      </c>
      <c r="E97" s="262" t="n">
        <v>116.6</v>
      </c>
      <c r="F97" s="262" t="n">
        <v>106.3</v>
      </c>
      <c r="G97" s="262" t="n">
        <v>116.4</v>
      </c>
      <c r="H97" s="262" t="n">
        <v>117.3</v>
      </c>
      <c r="I97" s="262" t="n">
        <v>108.8</v>
      </c>
      <c r="J97" s="262" t="n">
        <v>112.2</v>
      </c>
      <c r="K97" s="262" t="n">
        <v>126.3</v>
      </c>
      <c r="L97" s="262" t="n">
        <v>95.7</v>
      </c>
      <c r="M97" s="262" t="n">
        <v>110.9</v>
      </c>
      <c r="N97" s="262" t="n">
        <v>108</v>
      </c>
      <c r="O97" s="262" t="n">
        <v>104.3</v>
      </c>
      <c r="P97" s="262" t="n">
        <v>97.5</v>
      </c>
      <c r="Q97" s="262" t="n">
        <v>101.4</v>
      </c>
      <c r="R97" s="262" t="n">
        <v>100.7</v>
      </c>
      <c r="S97" s="262" t="n">
        <v>103.1</v>
      </c>
      <c r="T97" s="263" t="n">
        <v>100</v>
      </c>
      <c r="U97" s="243" t="n"/>
    </row>
    <row r="98" ht="15" customHeight="1" s="226">
      <c r="A98" s="323" t="inlineStr">
        <is>
          <t>Еврейская автономная область</t>
        </is>
      </c>
      <c r="B98" s="261" t="n">
        <v>86.90000000000001</v>
      </c>
      <c r="C98" s="262" t="n">
        <v>105.1</v>
      </c>
      <c r="D98" s="262" t="n">
        <v>102.9</v>
      </c>
      <c r="E98" s="262" t="n">
        <v>108.5</v>
      </c>
      <c r="F98" s="262" t="n">
        <v>109.3</v>
      </c>
      <c r="G98" s="262" t="n">
        <v>107.5</v>
      </c>
      <c r="H98" s="262" t="n">
        <v>112.8</v>
      </c>
      <c r="I98" s="262" t="n">
        <v>104.4</v>
      </c>
      <c r="J98" s="262" t="n">
        <v>105.3</v>
      </c>
      <c r="K98" s="262" t="n">
        <v>119.4</v>
      </c>
      <c r="L98" s="262" t="n">
        <v>100.8</v>
      </c>
      <c r="M98" s="262" t="n">
        <v>95.5</v>
      </c>
      <c r="N98" s="262" t="n">
        <v>117</v>
      </c>
      <c r="O98" s="262" t="n">
        <v>104.8</v>
      </c>
      <c r="P98" s="262" t="n">
        <v>101.5</v>
      </c>
      <c r="Q98" s="262" t="n">
        <v>82.5</v>
      </c>
      <c r="R98" s="262" t="n">
        <v>100.6</v>
      </c>
      <c r="S98" s="262" t="n">
        <v>98.3</v>
      </c>
      <c r="T98" s="263" t="n">
        <v>98.3</v>
      </c>
      <c r="U98" s="243" t="n"/>
    </row>
    <row r="99" ht="15" customHeight="1" s="226">
      <c r="A99" s="323" t="inlineStr">
        <is>
          <t>Чукотский автономный округ</t>
        </is>
      </c>
      <c r="B99" s="264" t="n">
        <v>78.40000000000001</v>
      </c>
      <c r="C99" s="265" t="n">
        <v>92.3</v>
      </c>
      <c r="D99" s="265" t="n">
        <v>105.1</v>
      </c>
      <c r="E99" s="265" t="n">
        <v>129.4</v>
      </c>
      <c r="F99" s="265" t="n">
        <v>142</v>
      </c>
      <c r="G99" s="265" t="n">
        <v>125.9</v>
      </c>
      <c r="H99" s="265" t="n">
        <v>92</v>
      </c>
      <c r="I99" s="265" t="n">
        <v>85.59999999999999</v>
      </c>
      <c r="J99" s="265" t="n">
        <v>105.5</v>
      </c>
      <c r="K99" s="265" t="n">
        <v>113.6</v>
      </c>
      <c r="L99" s="265" t="n">
        <v>117.4</v>
      </c>
      <c r="M99" s="265" t="n">
        <v>113.4</v>
      </c>
      <c r="N99" s="265" t="n">
        <v>82.7</v>
      </c>
      <c r="O99" s="265" t="n">
        <v>95.8</v>
      </c>
      <c r="P99" s="265" t="n">
        <v>99.7</v>
      </c>
      <c r="Q99" s="265" t="n">
        <v>100.4</v>
      </c>
      <c r="R99" s="265" t="n">
        <v>114.9</v>
      </c>
      <c r="S99" s="265" t="n">
        <v>100.8</v>
      </c>
      <c r="T99" s="266" t="n">
        <v>95.8</v>
      </c>
      <c r="U99" s="243" t="n"/>
    </row>
    <row r="101" ht="15.75" customHeight="1" s="226">
      <c r="A101" s="325" t="n"/>
    </row>
    <row r="102" ht="15.75" customHeight="1" s="226">
      <c r="A102" s="280" t="n"/>
    </row>
  </sheetData>
  <mergeCells count="2">
    <mergeCell ref="A2:E2"/>
    <mergeCell ref="A101:F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0" showOutlineSymbols="1" defaultGridColor="1" view="normal" topLeftCell="A79" colorId="64" zoomScale="100" zoomScaleNormal="100" zoomScalePageLayoutView="100" workbookViewId="0">
      <selection pane="topLeft" activeCell="A79" activeCellId="0" sqref="A79"/>
    </sheetView>
  </sheetViews>
  <sheetFormatPr baseColWidth="8" defaultColWidth="8.1484375" defaultRowHeight="15.75" customHeight="0" zeroHeight="0" outlineLevelRow="0"/>
  <cols>
    <col width="46" customWidth="1" style="225" min="1" max="1"/>
    <col width="8.15" customWidth="1" style="248" min="2" max="2"/>
    <col width="8.15" customWidth="1" style="225" min="3" max="3"/>
    <col width="8.15" customWidth="1" style="225" min="4" max="4"/>
    <col width="8.15" customWidth="1" style="225" min="5" max="6"/>
    <col width="8.15" customWidth="1" style="225" min="7" max="8"/>
    <col width="8.15" customWidth="1" style="225" min="9" max="16384"/>
  </cols>
  <sheetData>
    <row r="1" ht="33" customHeight="1" s="226">
      <c r="A1" s="244" t="inlineStr">
        <is>
          <t xml:space="preserve">          К содержанию</t>
        </is>
      </c>
      <c r="B1" s="225" t="n"/>
    </row>
    <row r="2" ht="51" customFormat="1" customHeight="1" s="225">
      <c r="A2" s="297" t="inlineStr">
        <is>
          <t>Индексы физического объема валового регионального продукта в 2017-2023 гг.1)2)
(в постоянных ценах; в процентах к предыдущему году)</t>
        </is>
      </c>
      <c r="B2" s="298" t="n"/>
      <c r="C2" s="298" t="n"/>
      <c r="D2" s="298" t="n"/>
      <c r="E2" s="298" t="n"/>
      <c r="F2" s="298" t="n"/>
      <c r="G2" s="298" t="n"/>
    </row>
    <row r="3" ht="19.5" customHeight="1" s="226">
      <c r="A3" s="250" t="n"/>
      <c r="B3" s="284" t="n">
        <v>2017</v>
      </c>
      <c r="C3" s="284" t="n">
        <v>2018</v>
      </c>
      <c r="D3" s="284" t="n">
        <v>2019</v>
      </c>
      <c r="E3" s="284" t="n">
        <v>2020</v>
      </c>
      <c r="F3" s="284" t="n">
        <v>2021</v>
      </c>
      <c r="G3" s="284" t="inlineStr">
        <is>
          <t>20222)</t>
        </is>
      </c>
      <c r="H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101.9</v>
      </c>
      <c r="C4" s="252" t="n">
        <v>102.8</v>
      </c>
      <c r="D4" s="252" t="n">
        <v>101.6</v>
      </c>
      <c r="E4" s="252" t="n">
        <v>97.8</v>
      </c>
      <c r="F4" s="252" t="n">
        <v>107.296678144092</v>
      </c>
      <c r="G4" s="252" t="n">
        <v>100.3</v>
      </c>
      <c r="H4" s="252" t="n">
        <v>104.7</v>
      </c>
    </row>
    <row r="5" ht="15" customHeight="1" s="226">
      <c r="A5" s="253" t="inlineStr">
        <is>
          <t>Центральный федеральный округ</t>
        </is>
      </c>
      <c r="B5" s="254" t="n">
        <v>101.9</v>
      </c>
      <c r="C5" s="254" t="n">
        <v>102.8</v>
      </c>
      <c r="D5" s="254" t="n">
        <v>101.8</v>
      </c>
      <c r="E5" s="254" t="n">
        <v>99.2</v>
      </c>
      <c r="F5" s="254" t="n">
        <v>109.4</v>
      </c>
      <c r="G5" s="254" t="n">
        <v>98.8</v>
      </c>
      <c r="H5" s="254" t="n">
        <v>107.7</v>
      </c>
    </row>
    <row r="6" ht="15" customHeight="1" s="226">
      <c r="A6" s="255" t="inlineStr">
        <is>
          <t>Белгородская область</t>
        </is>
      </c>
      <c r="B6" s="262" t="n">
        <v>104</v>
      </c>
      <c r="C6" s="262" t="n">
        <v>102.4</v>
      </c>
      <c r="D6" s="262" t="n">
        <v>102</v>
      </c>
      <c r="E6" s="262" t="n">
        <v>100.1</v>
      </c>
      <c r="F6" s="262" t="n">
        <v>102.8</v>
      </c>
      <c r="G6" s="263" t="n">
        <v>99.2</v>
      </c>
      <c r="H6" s="263" t="n">
        <v>103.1</v>
      </c>
    </row>
    <row r="7" ht="15" customHeight="1" s="226">
      <c r="A7" s="260" t="inlineStr">
        <is>
          <t>Брянская область</t>
        </is>
      </c>
      <c r="B7" s="262" t="n">
        <v>103.9</v>
      </c>
      <c r="C7" s="262" t="n">
        <v>103</v>
      </c>
      <c r="D7" s="262" t="n">
        <v>102.3</v>
      </c>
      <c r="E7" s="262" t="n">
        <v>99.59999999999999</v>
      </c>
      <c r="F7" s="262" t="n">
        <v>103.8</v>
      </c>
      <c r="G7" s="263" t="n">
        <v>99.90000000000001</v>
      </c>
      <c r="H7" s="263" t="n">
        <v>106.1</v>
      </c>
    </row>
    <row r="8" ht="15" customHeight="1" s="226">
      <c r="A8" s="260" t="inlineStr">
        <is>
          <t>Владимирская область</t>
        </is>
      </c>
      <c r="B8" s="262" t="n">
        <v>100.7</v>
      </c>
      <c r="C8" s="262" t="n">
        <v>100.5</v>
      </c>
      <c r="D8" s="262" t="n">
        <v>106.4</v>
      </c>
      <c r="E8" s="262" t="n">
        <v>99.8</v>
      </c>
      <c r="F8" s="262" t="n">
        <v>112.9</v>
      </c>
      <c r="G8" s="263" t="n">
        <v>93.40000000000001</v>
      </c>
      <c r="H8" s="263" t="n">
        <v>106.5</v>
      </c>
    </row>
    <row r="9" ht="15" customHeight="1" s="226">
      <c r="A9" s="260" t="inlineStr">
        <is>
          <t>Воронежская область</t>
        </is>
      </c>
      <c r="B9" s="262" t="n">
        <v>102.4</v>
      </c>
      <c r="C9" s="262" t="n">
        <v>102.7</v>
      </c>
      <c r="D9" s="262" t="n">
        <v>101.3</v>
      </c>
      <c r="E9" s="262" t="n">
        <v>97.40000000000001</v>
      </c>
      <c r="F9" s="262" t="n">
        <v>104</v>
      </c>
      <c r="G9" s="263" t="n">
        <v>97.59999999999999</v>
      </c>
      <c r="H9" s="263" t="n">
        <v>103.1</v>
      </c>
    </row>
    <row r="10" ht="15" customHeight="1" s="226">
      <c r="A10" s="260" t="inlineStr">
        <is>
          <t>Ивановская область</t>
        </is>
      </c>
      <c r="B10" s="262" t="n">
        <v>99.5</v>
      </c>
      <c r="C10" s="262" t="n">
        <v>101.5</v>
      </c>
      <c r="D10" s="262" t="n">
        <v>102.5</v>
      </c>
      <c r="E10" s="262" t="n">
        <v>101.3</v>
      </c>
      <c r="F10" s="262" t="n">
        <v>101.9</v>
      </c>
      <c r="G10" s="263" t="n">
        <v>100</v>
      </c>
      <c r="H10" s="263" t="n">
        <v>106.3</v>
      </c>
    </row>
    <row r="11" ht="15" customHeight="1" s="226">
      <c r="A11" s="260" t="inlineStr">
        <is>
          <t>Калужская область</t>
        </is>
      </c>
      <c r="B11" s="262" t="n">
        <v>105.4</v>
      </c>
      <c r="C11" s="262" t="n">
        <v>102.7</v>
      </c>
      <c r="D11" s="262" t="n">
        <v>102.3</v>
      </c>
      <c r="E11" s="262" t="n">
        <v>98.7</v>
      </c>
      <c r="F11" s="262" t="n">
        <v>107.5</v>
      </c>
      <c r="G11" s="263" t="n">
        <v>88.5</v>
      </c>
      <c r="H11" s="263" t="n">
        <v>106.2</v>
      </c>
    </row>
    <row r="12" ht="15" customHeight="1" s="226">
      <c r="A12" s="260" t="inlineStr">
        <is>
          <t>Костромская область</t>
        </is>
      </c>
      <c r="B12" s="262" t="n">
        <v>102.3</v>
      </c>
      <c r="C12" s="262" t="n">
        <v>100.3</v>
      </c>
      <c r="D12" s="262" t="n">
        <v>101.5</v>
      </c>
      <c r="E12" s="262" t="n">
        <v>96.3</v>
      </c>
      <c r="F12" s="262" t="n">
        <v>105.1</v>
      </c>
      <c r="G12" s="263" t="n">
        <v>98.3</v>
      </c>
      <c r="H12" s="263" t="n">
        <v>105.8</v>
      </c>
    </row>
    <row r="13" ht="15" customHeight="1" s="226">
      <c r="A13" s="260" t="inlineStr">
        <is>
          <t>Курская область</t>
        </is>
      </c>
      <c r="B13" s="262" t="n">
        <v>102.8</v>
      </c>
      <c r="C13" s="262" t="n">
        <v>102.9</v>
      </c>
      <c r="D13" s="262" t="n">
        <v>102.7</v>
      </c>
      <c r="E13" s="262" t="n">
        <v>102.1</v>
      </c>
      <c r="F13" s="262" t="n">
        <v>105.8</v>
      </c>
      <c r="G13" s="263" t="n">
        <v>94.59999999999999</v>
      </c>
      <c r="H13" s="263" t="n">
        <v>105.3</v>
      </c>
    </row>
    <row r="14" ht="15" customHeight="1" s="226">
      <c r="A14" s="260" t="inlineStr">
        <is>
          <t>Липецкая область</t>
        </is>
      </c>
      <c r="B14" s="262" t="n">
        <v>101.2</v>
      </c>
      <c r="C14" s="262" t="n">
        <v>102.1</v>
      </c>
      <c r="D14" s="262" t="n">
        <v>98.2</v>
      </c>
      <c r="E14" s="262" t="n">
        <v>102.8</v>
      </c>
      <c r="F14" s="262" t="n">
        <v>104.5</v>
      </c>
      <c r="G14" s="263" t="n">
        <v>92</v>
      </c>
      <c r="H14" s="263" t="n">
        <v>113.3</v>
      </c>
    </row>
    <row r="15" ht="15" customHeight="1" s="226">
      <c r="A15" s="260" t="inlineStr">
        <is>
          <t>Московская область</t>
        </is>
      </c>
      <c r="B15" s="262" t="n">
        <v>101.9</v>
      </c>
      <c r="C15" s="262" t="n">
        <v>102</v>
      </c>
      <c r="D15" s="262" t="n">
        <v>106.2</v>
      </c>
      <c r="E15" s="262" t="n">
        <v>98.90000000000001</v>
      </c>
      <c r="F15" s="262" t="n">
        <v>111.6</v>
      </c>
      <c r="G15" s="263" t="n">
        <v>95</v>
      </c>
      <c r="H15" s="263" t="n">
        <v>108.9</v>
      </c>
    </row>
    <row r="16" ht="15" customHeight="1" s="226">
      <c r="A16" s="260" t="inlineStr">
        <is>
          <t>Орловская область</t>
        </is>
      </c>
      <c r="B16" s="262" t="n">
        <v>98.59999999999999</v>
      </c>
      <c r="C16" s="262" t="n">
        <v>101.1</v>
      </c>
      <c r="D16" s="262" t="n">
        <v>102.8</v>
      </c>
      <c r="E16" s="262" t="n">
        <v>100</v>
      </c>
      <c r="F16" s="262" t="n">
        <v>102</v>
      </c>
      <c r="G16" s="263" t="n">
        <v>97.09999999999999</v>
      </c>
      <c r="H16" s="263" t="n">
        <v>104.8</v>
      </c>
    </row>
    <row r="17" ht="15" customHeight="1" s="226">
      <c r="A17" s="260" t="inlineStr">
        <is>
          <t>Рязанская область</t>
        </is>
      </c>
      <c r="B17" s="262" t="n">
        <v>101.9</v>
      </c>
      <c r="C17" s="262" t="n">
        <v>100.3</v>
      </c>
      <c r="D17" s="262" t="n">
        <v>101.3</v>
      </c>
      <c r="E17" s="262" t="n">
        <v>101.1</v>
      </c>
      <c r="F17" s="262" t="n">
        <v>103.9</v>
      </c>
      <c r="G17" s="263" t="n">
        <v>101.7</v>
      </c>
      <c r="H17" s="263" t="n">
        <v>104.6</v>
      </c>
    </row>
    <row r="18" ht="15" customHeight="1" s="226">
      <c r="A18" s="260" t="inlineStr">
        <is>
          <t>Смоленская область</t>
        </is>
      </c>
      <c r="B18" s="262" t="n">
        <v>103</v>
      </c>
      <c r="C18" s="262" t="n">
        <v>102</v>
      </c>
      <c r="D18" s="262" t="n">
        <v>100</v>
      </c>
      <c r="E18" s="262" t="n">
        <v>99</v>
      </c>
      <c r="F18" s="262" t="n">
        <v>105</v>
      </c>
      <c r="G18" s="263" t="n">
        <v>100.1</v>
      </c>
      <c r="H18" s="263" t="n">
        <v>107.2</v>
      </c>
    </row>
    <row r="19" ht="15" customHeight="1" s="226">
      <c r="A19" s="260" t="inlineStr">
        <is>
          <t>Тамбовская область</t>
        </is>
      </c>
      <c r="B19" s="262" t="n">
        <v>101.1</v>
      </c>
      <c r="C19" s="262" t="n">
        <v>103.3</v>
      </c>
      <c r="D19" s="262" t="n">
        <v>97.7</v>
      </c>
      <c r="E19" s="262" t="n">
        <v>100.2</v>
      </c>
      <c r="F19" s="262" t="n">
        <v>100.3</v>
      </c>
      <c r="G19" s="263" t="n">
        <v>98.09999999999999</v>
      </c>
      <c r="H19" s="263" t="n">
        <v>108.2</v>
      </c>
    </row>
    <row r="20" ht="15" customHeight="1" s="226">
      <c r="A20" s="260" t="inlineStr">
        <is>
          <t>Тверская область</t>
        </is>
      </c>
      <c r="B20" s="262" t="n">
        <v>101.2</v>
      </c>
      <c r="C20" s="262" t="n">
        <v>103.5</v>
      </c>
      <c r="D20" s="262" t="n">
        <v>98.40000000000001</v>
      </c>
      <c r="E20" s="262" t="n">
        <v>96.59999999999999</v>
      </c>
      <c r="F20" s="262" t="n">
        <v>103</v>
      </c>
      <c r="G20" s="263" t="n">
        <v>96.90000000000001</v>
      </c>
      <c r="H20" s="263" t="n">
        <v>110.1</v>
      </c>
    </row>
    <row r="21" ht="15" customHeight="1" s="226">
      <c r="A21" s="260" t="inlineStr">
        <is>
          <t>Тульская область</t>
        </is>
      </c>
      <c r="B21" s="262" t="n">
        <v>104</v>
      </c>
      <c r="C21" s="262" t="n">
        <v>103.2</v>
      </c>
      <c r="D21" s="262" t="n">
        <v>100.1</v>
      </c>
      <c r="E21" s="262" t="n">
        <v>103.1</v>
      </c>
      <c r="F21" s="262" t="n">
        <v>105.6</v>
      </c>
      <c r="G21" s="263" t="n">
        <v>104.1</v>
      </c>
      <c r="H21" s="263" t="n">
        <v>109.6</v>
      </c>
    </row>
    <row r="22" ht="15" customHeight="1" s="226">
      <c r="A22" s="260" t="inlineStr">
        <is>
          <t>Ярославская область</t>
        </is>
      </c>
      <c r="B22" s="262" t="n">
        <v>102.3</v>
      </c>
      <c r="C22" s="262" t="n">
        <v>103.2</v>
      </c>
      <c r="D22" s="262" t="n">
        <v>100.1</v>
      </c>
      <c r="E22" s="262" t="n">
        <v>99.7</v>
      </c>
      <c r="F22" s="262" t="n">
        <v>105.2</v>
      </c>
      <c r="G22" s="263" t="n">
        <v>97</v>
      </c>
      <c r="H22" s="263" t="n">
        <v>105.1</v>
      </c>
    </row>
    <row r="23" ht="15" customHeight="1" s="226">
      <c r="A23" s="260" t="inlineStr">
        <is>
          <t>г.Москва</t>
        </is>
      </c>
      <c r="B23" s="262" t="n">
        <v>101.7</v>
      </c>
      <c r="C23" s="262" t="n">
        <v>103.2</v>
      </c>
      <c r="D23" s="262" t="n">
        <v>101.1</v>
      </c>
      <c r="E23" s="262" t="n">
        <v>99</v>
      </c>
      <c r="F23" s="262" t="n">
        <v>110.7</v>
      </c>
      <c r="G23" s="263" t="n">
        <v>100.6</v>
      </c>
      <c r="H23" s="263" t="n">
        <v>107.9</v>
      </c>
    </row>
    <row r="24" ht="15" customFormat="1" customHeight="1" s="318">
      <c r="A24" s="276" t="inlineStr">
        <is>
          <t>Северо-Западный федеральный округ</t>
        </is>
      </c>
      <c r="B24" s="254" t="n">
        <v>100.9</v>
      </c>
      <c r="C24" s="254" t="n">
        <v>102.4</v>
      </c>
      <c r="D24" s="254" t="n">
        <v>101.7</v>
      </c>
      <c r="E24" s="254" t="n">
        <v>98</v>
      </c>
      <c r="F24" s="254" t="n">
        <v>112.5</v>
      </c>
      <c r="G24" s="254" t="n">
        <v>97.5</v>
      </c>
      <c r="H24" s="254" t="n">
        <v>99.5</v>
      </c>
    </row>
    <row r="25" ht="15" customHeight="1" s="226">
      <c r="A25" s="268" t="inlineStr">
        <is>
          <t>Республика Карелия</t>
        </is>
      </c>
      <c r="B25" s="262" t="n">
        <v>100.6</v>
      </c>
      <c r="C25" s="262" t="n">
        <v>101.1</v>
      </c>
      <c r="D25" s="262" t="n">
        <v>100.3</v>
      </c>
      <c r="E25" s="262" t="n">
        <v>100.2</v>
      </c>
      <c r="F25" s="262" t="n">
        <v>102.9</v>
      </c>
      <c r="G25" s="263" t="n">
        <v>91</v>
      </c>
      <c r="H25" s="263" t="n">
        <v>103.6</v>
      </c>
    </row>
    <row r="26" ht="15" customHeight="1" s="226">
      <c r="A26" s="268" t="inlineStr">
        <is>
          <t>Республика Коми</t>
        </is>
      </c>
      <c r="B26" s="262" t="n">
        <v>96.3</v>
      </c>
      <c r="C26" s="262" t="n">
        <v>98.7</v>
      </c>
      <c r="D26" s="262" t="n">
        <v>100.9</v>
      </c>
      <c r="E26" s="262" t="n">
        <v>93.8</v>
      </c>
      <c r="F26" s="262" t="n">
        <v>102.2</v>
      </c>
      <c r="G26" s="263" t="n">
        <v>99.90000000000001</v>
      </c>
      <c r="H26" s="263" t="n">
        <v>99.3</v>
      </c>
    </row>
    <row r="27" ht="15" customHeight="1" s="226">
      <c r="A27" s="268" t="inlineStr">
        <is>
          <t>Архангельская область</t>
        </is>
      </c>
      <c r="B27" s="262" t="n">
        <v>101.7</v>
      </c>
      <c r="C27" s="262" t="n">
        <v>99.3</v>
      </c>
      <c r="D27" s="262" t="n">
        <v>100.2</v>
      </c>
      <c r="E27" s="262" t="n">
        <v>93.5</v>
      </c>
      <c r="F27" s="262" t="n">
        <v>105.3</v>
      </c>
      <c r="G27" s="263" t="n">
        <v>102.5</v>
      </c>
      <c r="H27" s="263" t="n">
        <v>98.7</v>
      </c>
    </row>
    <row r="28" ht="15" customHeight="1" s="226">
      <c r="A28" s="268" t="inlineStr">
        <is>
          <t xml:space="preserve">  в т.ч. Ненецкий авт. округ</t>
        </is>
      </c>
      <c r="B28" s="262" t="n">
        <v>98.40000000000001</v>
      </c>
      <c r="C28" s="262" t="n">
        <v>92.5</v>
      </c>
      <c r="D28" s="262" t="n">
        <v>99.59999999999999</v>
      </c>
      <c r="E28" s="262" t="n">
        <v>85.59999999999999</v>
      </c>
      <c r="F28" s="262" t="n">
        <v>108.6</v>
      </c>
      <c r="G28" s="263" t="n">
        <v>112.3</v>
      </c>
      <c r="H28" s="263" t="n">
        <v>96.7</v>
      </c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2" t="n">
        <v>103.6</v>
      </c>
      <c r="C29" s="262" t="n">
        <v>102.9</v>
      </c>
      <c r="D29" s="262" t="n">
        <v>100.6</v>
      </c>
      <c r="E29" s="262" t="n">
        <v>98.2</v>
      </c>
      <c r="F29" s="262" t="n">
        <v>103.9</v>
      </c>
      <c r="G29" s="263" t="n">
        <v>96.5</v>
      </c>
      <c r="H29" s="263" t="n">
        <v>100.1</v>
      </c>
    </row>
    <row r="30" ht="15" customHeight="1" s="226">
      <c r="A30" s="268" t="inlineStr">
        <is>
          <t>Вологодская область</t>
        </is>
      </c>
      <c r="B30" s="262" t="n">
        <v>100.7</v>
      </c>
      <c r="C30" s="262" t="n">
        <v>102.3</v>
      </c>
      <c r="D30" s="262" t="n">
        <v>99.3</v>
      </c>
      <c r="E30" s="262" t="n">
        <v>98.09999999999999</v>
      </c>
      <c r="F30" s="262" t="n">
        <v>102.9</v>
      </c>
      <c r="G30" s="263" t="n">
        <v>95.2</v>
      </c>
      <c r="H30" s="263" t="n">
        <v>102.5</v>
      </c>
    </row>
    <row r="31" ht="15" customHeight="1" s="226">
      <c r="A31" s="268" t="inlineStr">
        <is>
          <t>Калининградская область</t>
        </is>
      </c>
      <c r="B31" s="262" t="n">
        <v>102.1</v>
      </c>
      <c r="C31" s="262" t="n">
        <v>103.3</v>
      </c>
      <c r="D31" s="262" t="n">
        <v>101.6</v>
      </c>
      <c r="E31" s="262" t="n">
        <v>100.2</v>
      </c>
      <c r="F31" s="262" t="n">
        <v>109</v>
      </c>
      <c r="G31" s="263" t="n">
        <v>95.5</v>
      </c>
      <c r="H31" s="263" t="n">
        <v>102.4</v>
      </c>
    </row>
    <row r="32" ht="15" customHeight="1" s="226">
      <c r="A32" s="268" t="inlineStr">
        <is>
          <t>Ленинградская область</t>
        </is>
      </c>
      <c r="B32" s="262" t="n">
        <v>101.6</v>
      </c>
      <c r="C32" s="262" t="n">
        <v>104.5</v>
      </c>
      <c r="D32" s="262" t="n">
        <v>102.8</v>
      </c>
      <c r="E32" s="262" t="n">
        <v>99.5</v>
      </c>
      <c r="F32" s="262" t="n">
        <v>106.7</v>
      </c>
      <c r="G32" s="263" t="n">
        <v>100.1</v>
      </c>
      <c r="H32" s="263" t="n">
        <v>109</v>
      </c>
    </row>
    <row r="33" ht="15" customHeight="1" s="226">
      <c r="A33" s="268" t="inlineStr">
        <is>
          <t>Мурманская область</t>
        </is>
      </c>
      <c r="B33" s="262" t="n">
        <v>101.4</v>
      </c>
      <c r="C33" s="262" t="n">
        <v>100.6</v>
      </c>
      <c r="D33" s="262" t="n">
        <v>105.1</v>
      </c>
      <c r="E33" s="262" t="n">
        <v>107.2</v>
      </c>
      <c r="F33" s="262" t="n">
        <v>105.7</v>
      </c>
      <c r="G33" s="263" t="n">
        <v>92.59999999999999</v>
      </c>
      <c r="H33" s="263" t="n">
        <v>92</v>
      </c>
    </row>
    <row r="34" ht="15" customHeight="1" s="226">
      <c r="A34" s="268" t="inlineStr">
        <is>
          <t>Новгородская область</t>
        </is>
      </c>
      <c r="B34" s="262" t="n">
        <v>101.9</v>
      </c>
      <c r="C34" s="262" t="n">
        <v>98.2</v>
      </c>
      <c r="D34" s="262" t="n">
        <v>102.2</v>
      </c>
      <c r="E34" s="262" t="n">
        <v>99.90000000000001</v>
      </c>
      <c r="F34" s="262" t="n">
        <v>104</v>
      </c>
      <c r="G34" s="263" t="n">
        <v>98.59999999999999</v>
      </c>
      <c r="H34" s="263" t="n">
        <v>103.7</v>
      </c>
    </row>
    <row r="35" ht="15" customHeight="1" s="226">
      <c r="A35" s="268" t="inlineStr">
        <is>
          <t>Псковская область</t>
        </is>
      </c>
      <c r="B35" s="262" t="n">
        <v>100.7</v>
      </c>
      <c r="C35" s="262" t="n">
        <v>101.8</v>
      </c>
      <c r="D35" s="262" t="n">
        <v>102.7</v>
      </c>
      <c r="E35" s="262" t="n">
        <v>97.5</v>
      </c>
      <c r="F35" s="262" t="n">
        <v>101.6</v>
      </c>
      <c r="G35" s="263" t="n">
        <v>99.09999999999999</v>
      </c>
      <c r="H35" s="263" t="n">
        <v>105.4</v>
      </c>
    </row>
    <row r="36" ht="15" customHeight="1" s="226">
      <c r="A36" s="268" t="inlineStr">
        <is>
          <t>г.Санкт-Петербург</t>
        </is>
      </c>
      <c r="B36" s="270" t="n">
        <v>101.1</v>
      </c>
      <c r="C36" s="270" t="n">
        <v>103.4</v>
      </c>
      <c r="D36" s="262" t="n">
        <v>101.8</v>
      </c>
      <c r="E36" s="270" t="n">
        <v>97.5</v>
      </c>
      <c r="F36" s="262" t="n">
        <v>120</v>
      </c>
      <c r="G36" s="271" t="n">
        <v>97.59999999999999</v>
      </c>
      <c r="H36" s="271" t="n">
        <v>98.09999999999999</v>
      </c>
    </row>
    <row r="37" ht="15" customFormat="1" customHeight="1" s="318">
      <c r="A37" s="272" t="inlineStr">
        <is>
          <t>Южный федеральный округ</t>
        </is>
      </c>
      <c r="B37" s="254" t="n">
        <v>103.3</v>
      </c>
      <c r="C37" s="254" t="n">
        <v>101.7</v>
      </c>
      <c r="D37" s="254" t="n">
        <v>101.2</v>
      </c>
      <c r="E37" s="254" t="n">
        <v>98.5</v>
      </c>
      <c r="F37" s="254" t="n">
        <v>104.5</v>
      </c>
      <c r="G37" s="254" t="n">
        <v>104.9</v>
      </c>
      <c r="H37" s="254" t="n">
        <v>105.4</v>
      </c>
    </row>
    <row r="38" ht="15" customHeight="1" s="226">
      <c r="A38" s="268" t="inlineStr">
        <is>
          <t>Республика Адыгея</t>
        </is>
      </c>
      <c r="B38" s="273" t="n">
        <v>102.6</v>
      </c>
      <c r="C38" s="273" t="n">
        <v>103.3</v>
      </c>
      <c r="D38" s="262" t="n">
        <v>104.4</v>
      </c>
      <c r="E38" s="273" t="n">
        <v>103.6</v>
      </c>
      <c r="F38" s="262" t="n">
        <v>103.5</v>
      </c>
      <c r="G38" s="274" t="n">
        <v>104.2</v>
      </c>
      <c r="H38" s="274" t="n">
        <v>106.8</v>
      </c>
    </row>
    <row r="39" ht="15" customHeight="1" s="226">
      <c r="A39" s="268" t="inlineStr">
        <is>
          <t>Республика Калмыкия</t>
        </is>
      </c>
      <c r="B39" s="262" t="n">
        <v>101.5</v>
      </c>
      <c r="C39" s="262" t="n">
        <v>100.1</v>
      </c>
      <c r="D39" s="262" t="n">
        <v>99.59999999999999</v>
      </c>
      <c r="E39" s="262" t="n">
        <v>97.09999999999999</v>
      </c>
      <c r="F39" s="262" t="n">
        <v>99.90000000000001</v>
      </c>
      <c r="G39" s="263" t="n">
        <v>108.8</v>
      </c>
      <c r="H39" s="263" t="n">
        <v>125.6</v>
      </c>
    </row>
    <row r="40" ht="15" customHeight="1" s="226">
      <c r="A40" s="268" t="inlineStr">
        <is>
          <t>Республика Крым</t>
        </is>
      </c>
      <c r="B40" s="262" t="n">
        <v>103.9</v>
      </c>
      <c r="C40" s="262" t="n">
        <v>104.8</v>
      </c>
      <c r="D40" s="262" t="n">
        <v>103.1</v>
      </c>
      <c r="E40" s="262" t="n">
        <v>100.8</v>
      </c>
      <c r="F40" s="262" t="n">
        <v>104.4</v>
      </c>
      <c r="G40" s="263" t="n">
        <v>98</v>
      </c>
      <c r="H40" s="263" t="n">
        <v>103.7</v>
      </c>
    </row>
    <row r="41" ht="15" customHeight="1" s="226">
      <c r="A41" s="268" t="inlineStr">
        <is>
          <t>Краснодарский край</t>
        </is>
      </c>
      <c r="B41" s="262" t="n">
        <v>103.3</v>
      </c>
      <c r="C41" s="262" t="n">
        <v>101</v>
      </c>
      <c r="D41" s="262" t="n">
        <v>100.3</v>
      </c>
      <c r="E41" s="262" t="n">
        <v>98.2</v>
      </c>
      <c r="F41" s="262" t="n">
        <v>108.1</v>
      </c>
      <c r="G41" s="263" t="n">
        <v>108.1</v>
      </c>
      <c r="H41" s="263" t="n">
        <v>104.1</v>
      </c>
    </row>
    <row r="42" ht="15" customHeight="1" s="226">
      <c r="A42" s="268" t="inlineStr">
        <is>
          <t>Астраханская область</t>
        </is>
      </c>
      <c r="B42" s="262" t="n">
        <v>112.1</v>
      </c>
      <c r="C42" s="262" t="n">
        <v>104.5</v>
      </c>
      <c r="D42" s="262" t="n">
        <v>102.4</v>
      </c>
      <c r="E42" s="262" t="n">
        <v>99.90000000000001</v>
      </c>
      <c r="F42" s="262" t="n">
        <v>96.7</v>
      </c>
      <c r="G42" s="263" t="n">
        <v>100.7</v>
      </c>
      <c r="H42" s="263" t="n">
        <v>103.6</v>
      </c>
    </row>
    <row r="43" ht="15" customHeight="1" s="226">
      <c r="A43" s="268" t="inlineStr">
        <is>
          <t>Волгоградская область</t>
        </is>
      </c>
      <c r="B43" s="262" t="n">
        <v>100</v>
      </c>
      <c r="C43" s="262" t="n">
        <v>99.59999999999999</v>
      </c>
      <c r="D43" s="262" t="n">
        <v>99.90000000000001</v>
      </c>
      <c r="E43" s="262" t="n">
        <v>98.5</v>
      </c>
      <c r="F43" s="262" t="n">
        <v>96.3</v>
      </c>
      <c r="G43" s="263" t="n">
        <v>104.3</v>
      </c>
      <c r="H43" s="263" t="n">
        <v>108</v>
      </c>
    </row>
    <row r="44" ht="15" customHeight="1" s="226">
      <c r="A44" s="268" t="inlineStr">
        <is>
          <t>Ростовская область</t>
        </is>
      </c>
      <c r="B44" s="262" t="n">
        <v>102.5</v>
      </c>
      <c r="C44" s="262" t="n">
        <v>102.2</v>
      </c>
      <c r="D44" s="262" t="n">
        <v>101.8</v>
      </c>
      <c r="E44" s="262" t="n">
        <v>97.59999999999999</v>
      </c>
      <c r="F44" s="262" t="n">
        <v>106.3</v>
      </c>
      <c r="G44" s="263" t="n">
        <v>103.1</v>
      </c>
      <c r="H44" s="263" t="n">
        <v>106.2</v>
      </c>
    </row>
    <row r="45" ht="15" customHeight="1" s="226">
      <c r="A45" s="268" t="inlineStr">
        <is>
          <t>г.Севастополь</t>
        </is>
      </c>
      <c r="B45" s="262" t="n">
        <v>107.1</v>
      </c>
      <c r="C45" s="262" t="n">
        <v>106.1</v>
      </c>
      <c r="D45" s="262" t="n">
        <v>105.9</v>
      </c>
      <c r="E45" s="262" t="n">
        <v>97.5</v>
      </c>
      <c r="F45" s="262" t="n">
        <v>107.7</v>
      </c>
      <c r="G45" s="263" t="n">
        <v>109.4</v>
      </c>
      <c r="H45" s="263" t="n">
        <v>105.8</v>
      </c>
    </row>
    <row r="46" ht="15" customHeight="1" s="226">
      <c r="A46" s="276" t="inlineStr">
        <is>
          <t>Северо-Кавказский федеральный округ</t>
        </is>
      </c>
      <c r="B46" s="275" t="n">
        <v>101.5</v>
      </c>
      <c r="C46" s="275" t="n">
        <v>100.8</v>
      </c>
      <c r="D46" s="254" t="n">
        <v>101.7</v>
      </c>
      <c r="E46" s="275" t="n">
        <v>99.8</v>
      </c>
      <c r="F46" s="254" t="n">
        <v>104.9</v>
      </c>
      <c r="G46" s="254" t="n">
        <v>102.5</v>
      </c>
      <c r="H46" s="254" t="n">
        <v>107.1</v>
      </c>
    </row>
    <row r="47" ht="15" customHeight="1" s="226">
      <c r="A47" s="268" t="inlineStr">
        <is>
          <t>Республика Дагестан</t>
        </is>
      </c>
      <c r="B47" s="262" t="n">
        <v>103.2</v>
      </c>
      <c r="C47" s="262" t="n">
        <v>101</v>
      </c>
      <c r="D47" s="262" t="n">
        <v>100.9</v>
      </c>
      <c r="E47" s="262" t="n">
        <v>99.3</v>
      </c>
      <c r="F47" s="262" t="n">
        <v>102.7</v>
      </c>
      <c r="G47" s="263" t="n">
        <v>101.9</v>
      </c>
      <c r="H47" s="263" t="n">
        <v>105.2</v>
      </c>
    </row>
    <row r="48" ht="15" customHeight="1" s="226">
      <c r="A48" s="268" t="inlineStr">
        <is>
          <t>Республика Ингушетия</t>
        </is>
      </c>
      <c r="B48" s="262" t="n">
        <v>103.3</v>
      </c>
      <c r="C48" s="262" t="n">
        <v>103.8</v>
      </c>
      <c r="D48" s="262" t="n">
        <v>101.8</v>
      </c>
      <c r="E48" s="262" t="n">
        <v>94</v>
      </c>
      <c r="F48" s="262" t="n">
        <v>100.4</v>
      </c>
      <c r="G48" s="263" t="n">
        <v>103.8</v>
      </c>
      <c r="H48" s="263" t="n">
        <v>103.5</v>
      </c>
    </row>
    <row r="49" ht="15" customHeight="1" s="226">
      <c r="A49" s="268" t="inlineStr">
        <is>
          <t>Кабардино-Балкарская Республика</t>
        </is>
      </c>
      <c r="B49" s="262" t="n">
        <v>100.4</v>
      </c>
      <c r="C49" s="262" t="n">
        <v>101.1</v>
      </c>
      <c r="D49" s="262" t="n">
        <v>99.59999999999999</v>
      </c>
      <c r="E49" s="262" t="n">
        <v>100.1</v>
      </c>
      <c r="F49" s="262" t="n">
        <v>105.5</v>
      </c>
      <c r="G49" s="263" t="n">
        <v>107</v>
      </c>
      <c r="H49" s="263" t="n">
        <v>108.1</v>
      </c>
    </row>
    <row r="50" ht="15" customHeight="1" s="226">
      <c r="A50" s="268" t="inlineStr">
        <is>
          <t>Карачаево-Черкесская Республика</t>
        </is>
      </c>
      <c r="B50" s="262" t="n">
        <v>100.9</v>
      </c>
      <c r="C50" s="262" t="n">
        <v>98</v>
      </c>
      <c r="D50" s="262" t="n">
        <v>101.2</v>
      </c>
      <c r="E50" s="262" t="n">
        <v>96.3</v>
      </c>
      <c r="F50" s="262" t="n">
        <v>106.5</v>
      </c>
      <c r="G50" s="263" t="n">
        <v>104.4</v>
      </c>
      <c r="H50" s="263" t="n">
        <v>107.4</v>
      </c>
    </row>
    <row r="51" ht="15" customHeight="1" s="226">
      <c r="A51" s="268" t="inlineStr">
        <is>
          <t>Республика Северная Осетия-Алания</t>
        </is>
      </c>
      <c r="B51" s="262" t="n">
        <v>98.5</v>
      </c>
      <c r="C51" s="262" t="n">
        <v>98.59999999999999</v>
      </c>
      <c r="D51" s="262" t="n">
        <v>99.2</v>
      </c>
      <c r="E51" s="262" t="n">
        <v>101.8</v>
      </c>
      <c r="F51" s="262" t="n">
        <v>106.3</v>
      </c>
      <c r="G51" s="263" t="n">
        <v>100.5</v>
      </c>
      <c r="H51" s="263" t="n">
        <v>103.7</v>
      </c>
    </row>
    <row r="52" ht="15" customHeight="1" s="226">
      <c r="A52" s="268" t="inlineStr">
        <is>
          <t>Чеченская Республика</t>
        </is>
      </c>
      <c r="B52" s="262" t="n">
        <v>102.6</v>
      </c>
      <c r="C52" s="262" t="n">
        <v>101.5</v>
      </c>
      <c r="D52" s="262" t="n">
        <v>104.5</v>
      </c>
      <c r="E52" s="262" t="n">
        <v>101.4</v>
      </c>
      <c r="F52" s="262" t="n">
        <v>102.1</v>
      </c>
      <c r="G52" s="263" t="n">
        <v>104.7</v>
      </c>
      <c r="H52" s="263" t="n">
        <v>116.6</v>
      </c>
    </row>
    <row r="53" ht="15" customFormat="1" customHeight="1" s="318">
      <c r="A53" s="268" t="inlineStr">
        <is>
          <t>Ставропольский край</t>
        </is>
      </c>
      <c r="B53" s="262" t="n">
        <v>100.4</v>
      </c>
      <c r="C53" s="262" t="n">
        <v>100.8</v>
      </c>
      <c r="D53" s="262" t="n">
        <v>102.5</v>
      </c>
      <c r="E53" s="262" t="n">
        <v>100</v>
      </c>
      <c r="F53" s="262" t="n">
        <v>107.4</v>
      </c>
      <c r="G53" s="263" t="n">
        <v>101.5</v>
      </c>
      <c r="H53" s="263" t="n">
        <v>106.6</v>
      </c>
    </row>
    <row r="54" ht="15" customHeight="1" s="226">
      <c r="A54" s="276" t="inlineStr">
        <is>
          <t>Приволжский федеральный округ</t>
        </is>
      </c>
      <c r="B54" s="275" t="n">
        <v>101.5</v>
      </c>
      <c r="C54" s="275" t="n">
        <v>101.8</v>
      </c>
      <c r="D54" s="254" t="n">
        <v>102</v>
      </c>
      <c r="E54" s="275" t="n">
        <v>97</v>
      </c>
      <c r="F54" s="254" t="n">
        <v>103.4</v>
      </c>
      <c r="G54" s="254" t="n">
        <v>101.7</v>
      </c>
      <c r="H54" s="254" t="n">
        <v>105.9</v>
      </c>
    </row>
    <row r="55" ht="15" customHeight="1" s="226">
      <c r="A55" s="277" t="inlineStr">
        <is>
          <t>Республика Башкортостан</t>
        </is>
      </c>
      <c r="B55" s="262" t="n">
        <v>100.5</v>
      </c>
      <c r="C55" s="262" t="n">
        <v>103.2</v>
      </c>
      <c r="D55" s="262" t="n">
        <v>101.9</v>
      </c>
      <c r="E55" s="262" t="n">
        <v>94.2</v>
      </c>
      <c r="F55" s="262" t="n">
        <v>102.8</v>
      </c>
      <c r="G55" s="263" t="n">
        <v>101</v>
      </c>
      <c r="H55" s="263" t="n">
        <v>104.7</v>
      </c>
    </row>
    <row r="56" ht="15" customHeight="1" s="226">
      <c r="A56" s="277" t="inlineStr">
        <is>
          <t>Республика Марий Эл</t>
        </is>
      </c>
      <c r="B56" s="262" t="n">
        <v>101.5</v>
      </c>
      <c r="C56" s="262" t="n">
        <v>102.3</v>
      </c>
      <c r="D56" s="262" t="n">
        <v>100.8</v>
      </c>
      <c r="E56" s="262" t="n">
        <v>97.40000000000001</v>
      </c>
      <c r="F56" s="262" t="n">
        <v>100.2</v>
      </c>
      <c r="G56" s="263" t="n">
        <v>99.7</v>
      </c>
      <c r="H56" s="263" t="n">
        <v>108.5</v>
      </c>
    </row>
    <row r="57" ht="15" customHeight="1" s="226">
      <c r="A57" s="277" t="inlineStr">
        <is>
          <t>Республика Мордовия</t>
        </is>
      </c>
      <c r="B57" s="262" t="n">
        <v>102.8</v>
      </c>
      <c r="C57" s="262" t="n">
        <v>100</v>
      </c>
      <c r="D57" s="262" t="n">
        <v>102.4</v>
      </c>
      <c r="E57" s="262" t="n">
        <v>99.3</v>
      </c>
      <c r="F57" s="262" t="n">
        <v>102.8</v>
      </c>
      <c r="G57" s="263" t="n">
        <v>98.90000000000001</v>
      </c>
      <c r="H57" s="263" t="n">
        <v>106.9</v>
      </c>
    </row>
    <row r="58" ht="15" customHeight="1" s="226">
      <c r="A58" s="277" t="inlineStr">
        <is>
          <t>Республика Татарстан</t>
        </is>
      </c>
      <c r="B58" s="262" t="n">
        <v>102</v>
      </c>
      <c r="C58" s="262" t="n">
        <v>102.2</v>
      </c>
      <c r="D58" s="262" t="n">
        <v>102.8</v>
      </c>
      <c r="E58" s="262" t="n">
        <v>96.90000000000001</v>
      </c>
      <c r="F58" s="262" t="n">
        <v>103.2</v>
      </c>
      <c r="G58" s="263" t="n">
        <v>105.4</v>
      </c>
      <c r="H58" s="263" t="n">
        <v>104.3</v>
      </c>
    </row>
    <row r="59" ht="15" customHeight="1" s="226">
      <c r="A59" s="277" t="inlineStr">
        <is>
          <t>Удмуртская Республика</t>
        </is>
      </c>
      <c r="B59" s="262" t="n">
        <v>99.59999999999999</v>
      </c>
      <c r="C59" s="262" t="n">
        <v>102</v>
      </c>
      <c r="D59" s="262" t="n">
        <v>100.4</v>
      </c>
      <c r="E59" s="262" t="n">
        <v>96</v>
      </c>
      <c r="F59" s="262" t="n">
        <v>102.6</v>
      </c>
      <c r="G59" s="263" t="n">
        <v>101.4</v>
      </c>
      <c r="H59" s="263" t="n">
        <v>108.1</v>
      </c>
    </row>
    <row r="60" ht="15" customHeight="1" s="226">
      <c r="A60" s="277" t="inlineStr">
        <is>
          <t>Чувашская Республика</t>
        </is>
      </c>
      <c r="B60" s="262" t="n">
        <v>101.4</v>
      </c>
      <c r="C60" s="262" t="n">
        <v>102</v>
      </c>
      <c r="D60" s="262" t="n">
        <v>102.4</v>
      </c>
      <c r="E60" s="262" t="n">
        <v>98.5</v>
      </c>
      <c r="F60" s="262" t="n">
        <v>102.6</v>
      </c>
      <c r="G60" s="263" t="n">
        <v>103.7</v>
      </c>
      <c r="H60" s="263" t="n">
        <v>108.8</v>
      </c>
    </row>
    <row r="61" ht="15" customHeight="1" s="226">
      <c r="A61" s="268" t="inlineStr">
        <is>
          <t>Пермский край</t>
        </is>
      </c>
      <c r="B61" s="262" t="n">
        <v>101.9</v>
      </c>
      <c r="C61" s="262" t="n">
        <v>100.8</v>
      </c>
      <c r="D61" s="262" t="n">
        <v>100.6</v>
      </c>
      <c r="E61" s="262" t="n">
        <v>97.3</v>
      </c>
      <c r="F61" s="262" t="n">
        <v>103.6</v>
      </c>
      <c r="G61" s="263" t="n">
        <v>98.7</v>
      </c>
      <c r="H61" s="263" t="n">
        <v>104.7</v>
      </c>
    </row>
    <row r="62" ht="15" customHeight="1" s="226">
      <c r="A62" s="268" t="inlineStr">
        <is>
          <t>Кировская область</t>
        </is>
      </c>
      <c r="B62" s="262" t="n">
        <v>101.2</v>
      </c>
      <c r="C62" s="262" t="n">
        <v>102</v>
      </c>
      <c r="D62" s="262" t="n">
        <v>100.9</v>
      </c>
      <c r="E62" s="262" t="n">
        <v>101.5</v>
      </c>
      <c r="F62" s="262" t="n">
        <v>106</v>
      </c>
      <c r="G62" s="263" t="n">
        <v>100.7</v>
      </c>
      <c r="H62" s="263" t="n">
        <v>104.4</v>
      </c>
    </row>
    <row r="63" ht="15" customHeight="1" s="226">
      <c r="A63" s="268" t="inlineStr">
        <is>
          <t>Нижегородская область</t>
        </is>
      </c>
      <c r="B63" s="262" t="n">
        <v>101.9</v>
      </c>
      <c r="C63" s="262" t="n">
        <v>102.1</v>
      </c>
      <c r="D63" s="262" t="n">
        <v>103.6</v>
      </c>
      <c r="E63" s="262" t="n">
        <v>96</v>
      </c>
      <c r="F63" s="262" t="n">
        <v>106</v>
      </c>
      <c r="G63" s="263" t="n">
        <v>102.5</v>
      </c>
      <c r="H63" s="263" t="n">
        <v>110.6</v>
      </c>
    </row>
    <row r="64" ht="15" customHeight="1" s="226">
      <c r="A64" s="268" t="inlineStr">
        <is>
          <t>Оренбургская область</t>
        </is>
      </c>
      <c r="B64" s="262" t="n">
        <v>101.8</v>
      </c>
      <c r="C64" s="262" t="n">
        <v>102.7</v>
      </c>
      <c r="D64" s="262" t="n">
        <v>102.2</v>
      </c>
      <c r="E64" s="262" t="n">
        <v>99</v>
      </c>
      <c r="F64" s="262" t="n">
        <v>102</v>
      </c>
      <c r="G64" s="263" t="n">
        <v>101.3</v>
      </c>
      <c r="H64" s="263" t="n">
        <v>106.2</v>
      </c>
    </row>
    <row r="65" ht="15" customHeight="1" s="226">
      <c r="A65" s="268" t="inlineStr">
        <is>
          <t>Пензенская область</t>
        </is>
      </c>
      <c r="B65" s="262" t="n">
        <v>102.1</v>
      </c>
      <c r="C65" s="262" t="n">
        <v>103.2</v>
      </c>
      <c r="D65" s="262" t="n">
        <v>103.1</v>
      </c>
      <c r="E65" s="262" t="n">
        <v>103.1</v>
      </c>
      <c r="F65" s="262" t="n">
        <v>101.8</v>
      </c>
      <c r="G65" s="263" t="n">
        <v>101.5</v>
      </c>
      <c r="H65" s="263" t="n">
        <v>106.1</v>
      </c>
    </row>
    <row r="66" ht="15" customHeight="1" s="226">
      <c r="A66" s="268" t="inlineStr">
        <is>
          <t>Самарская область</t>
        </is>
      </c>
      <c r="B66" s="262" t="n">
        <v>100.8</v>
      </c>
      <c r="C66" s="262" t="n">
        <v>100.2</v>
      </c>
      <c r="D66" s="262" t="n">
        <v>101.4</v>
      </c>
      <c r="E66" s="262" t="n">
        <v>94.09999999999999</v>
      </c>
      <c r="F66" s="262" t="n">
        <v>105.3</v>
      </c>
      <c r="G66" s="263" t="n">
        <v>97.8</v>
      </c>
      <c r="H66" s="263" t="n">
        <v>105.3</v>
      </c>
    </row>
    <row r="67" ht="15" customHeight="1" s="226">
      <c r="A67" s="277" t="inlineStr">
        <is>
          <t>Саратовская область</t>
        </is>
      </c>
      <c r="B67" s="262" t="n">
        <v>102.2</v>
      </c>
      <c r="C67" s="262" t="n">
        <v>101.7</v>
      </c>
      <c r="D67" s="262" t="n">
        <v>101.8</v>
      </c>
      <c r="E67" s="262" t="n">
        <v>101</v>
      </c>
      <c r="F67" s="262" t="n">
        <v>100.6</v>
      </c>
      <c r="G67" s="263" t="n">
        <v>105.3</v>
      </c>
      <c r="H67" s="263" t="n">
        <v>104.6</v>
      </c>
    </row>
    <row r="68" ht="15" customFormat="1" customHeight="1" s="318">
      <c r="A68" s="277" t="inlineStr">
        <is>
          <t>Ульяновская область</t>
        </is>
      </c>
      <c r="B68" s="262" t="n">
        <v>101.4</v>
      </c>
      <c r="C68" s="262" t="n">
        <v>100.3</v>
      </c>
      <c r="D68" s="262" t="n">
        <v>102.2</v>
      </c>
      <c r="E68" s="262" t="n">
        <v>99</v>
      </c>
      <c r="F68" s="262" t="n">
        <v>103.2</v>
      </c>
      <c r="G68" s="263" t="n">
        <v>99</v>
      </c>
      <c r="H68" s="263" t="n">
        <v>104.8</v>
      </c>
    </row>
    <row r="69" ht="15" customHeight="1" s="226">
      <c r="A69" s="267" t="inlineStr">
        <is>
          <t>Уральский федеральный округ</t>
        </is>
      </c>
      <c r="B69" s="275" t="n">
        <v>103</v>
      </c>
      <c r="C69" s="275" t="n">
        <v>105.2</v>
      </c>
      <c r="D69" s="254" t="n">
        <v>100.7</v>
      </c>
      <c r="E69" s="275" t="n">
        <v>95.2</v>
      </c>
      <c r="F69" s="254" t="n">
        <v>106.4</v>
      </c>
      <c r="G69" s="254" t="n">
        <v>101.1</v>
      </c>
      <c r="H69" s="254" t="n">
        <v>102.4</v>
      </c>
    </row>
    <row r="70" ht="15" customHeight="1" s="226">
      <c r="A70" s="278" t="inlineStr">
        <is>
          <t>Курганская область</t>
        </is>
      </c>
      <c r="B70" s="262" t="n">
        <v>101.3</v>
      </c>
      <c r="C70" s="262" t="n">
        <v>101.2</v>
      </c>
      <c r="D70" s="262" t="n">
        <v>101.7</v>
      </c>
      <c r="E70" s="262" t="n">
        <v>97.40000000000001</v>
      </c>
      <c r="F70" s="262" t="n">
        <v>101.1</v>
      </c>
      <c r="G70" s="263" t="n">
        <v>107.7</v>
      </c>
      <c r="H70" s="263" t="n">
        <v>104.2</v>
      </c>
    </row>
    <row r="71" ht="15" customHeight="1" s="226">
      <c r="A71" s="278" t="inlineStr">
        <is>
          <t>Свердловская область</t>
        </is>
      </c>
      <c r="B71" s="262" t="n">
        <v>102.1</v>
      </c>
      <c r="C71" s="262" t="n">
        <v>102.3</v>
      </c>
      <c r="D71" s="262" t="n">
        <v>100.3</v>
      </c>
      <c r="E71" s="262" t="n">
        <v>97.2</v>
      </c>
      <c r="F71" s="262" t="n">
        <v>104.7</v>
      </c>
      <c r="G71" s="263" t="n">
        <v>99.59999999999999</v>
      </c>
      <c r="H71" s="263" t="n">
        <v>108.6</v>
      </c>
    </row>
    <row r="72" ht="15" customHeight="1" s="226">
      <c r="A72" s="278" t="inlineStr">
        <is>
          <t>Тюменская область</t>
        </is>
      </c>
      <c r="B72" s="262" t="n">
        <v>103.6</v>
      </c>
      <c r="C72" s="262" t="n">
        <v>107.1</v>
      </c>
      <c r="D72" s="262" t="n">
        <v>101</v>
      </c>
      <c r="E72" s="262" t="n">
        <v>93.59999999999999</v>
      </c>
      <c r="F72" s="262" t="n">
        <v>107.2</v>
      </c>
      <c r="G72" s="263" t="n">
        <v>101.5</v>
      </c>
      <c r="H72" s="263" t="n">
        <v>100</v>
      </c>
    </row>
    <row r="73" ht="15" customHeight="1" s="226">
      <c r="A73" s="268" t="inlineStr">
        <is>
          <t xml:space="preserve">   в т.ч. Ханты-Мансийский авт.округ-Югра</t>
        </is>
      </c>
      <c r="B73" s="262" t="n">
        <v>100.2</v>
      </c>
      <c r="C73" s="262" t="n">
        <v>101.2</v>
      </c>
      <c r="D73" s="262" t="n">
        <v>98.7</v>
      </c>
      <c r="E73" s="262" t="n">
        <v>91.90000000000001</v>
      </c>
      <c r="F73" s="262" t="n">
        <v>107.2</v>
      </c>
      <c r="G73" s="263" t="n">
        <v>102.6</v>
      </c>
      <c r="H73" s="263" t="n">
        <v>100.1</v>
      </c>
    </row>
    <row r="74" ht="15" customHeight="1" s="226">
      <c r="A74" s="268" t="inlineStr">
        <is>
          <t xml:space="preserve">           Ямало-Ненецкий авт. округ</t>
        </is>
      </c>
      <c r="B74" s="262" t="n">
        <v>107.9</v>
      </c>
      <c r="C74" s="262" t="n">
        <v>115</v>
      </c>
      <c r="D74" s="262" t="n">
        <v>105.9</v>
      </c>
      <c r="E74" s="262" t="n">
        <v>95.8</v>
      </c>
      <c r="F74" s="262" t="n">
        <v>109.1</v>
      </c>
      <c r="G74" s="263" t="n">
        <v>100.2</v>
      </c>
      <c r="H74" s="263" t="n">
        <v>97.8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>
        <v>105.4</v>
      </c>
      <c r="C75" s="262" t="n">
        <v>108.5</v>
      </c>
      <c r="D75" s="262" t="n">
        <v>97.59999999999999</v>
      </c>
      <c r="E75" s="262" t="n">
        <v>94.2</v>
      </c>
      <c r="F75" s="262" t="n">
        <v>102.7</v>
      </c>
      <c r="G75" s="263" t="n">
        <v>101.2</v>
      </c>
      <c r="H75" s="263" t="n">
        <v>106.5</v>
      </c>
    </row>
    <row r="76" ht="15" customFormat="1" customHeight="1" s="318">
      <c r="A76" s="278" t="inlineStr">
        <is>
          <t>Челябинская область</t>
        </is>
      </c>
      <c r="B76" s="262" t="n">
        <v>101.8</v>
      </c>
      <c r="C76" s="262" t="n">
        <v>101</v>
      </c>
      <c r="D76" s="262" t="n">
        <v>99.3</v>
      </c>
      <c r="E76" s="262" t="n">
        <v>101</v>
      </c>
      <c r="F76" s="262" t="n">
        <v>106.3</v>
      </c>
      <c r="G76" s="263" t="n">
        <v>100.3</v>
      </c>
      <c r="H76" s="263" t="n">
        <v>107.7</v>
      </c>
    </row>
    <row r="77" ht="15" customFormat="1" customHeight="1" s="225">
      <c r="A77" s="279" t="inlineStr">
        <is>
          <t>Сибирский федеральный округ</t>
        </is>
      </c>
      <c r="B77" s="254" t="n">
        <v>102.4</v>
      </c>
      <c r="C77" s="254" t="n">
        <v>102.4</v>
      </c>
      <c r="D77" s="254" t="n">
        <v>101.2</v>
      </c>
      <c r="E77" s="254" t="n">
        <v>96.59999999999999</v>
      </c>
      <c r="F77" s="254" t="n">
        <v>103.4</v>
      </c>
      <c r="G77" s="254" t="n">
        <v>102.4</v>
      </c>
      <c r="H77" s="254" t="n">
        <v>101.1</v>
      </c>
    </row>
    <row r="78" ht="15" customHeight="1" s="226">
      <c r="A78" s="278" t="inlineStr">
        <is>
          <t>Республика Алтай</t>
        </is>
      </c>
      <c r="B78" s="262" t="n">
        <v>98.09999999999999</v>
      </c>
      <c r="C78" s="262" t="n">
        <v>104.3</v>
      </c>
      <c r="D78" s="262" t="n">
        <v>104.9</v>
      </c>
      <c r="E78" s="262" t="n">
        <v>101.7</v>
      </c>
      <c r="F78" s="262" t="n">
        <v>103.9</v>
      </c>
      <c r="G78" s="263" t="n">
        <v>109.4</v>
      </c>
      <c r="H78" s="263" t="n">
        <v>107.7</v>
      </c>
    </row>
    <row r="79" ht="15" customHeight="1" s="226">
      <c r="A79" s="278" t="inlineStr">
        <is>
          <t>Республика Тыва</t>
        </is>
      </c>
      <c r="B79" s="262" t="n">
        <v>101.9</v>
      </c>
      <c r="C79" s="262" t="n">
        <v>100</v>
      </c>
      <c r="D79" s="262" t="n">
        <v>101.8</v>
      </c>
      <c r="E79" s="262" t="n">
        <v>95.40000000000001</v>
      </c>
      <c r="F79" s="262" t="n">
        <v>99</v>
      </c>
      <c r="G79" s="263" t="n">
        <v>108.9</v>
      </c>
      <c r="H79" s="263" t="n">
        <v>103.8</v>
      </c>
    </row>
    <row r="80" ht="15" customHeight="1" s="226">
      <c r="A80" s="278" t="inlineStr">
        <is>
          <t>Республика Хакасия</t>
        </is>
      </c>
      <c r="B80" s="262" t="n">
        <v>100.1</v>
      </c>
      <c r="C80" s="262" t="n">
        <v>102.2</v>
      </c>
      <c r="D80" s="262" t="n">
        <v>101.6</v>
      </c>
      <c r="E80" s="262" t="n">
        <v>100.7</v>
      </c>
      <c r="F80" s="262" t="n">
        <v>102.4</v>
      </c>
      <c r="G80" s="263" t="n">
        <v>97.7</v>
      </c>
      <c r="H80" s="263" t="n">
        <v>104.2</v>
      </c>
    </row>
    <row r="81" ht="15" customHeight="1" s="226">
      <c r="A81" s="278" t="inlineStr">
        <is>
          <t>Алтайский край</t>
        </is>
      </c>
      <c r="B81" s="262" t="n">
        <v>100.7</v>
      </c>
      <c r="C81" s="262" t="n">
        <v>102</v>
      </c>
      <c r="D81" s="262" t="n">
        <v>102.3</v>
      </c>
      <c r="E81" s="262" t="n">
        <v>99.09999999999999</v>
      </c>
      <c r="F81" s="262" t="n">
        <v>103.7</v>
      </c>
      <c r="G81" s="263" t="n">
        <v>102.2</v>
      </c>
      <c r="H81" s="263" t="n">
        <v>102.6</v>
      </c>
    </row>
    <row r="82" ht="15" customHeight="1" s="226">
      <c r="A82" s="278" t="inlineStr">
        <is>
          <t>Красноярский край</t>
        </is>
      </c>
      <c r="B82" s="262" t="n">
        <v>103.3</v>
      </c>
      <c r="C82" s="262" t="n">
        <v>103.3</v>
      </c>
      <c r="D82" s="262" t="n">
        <v>100.3</v>
      </c>
      <c r="E82" s="262" t="n">
        <v>93.90000000000001</v>
      </c>
      <c r="F82" s="262" t="n">
        <v>99.8</v>
      </c>
      <c r="G82" s="263" t="n">
        <v>102.5</v>
      </c>
      <c r="H82" s="263" t="n">
        <v>100.4</v>
      </c>
    </row>
    <row r="83" ht="15" customHeight="1" s="226">
      <c r="A83" s="278" t="inlineStr">
        <is>
          <t>Иркутская область</t>
        </is>
      </c>
      <c r="B83" s="262" t="n">
        <v>103</v>
      </c>
      <c r="C83" s="262" t="n">
        <v>102.5</v>
      </c>
      <c r="D83" s="262" t="n">
        <v>101.9</v>
      </c>
      <c r="E83" s="262" t="n">
        <v>98</v>
      </c>
      <c r="F83" s="262" t="n">
        <v>104.6</v>
      </c>
      <c r="G83" s="263" t="n">
        <v>104.3</v>
      </c>
      <c r="H83" s="263" t="n">
        <v>99.09999999999999</v>
      </c>
    </row>
    <row r="84" ht="15" customHeight="1" s="226">
      <c r="A84" s="278" t="inlineStr">
        <is>
          <t>Кемеровская область-Кузбасс</t>
        </is>
      </c>
      <c r="B84" s="262" t="n">
        <v>102.1</v>
      </c>
      <c r="C84" s="262" t="n">
        <v>101.9</v>
      </c>
      <c r="D84" s="262" t="n">
        <v>100.1</v>
      </c>
      <c r="E84" s="262" t="n">
        <v>96.2</v>
      </c>
      <c r="F84" s="262" t="n">
        <v>107.4</v>
      </c>
      <c r="G84" s="263" t="n">
        <v>99.40000000000001</v>
      </c>
      <c r="H84" s="263" t="n">
        <v>99.5</v>
      </c>
    </row>
    <row r="85" ht="15" customHeight="1" s="226">
      <c r="A85" s="278" t="inlineStr">
        <is>
          <t>Новосибирская область</t>
        </is>
      </c>
      <c r="B85" s="262" t="n">
        <v>103.9</v>
      </c>
      <c r="C85" s="262" t="n">
        <v>103.6</v>
      </c>
      <c r="D85" s="262" t="n">
        <v>102.7</v>
      </c>
      <c r="E85" s="262" t="n">
        <v>98.59999999999999</v>
      </c>
      <c r="F85" s="262" t="n">
        <v>107.8</v>
      </c>
      <c r="G85" s="263" t="n">
        <v>102.9</v>
      </c>
      <c r="H85" s="263" t="n">
        <v>103.5</v>
      </c>
    </row>
    <row r="86" ht="15" customHeight="1" s="226">
      <c r="A86" s="278" t="inlineStr">
        <is>
          <t>Омская область</t>
        </is>
      </c>
      <c r="B86" s="262" t="n">
        <v>101.8</v>
      </c>
      <c r="C86" s="262" t="n">
        <v>100</v>
      </c>
      <c r="D86" s="262" t="n">
        <v>101.5</v>
      </c>
      <c r="E86" s="262" t="n">
        <v>99.3</v>
      </c>
      <c r="F86" s="262" t="n">
        <v>101.4</v>
      </c>
      <c r="G86" s="263" t="n">
        <v>105.9</v>
      </c>
      <c r="H86" s="263" t="n">
        <v>102</v>
      </c>
    </row>
    <row r="87" ht="15" customFormat="1" customHeight="1" s="318">
      <c r="A87" s="278" t="inlineStr">
        <is>
          <t>Томская область</t>
        </is>
      </c>
      <c r="B87" s="270" t="n">
        <v>99.09999999999999</v>
      </c>
      <c r="C87" s="270" t="n">
        <v>101</v>
      </c>
      <c r="D87" s="262" t="n">
        <v>100.1</v>
      </c>
      <c r="E87" s="270" t="n">
        <v>93</v>
      </c>
      <c r="F87" s="262" t="n">
        <v>103.4</v>
      </c>
      <c r="G87" s="271" t="n">
        <v>100.2</v>
      </c>
      <c r="H87" s="271" t="n">
        <v>102.6</v>
      </c>
    </row>
    <row r="88" ht="15" customFormat="1" customHeight="1" s="225">
      <c r="A88" s="279" t="inlineStr">
        <is>
          <t>Дальневосточный федеральный округ</t>
        </is>
      </c>
      <c r="B88" s="275" t="n">
        <v>100.1</v>
      </c>
      <c r="C88" s="275" t="n">
        <v>103.4</v>
      </c>
      <c r="D88" s="254" t="n">
        <v>103</v>
      </c>
      <c r="E88" s="275" t="n">
        <v>98.09999999999999</v>
      </c>
      <c r="F88" s="254" t="n">
        <v>106.5</v>
      </c>
      <c r="G88" s="254" t="n">
        <v>99.8</v>
      </c>
      <c r="H88" s="254" t="n">
        <v>106.8</v>
      </c>
    </row>
    <row r="89" ht="15" customFormat="1" customHeight="1" s="225">
      <c r="A89" s="278" t="inlineStr">
        <is>
          <t>Республика Бурятия</t>
        </is>
      </c>
      <c r="B89" s="273" t="n">
        <v>98.2</v>
      </c>
      <c r="C89" s="273" t="n">
        <v>104.4</v>
      </c>
      <c r="D89" s="262" t="n">
        <v>104.1</v>
      </c>
      <c r="E89" s="273" t="n">
        <v>100.1</v>
      </c>
      <c r="F89" s="262" t="n">
        <v>104.5</v>
      </c>
      <c r="G89" s="274" t="n">
        <v>110.3</v>
      </c>
      <c r="H89" s="274" t="n">
        <v>100.8</v>
      </c>
    </row>
    <row r="90" ht="15" customHeight="1" s="226">
      <c r="A90" s="278" t="inlineStr">
        <is>
          <t>Республика Саха (Якутия)</t>
        </is>
      </c>
      <c r="B90" s="262" t="n">
        <v>100.7</v>
      </c>
      <c r="C90" s="262" t="n">
        <v>103.9</v>
      </c>
      <c r="D90" s="262" t="n">
        <v>104</v>
      </c>
      <c r="E90" s="262" t="n">
        <v>90.7</v>
      </c>
      <c r="F90" s="262" t="n">
        <v>116</v>
      </c>
      <c r="G90" s="263" t="n">
        <v>104</v>
      </c>
      <c r="H90" s="263" t="n">
        <v>102.9</v>
      </c>
    </row>
    <row r="91" ht="15" customFormat="1" customHeight="1" s="225">
      <c r="A91" s="278" t="inlineStr">
        <is>
          <t>Забайкальский край</t>
        </is>
      </c>
      <c r="B91" s="262" t="n">
        <v>104.2</v>
      </c>
      <c r="C91" s="262" t="n">
        <v>101.1</v>
      </c>
      <c r="D91" s="262" t="n">
        <v>102.4</v>
      </c>
      <c r="E91" s="262" t="n">
        <v>104.5</v>
      </c>
      <c r="F91" s="262" t="n">
        <v>105.4</v>
      </c>
      <c r="G91" s="263" t="n">
        <v>97</v>
      </c>
      <c r="H91" s="263" t="n">
        <v>113.4</v>
      </c>
    </row>
    <row r="92" ht="15" customHeight="1" s="226">
      <c r="A92" s="278" t="inlineStr">
        <is>
          <t>Камчатский край</t>
        </is>
      </c>
      <c r="B92" s="262" t="n">
        <v>101.1</v>
      </c>
      <c r="C92" s="262" t="n">
        <v>106.5</v>
      </c>
      <c r="D92" s="262" t="n">
        <v>99.90000000000001</v>
      </c>
      <c r="E92" s="262" t="n">
        <v>99.8</v>
      </c>
      <c r="F92" s="262" t="n">
        <v>107.5</v>
      </c>
      <c r="G92" s="263" t="n">
        <v>91.3</v>
      </c>
      <c r="H92" s="263" t="n">
        <v>112</v>
      </c>
    </row>
    <row r="93" ht="15" customHeight="1" s="226">
      <c r="A93" s="278" t="inlineStr">
        <is>
          <t>Приморский край</t>
        </is>
      </c>
      <c r="B93" s="262" t="n">
        <v>101.9</v>
      </c>
      <c r="C93" s="262" t="n">
        <v>101.8</v>
      </c>
      <c r="D93" s="262" t="n">
        <v>105</v>
      </c>
      <c r="E93" s="262" t="n">
        <v>98.5</v>
      </c>
      <c r="F93" s="262" t="n">
        <v>107.2</v>
      </c>
      <c r="G93" s="263" t="n">
        <v>102.6</v>
      </c>
      <c r="H93" s="263" t="n">
        <v>107.7</v>
      </c>
    </row>
    <row r="94" ht="15" customHeight="1" s="226">
      <c r="A94" s="278" t="inlineStr">
        <is>
          <t>Хабаровский край</t>
        </is>
      </c>
      <c r="B94" s="262" t="n">
        <v>101.5</v>
      </c>
      <c r="C94" s="262" t="n">
        <v>101.8</v>
      </c>
      <c r="D94" s="262" t="n">
        <v>99.59999999999999</v>
      </c>
      <c r="E94" s="262" t="n">
        <v>100.4</v>
      </c>
      <c r="F94" s="262" t="n">
        <v>104.1</v>
      </c>
      <c r="G94" s="263" t="n">
        <v>97.09999999999999</v>
      </c>
      <c r="H94" s="263" t="n">
        <v>108</v>
      </c>
    </row>
    <row r="95" ht="15" customHeight="1" s="226">
      <c r="A95" s="278" t="inlineStr">
        <is>
          <t>Амурская область</t>
        </is>
      </c>
      <c r="B95" s="262" t="n">
        <v>97.3</v>
      </c>
      <c r="C95" s="262" t="n">
        <v>101.3</v>
      </c>
      <c r="D95" s="262" t="n">
        <v>114</v>
      </c>
      <c r="E95" s="262" t="n">
        <v>101.5</v>
      </c>
      <c r="F95" s="262" t="n">
        <v>107.5</v>
      </c>
      <c r="G95" s="263" t="n">
        <v>102.2</v>
      </c>
      <c r="H95" s="263" t="n">
        <v>118.7</v>
      </c>
    </row>
    <row r="96" ht="15" customHeight="1" s="226">
      <c r="A96" s="278" t="inlineStr">
        <is>
          <t>Магаданская область</t>
        </is>
      </c>
      <c r="B96" s="262" t="n">
        <v>106.1</v>
      </c>
      <c r="C96" s="262" t="n">
        <v>102.9</v>
      </c>
      <c r="D96" s="262" t="n">
        <v>105.2</v>
      </c>
      <c r="E96" s="262" t="n">
        <v>105</v>
      </c>
      <c r="F96" s="262" t="n">
        <v>106.1</v>
      </c>
      <c r="G96" s="263" t="n">
        <v>92.3</v>
      </c>
      <c r="H96" s="263" t="n">
        <v>104.5</v>
      </c>
    </row>
    <row r="97" ht="15" customHeight="1" s="226">
      <c r="A97" s="278" t="inlineStr">
        <is>
          <t>Сахалинская область</t>
        </is>
      </c>
      <c r="B97" s="262" t="n">
        <v>94.40000000000001</v>
      </c>
      <c r="C97" s="262" t="n">
        <v>106.8</v>
      </c>
      <c r="D97" s="262" t="n">
        <v>100.3</v>
      </c>
      <c r="E97" s="262" t="n">
        <v>98.09999999999999</v>
      </c>
      <c r="F97" s="262" t="n">
        <v>97.5</v>
      </c>
      <c r="G97" s="263" t="n">
        <v>95.5</v>
      </c>
      <c r="H97" s="263" t="n">
        <v>103.8</v>
      </c>
    </row>
    <row r="98" ht="15" customHeight="1" s="226">
      <c r="A98" s="278" t="inlineStr">
        <is>
          <t>Еврейская автономная область</t>
        </is>
      </c>
      <c r="B98" s="262" t="n">
        <v>108.4</v>
      </c>
      <c r="C98" s="262" t="n">
        <v>100.5</v>
      </c>
      <c r="D98" s="262" t="n">
        <v>97.40000000000001</v>
      </c>
      <c r="E98" s="262" t="n">
        <v>101.5</v>
      </c>
      <c r="F98" s="262" t="n">
        <v>104.3</v>
      </c>
      <c r="G98" s="263" t="n">
        <v>97.7</v>
      </c>
      <c r="H98" s="263" t="n">
        <v>109.6</v>
      </c>
    </row>
    <row r="99" ht="15" customHeight="1" s="226">
      <c r="A99" s="278" t="inlineStr">
        <is>
          <t>Чукотский автономный округ</t>
        </is>
      </c>
      <c r="B99" s="265" t="n">
        <v>100.1</v>
      </c>
      <c r="C99" s="265" t="n">
        <v>103.8</v>
      </c>
      <c r="D99" s="265" t="n">
        <v>104.5</v>
      </c>
      <c r="E99" s="265" t="n">
        <v>100.9</v>
      </c>
      <c r="F99" s="265" t="n">
        <v>106.1</v>
      </c>
      <c r="G99" s="266" t="n">
        <v>94.5</v>
      </c>
      <c r="H99" s="266" t="n">
        <v>111.7</v>
      </c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</row>
    <row r="102" ht="52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290" t="n"/>
      <c r="G102" s="290" t="n"/>
      <c r="H102" s="290" t="n"/>
      <c r="I102" s="290" t="n"/>
      <c r="J102" s="290" t="n"/>
      <c r="K102" s="290" t="n"/>
    </row>
  </sheetData>
  <mergeCells count="3">
    <mergeCell ref="A102:E102"/>
    <mergeCell ref="A2:G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8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45.71" customWidth="1" style="232" min="1" max="1"/>
    <col width="9.140000000000001" customWidth="1" style="225" min="2" max="10"/>
    <col width="7.42" customWidth="1" style="225" min="11" max="11"/>
    <col width="7.86" customWidth="1" style="225" min="12" max="12"/>
    <col width="7.42" customWidth="1" style="225" min="13" max="13"/>
    <col width="7.71" customWidth="1" style="225" min="14" max="14"/>
    <col width="7.86" customWidth="1" style="225" min="15" max="15"/>
    <col width="9.140000000000001" customWidth="1" style="225" min="16" max="19"/>
    <col width="9.140000000000001" customWidth="1" style="326" min="20" max="16384"/>
  </cols>
  <sheetData>
    <row r="1" ht="33" customHeight="1" s="226">
      <c r="A1" s="327" t="inlineStr">
        <is>
          <t xml:space="preserve">          К содержанию</t>
        </is>
      </c>
    </row>
    <row r="2" ht="28.5" customHeight="1" s="226">
      <c r="A2" s="328" t="inlineStr">
        <is>
          <t>Региональная структура валового регионального продукта в 1998-2015 гг.
(в процентах)</t>
        </is>
      </c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25" t="n"/>
      <c r="N2" s="225" t="n"/>
      <c r="O2" s="225" t="n"/>
      <c r="P2" s="225" t="n"/>
      <c r="Q2" s="225" t="n"/>
      <c r="R2" s="225" t="n"/>
      <c r="S2" s="225" t="n"/>
    </row>
    <row r="3" ht="15.75" customHeight="1" s="226">
      <c r="A3" s="329" t="n"/>
      <c r="B3" s="251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330" t="n">
        <v>2005</v>
      </c>
      <c r="J3" s="330" t="n">
        <v>2006</v>
      </c>
      <c r="K3" s="330" t="n">
        <v>2007</v>
      </c>
      <c r="L3" s="330" t="n">
        <v>2008</v>
      </c>
      <c r="M3" s="330" t="n">
        <v>2009</v>
      </c>
      <c r="N3" s="330" t="n">
        <v>2010</v>
      </c>
      <c r="O3" s="330" t="n">
        <v>2011</v>
      </c>
      <c r="P3" s="330" t="n">
        <v>2012</v>
      </c>
      <c r="Q3" s="330" t="n">
        <v>2013</v>
      </c>
      <c r="R3" s="330" t="n">
        <v>2014</v>
      </c>
      <c r="S3" s="330" t="n">
        <v>2015</v>
      </c>
    </row>
    <row r="4" ht="15.75" customHeight="1" s="226">
      <c r="A4" s="331" t="inlineStr">
        <is>
          <t>Российская Федерация  из суммы областей</t>
        </is>
      </c>
      <c r="B4" s="332" t="n">
        <v>100</v>
      </c>
      <c r="C4" s="332" t="n">
        <v>100</v>
      </c>
      <c r="D4" s="332" t="n">
        <v>100</v>
      </c>
      <c r="E4" s="332" t="n">
        <v>100</v>
      </c>
      <c r="F4" s="332" t="n">
        <v>100</v>
      </c>
      <c r="G4" s="332" t="n">
        <v>100</v>
      </c>
      <c r="H4" s="332" t="n">
        <v>100</v>
      </c>
      <c r="I4" s="332" t="n">
        <v>100</v>
      </c>
      <c r="J4" s="332" t="n">
        <v>100</v>
      </c>
      <c r="K4" s="332" t="n">
        <v>100</v>
      </c>
      <c r="L4" s="332" t="n">
        <v>100</v>
      </c>
      <c r="M4" s="332" t="n">
        <v>100</v>
      </c>
      <c r="N4" s="332" t="n">
        <v>100</v>
      </c>
      <c r="O4" s="332" t="n">
        <v>100</v>
      </c>
      <c r="P4" s="332" t="n">
        <v>100</v>
      </c>
      <c r="Q4" s="332" t="n">
        <v>100</v>
      </c>
      <c r="R4" s="332" t="n">
        <v>100</v>
      </c>
      <c r="S4" s="332" t="n">
        <v>100</v>
      </c>
    </row>
    <row r="5" ht="15.75" customHeight="1" s="226">
      <c r="A5" s="333" t="inlineStr">
        <is>
          <t>Центральный федеральный округ</t>
        </is>
      </c>
      <c r="B5" s="332" t="n">
        <v>28.1695532037953</v>
      </c>
      <c r="C5" s="332" t="n">
        <v>31.1151701733995</v>
      </c>
      <c r="D5" s="332" t="n">
        <v>32.0056309783131</v>
      </c>
      <c r="E5" s="332" t="n">
        <v>31.2862215732598</v>
      </c>
      <c r="F5" s="332" t="n">
        <v>32.9320708488811</v>
      </c>
      <c r="G5" s="332" t="n">
        <v>33.29921378168</v>
      </c>
      <c r="H5" s="332" t="n">
        <v>33.0634855637002</v>
      </c>
      <c r="I5" s="332" t="n">
        <v>34.9</v>
      </c>
      <c r="J5" s="332" t="n">
        <v>35.5</v>
      </c>
      <c r="K5" s="332" t="n">
        <v>36.3</v>
      </c>
      <c r="L5" s="332" t="n">
        <v>37.4</v>
      </c>
      <c r="M5" s="332" t="n">
        <v>35.7</v>
      </c>
      <c r="N5" s="332" t="n">
        <v>35.7</v>
      </c>
      <c r="O5" s="332" t="n">
        <v>35.4</v>
      </c>
      <c r="P5" s="332" t="n">
        <v>35</v>
      </c>
      <c r="Q5" s="332" t="n">
        <v>35.5</v>
      </c>
      <c r="R5" s="332" t="n">
        <v>35.3</v>
      </c>
      <c r="S5" s="332" t="n">
        <v>34.5</v>
      </c>
    </row>
    <row r="6" ht="15.75" customHeight="1" s="226">
      <c r="A6" s="334" t="inlineStr">
        <is>
          <t>Белгородская область</t>
        </is>
      </c>
      <c r="B6" s="286" t="n">
        <v>0.810199036180424</v>
      </c>
      <c r="C6" s="273" t="n">
        <v>0.837665392381803</v>
      </c>
      <c r="D6" s="273" t="n">
        <v>0.731263494426759</v>
      </c>
      <c r="E6" s="273" t="n">
        <v>0.696444309988713</v>
      </c>
      <c r="F6" s="335" t="n">
        <v>0.713909565384197</v>
      </c>
      <c r="G6" s="273" t="n">
        <v>0.707982713732757</v>
      </c>
      <c r="H6" s="273" t="n">
        <v>0.819298180058422</v>
      </c>
      <c r="I6" s="335" t="n">
        <v>0.8</v>
      </c>
      <c r="J6" s="273" t="n">
        <v>0.8</v>
      </c>
      <c r="K6" s="273" t="n">
        <v>0.8</v>
      </c>
      <c r="L6" s="273" t="n">
        <v>0.9</v>
      </c>
      <c r="M6" s="273" t="n">
        <v>1</v>
      </c>
      <c r="N6" s="273" t="n">
        <v>1</v>
      </c>
      <c r="O6" s="273" t="n">
        <v>1.1</v>
      </c>
      <c r="P6" s="273" t="n">
        <v>1.1</v>
      </c>
      <c r="Q6" s="273" t="n">
        <v>1.1</v>
      </c>
      <c r="R6" s="273" t="n">
        <v>1</v>
      </c>
      <c r="S6" s="274" t="n">
        <v>1.1</v>
      </c>
    </row>
    <row r="7" ht="15.75" customHeight="1" s="226">
      <c r="A7" s="334" t="inlineStr">
        <is>
          <t>Брянская область</t>
        </is>
      </c>
      <c r="B7" s="261" t="n">
        <v>0.490737585078004</v>
      </c>
      <c r="C7" s="262" t="n">
        <v>0.439188681643596</v>
      </c>
      <c r="D7" s="262" t="n">
        <v>0.428430778009645</v>
      </c>
      <c r="E7" s="262" t="n">
        <v>0.419891696075294</v>
      </c>
      <c r="F7" s="336" t="n">
        <v>0.427561638083621</v>
      </c>
      <c r="G7" s="262" t="n">
        <v>0.40680113582938</v>
      </c>
      <c r="H7" s="262" t="n">
        <v>0.365241224243062</v>
      </c>
      <c r="I7" s="336" t="n">
        <v>0.4</v>
      </c>
      <c r="J7" s="262" t="n">
        <v>0.4</v>
      </c>
      <c r="K7" s="262" t="n">
        <v>0.4</v>
      </c>
      <c r="L7" s="262" t="n">
        <v>0.4</v>
      </c>
      <c r="M7" s="262" t="n">
        <v>0.4</v>
      </c>
      <c r="N7" s="262" t="n">
        <v>0.4</v>
      </c>
      <c r="O7" s="262" t="n">
        <v>0.4</v>
      </c>
      <c r="P7" s="262" t="n">
        <v>0.4</v>
      </c>
      <c r="Q7" s="262" t="n">
        <v>0.4</v>
      </c>
      <c r="R7" s="262" t="n">
        <v>0.4</v>
      </c>
      <c r="S7" s="263" t="n">
        <v>0.4</v>
      </c>
    </row>
    <row r="8" ht="15.75" customHeight="1" s="226">
      <c r="A8" s="334" t="inlineStr">
        <is>
          <t>Владимирская область</t>
        </is>
      </c>
      <c r="B8" s="261" t="n">
        <v>0.663279273438567</v>
      </c>
      <c r="C8" s="262" t="n">
        <v>0.639628904976792</v>
      </c>
      <c r="D8" s="262" t="n">
        <v>0.5738544410494339</v>
      </c>
      <c r="E8" s="262" t="n">
        <v>0.586746431255964</v>
      </c>
      <c r="F8" s="336" t="n">
        <v>0.576119862089719</v>
      </c>
      <c r="G8" s="262" t="n">
        <v>0.57546233539317</v>
      </c>
      <c r="H8" s="262" t="n">
        <v>0.531404877467088</v>
      </c>
      <c r="I8" s="336" t="n">
        <v>0.5</v>
      </c>
      <c r="J8" s="262" t="n">
        <v>0.5</v>
      </c>
      <c r="K8" s="262" t="n">
        <v>0.5</v>
      </c>
      <c r="L8" s="262" t="n">
        <v>0.5</v>
      </c>
      <c r="M8" s="262" t="n">
        <v>0.6</v>
      </c>
      <c r="N8" s="262" t="n">
        <v>0.6</v>
      </c>
      <c r="O8" s="262" t="n">
        <v>0.6</v>
      </c>
      <c r="P8" s="262" t="n">
        <v>0.6</v>
      </c>
      <c r="Q8" s="262" t="n">
        <v>0.6</v>
      </c>
      <c r="R8" s="262" t="n">
        <v>0.6</v>
      </c>
      <c r="S8" s="263" t="n">
        <v>0.6</v>
      </c>
    </row>
    <row r="9" ht="15.75" customHeight="1" s="226">
      <c r="A9" s="334" t="inlineStr">
        <is>
          <t>Воронежская область</t>
        </is>
      </c>
      <c r="B9" s="261" t="n">
        <v>0.993877603128806</v>
      </c>
      <c r="C9" s="262" t="n">
        <v>0.947876684689025</v>
      </c>
      <c r="D9" s="262" t="n">
        <v>0.860735604027175</v>
      </c>
      <c r="E9" s="262" t="n">
        <v>0.836910697777184</v>
      </c>
      <c r="F9" s="336" t="n">
        <v>0.949536879249064</v>
      </c>
      <c r="G9" s="262" t="n">
        <v>0.932222620570165</v>
      </c>
      <c r="H9" s="262" t="n">
        <v>0.839265517638994</v>
      </c>
      <c r="I9" s="336" t="n">
        <v>0.7</v>
      </c>
      <c r="J9" s="262" t="n">
        <v>0.7</v>
      </c>
      <c r="K9" s="262" t="n">
        <v>0.8</v>
      </c>
      <c r="L9" s="262" t="n">
        <v>0.8</v>
      </c>
      <c r="M9" s="262" t="n">
        <v>0.9</v>
      </c>
      <c r="N9" s="262" t="n">
        <v>0.9</v>
      </c>
      <c r="O9" s="262" t="n">
        <v>1</v>
      </c>
      <c r="P9" s="262" t="n">
        <v>1.1</v>
      </c>
      <c r="Q9" s="262" t="n">
        <v>1.1</v>
      </c>
      <c r="R9" s="262" t="n">
        <v>1.2</v>
      </c>
      <c r="S9" s="263" t="n">
        <v>1.2</v>
      </c>
    </row>
    <row r="10" ht="15.75" customHeight="1" s="226">
      <c r="A10" s="334" t="inlineStr">
        <is>
          <t>Ивановская область</t>
        </is>
      </c>
      <c r="B10" s="261" t="n">
        <v>0.367605804232058</v>
      </c>
      <c r="C10" s="262" t="n">
        <v>0.30683166571976</v>
      </c>
      <c r="D10" s="262" t="n">
        <v>0.293725488260401</v>
      </c>
      <c r="E10" s="262" t="n">
        <v>0.309245549296955</v>
      </c>
      <c r="F10" s="336" t="n">
        <v>0.308667468263466</v>
      </c>
      <c r="G10" s="262" t="n">
        <v>0.309190943909276</v>
      </c>
      <c r="H10" s="262" t="n">
        <v>0.287586090748202</v>
      </c>
      <c r="I10" s="336" t="n">
        <v>0.3</v>
      </c>
      <c r="J10" s="262" t="n">
        <v>0.2</v>
      </c>
      <c r="K10" s="262" t="n">
        <v>0.3</v>
      </c>
      <c r="L10" s="262" t="n">
        <v>0.3</v>
      </c>
      <c r="M10" s="262" t="n">
        <v>0.3</v>
      </c>
      <c r="N10" s="262" t="n">
        <v>0.3</v>
      </c>
      <c r="O10" s="262" t="n">
        <v>0.3</v>
      </c>
      <c r="P10" s="262" t="n">
        <v>0.3</v>
      </c>
      <c r="Q10" s="262" t="n">
        <v>0.3</v>
      </c>
      <c r="R10" s="262" t="n">
        <v>0.3</v>
      </c>
      <c r="S10" s="263" t="n">
        <v>0.3</v>
      </c>
    </row>
    <row r="11" ht="15.75" customHeight="1" s="226">
      <c r="A11" s="334" t="inlineStr">
        <is>
          <t>Калужская область</t>
        </is>
      </c>
      <c r="B11" s="261" t="n">
        <v>0.448374817243956</v>
      </c>
      <c r="C11" s="262" t="n">
        <v>0.418297081119948</v>
      </c>
      <c r="D11" s="262" t="n">
        <v>0.415444287783126</v>
      </c>
      <c r="E11" s="262" t="n">
        <v>0.444291469595417</v>
      </c>
      <c r="F11" s="336" t="n">
        <v>0.426520593374435</v>
      </c>
      <c r="G11" s="262" t="n">
        <v>0.454205709804789</v>
      </c>
      <c r="H11" s="262" t="n">
        <v>0.415300284108653</v>
      </c>
      <c r="I11" s="336" t="n">
        <v>0.4</v>
      </c>
      <c r="J11" s="262" t="n">
        <v>0.4</v>
      </c>
      <c r="K11" s="262" t="n">
        <v>0.4</v>
      </c>
      <c r="L11" s="262" t="n">
        <v>0.4</v>
      </c>
      <c r="M11" s="262" t="n">
        <v>0.5</v>
      </c>
      <c r="N11" s="262" t="n">
        <v>0.5</v>
      </c>
      <c r="O11" s="262" t="n">
        <v>0.5</v>
      </c>
      <c r="P11" s="262" t="n">
        <v>0.6</v>
      </c>
      <c r="Q11" s="262" t="n">
        <v>0.5</v>
      </c>
      <c r="R11" s="262" t="n">
        <v>0.6</v>
      </c>
      <c r="S11" s="263" t="n">
        <v>0.5</v>
      </c>
    </row>
    <row r="12" ht="15.75" customHeight="1" s="226">
      <c r="A12" s="334" t="inlineStr">
        <is>
          <t>Костромская область</t>
        </is>
      </c>
      <c r="B12" s="261" t="n">
        <v>0.376509090343931</v>
      </c>
      <c r="C12" s="262" t="n">
        <v>0.349158320107343</v>
      </c>
      <c r="D12" s="262" t="n">
        <v>0.289592475177068</v>
      </c>
      <c r="E12" s="262" t="n">
        <v>0.309881446692233</v>
      </c>
      <c r="F12" s="336" t="n">
        <v>0.296902519044483</v>
      </c>
      <c r="G12" s="262" t="n">
        <v>0.276400390962065</v>
      </c>
      <c r="H12" s="262" t="n">
        <v>0.270599925435604</v>
      </c>
      <c r="I12" s="336" t="n">
        <v>0.3</v>
      </c>
      <c r="J12" s="262" t="n">
        <v>0.2</v>
      </c>
      <c r="K12" s="262" t="n">
        <v>0.2</v>
      </c>
      <c r="L12" s="262" t="n">
        <v>0.2</v>
      </c>
      <c r="M12" s="262" t="n">
        <v>0.2</v>
      </c>
      <c r="N12" s="262" t="n">
        <v>0.3</v>
      </c>
      <c r="O12" s="262" t="n">
        <v>0.3</v>
      </c>
      <c r="P12" s="262" t="n">
        <v>0.3</v>
      </c>
      <c r="Q12" s="262" t="n">
        <v>0.3</v>
      </c>
      <c r="R12" s="262" t="n">
        <v>0.2</v>
      </c>
      <c r="S12" s="263" t="n">
        <v>0.2</v>
      </c>
    </row>
    <row r="13" ht="15.75" customHeight="1" s="226">
      <c r="A13" s="334" t="inlineStr">
        <is>
          <t>Курская область</t>
        </is>
      </c>
      <c r="B13" s="261" t="n">
        <v>0.688634766555172</v>
      </c>
      <c r="C13" s="262" t="n">
        <v>0.575692142043549</v>
      </c>
      <c r="D13" s="262" t="n">
        <v>0.524320852792502</v>
      </c>
      <c r="E13" s="262" t="n">
        <v>0.507599517733184</v>
      </c>
      <c r="F13" s="336" t="n">
        <v>0.518341880729864</v>
      </c>
      <c r="G13" s="262" t="n">
        <v>0.524863882435167</v>
      </c>
      <c r="H13" s="262" t="n">
        <v>0.547868997479817</v>
      </c>
      <c r="I13" s="336" t="n">
        <v>0.5</v>
      </c>
      <c r="J13" s="262" t="n">
        <v>0.5</v>
      </c>
      <c r="K13" s="262" t="n">
        <v>0.5</v>
      </c>
      <c r="L13" s="262" t="n">
        <v>0.5</v>
      </c>
      <c r="M13" s="262" t="n">
        <v>0.5</v>
      </c>
      <c r="N13" s="262" t="n">
        <v>0.5</v>
      </c>
      <c r="O13" s="262" t="n">
        <v>0.5</v>
      </c>
      <c r="P13" s="262" t="n">
        <v>0.5</v>
      </c>
      <c r="Q13" s="262" t="n">
        <v>0.5</v>
      </c>
      <c r="R13" s="262" t="n">
        <v>0.5</v>
      </c>
      <c r="S13" s="263" t="n">
        <v>0.5</v>
      </c>
    </row>
    <row r="14" ht="15.75" customHeight="1" s="226">
      <c r="A14" s="334" t="inlineStr">
        <is>
          <t>Липецкая область</t>
        </is>
      </c>
      <c r="B14" s="261" t="n">
        <v>0.728271041784387</v>
      </c>
      <c r="C14" s="262" t="n">
        <v>0.810181807350755</v>
      </c>
      <c r="D14" s="262" t="n">
        <v>0.835426547458844</v>
      </c>
      <c r="E14" s="262" t="n">
        <v>0.705261808300865</v>
      </c>
      <c r="F14" s="336" t="n">
        <v>0.807558973009166</v>
      </c>
      <c r="G14" s="262" t="n">
        <v>0.895904930501109</v>
      </c>
      <c r="H14" s="262" t="n">
        <v>1.01529074263873</v>
      </c>
      <c r="I14" s="336" t="n">
        <v>0.8</v>
      </c>
      <c r="J14" s="262" t="n">
        <v>0.8</v>
      </c>
      <c r="K14" s="262" t="n">
        <v>0.7</v>
      </c>
      <c r="L14" s="262" t="n">
        <v>0.8</v>
      </c>
      <c r="M14" s="262" t="n">
        <v>0.7</v>
      </c>
      <c r="N14" s="262" t="n">
        <v>0.7</v>
      </c>
      <c r="O14" s="262" t="n">
        <v>0.6</v>
      </c>
      <c r="P14" s="262" t="n">
        <v>0.6</v>
      </c>
      <c r="Q14" s="262" t="n">
        <v>0.6</v>
      </c>
      <c r="R14" s="262" t="n">
        <v>0.7</v>
      </c>
      <c r="S14" s="263" t="n">
        <v>0.7</v>
      </c>
    </row>
    <row r="15" ht="15.75" customHeight="1" s="226">
      <c r="A15" s="334" t="inlineStr">
        <is>
          <t>Московская область</t>
        </is>
      </c>
      <c r="B15" s="261" t="n">
        <v>3.64376642306595</v>
      </c>
      <c r="C15" s="262" t="n">
        <v>3.42736948595715</v>
      </c>
      <c r="D15" s="262" t="n">
        <v>3.07097123860875</v>
      </c>
      <c r="E15" s="262" t="n">
        <v>3.27932844549499</v>
      </c>
      <c r="F15" s="336" t="n">
        <v>3.58016419494434</v>
      </c>
      <c r="G15" s="262" t="n">
        <v>3.83609255092377</v>
      </c>
      <c r="H15" s="262" t="n">
        <v>3.83266037707826</v>
      </c>
      <c r="I15" s="336" t="n">
        <v>3.9</v>
      </c>
      <c r="J15" s="262" t="n">
        <v>4.1</v>
      </c>
      <c r="K15" s="262" t="n">
        <v>4.6</v>
      </c>
      <c r="L15" s="262" t="n">
        <v>4.9</v>
      </c>
      <c r="M15" s="262" t="n">
        <v>4.7</v>
      </c>
      <c r="N15" s="262" t="n">
        <v>4.9</v>
      </c>
      <c r="O15" s="262" t="n">
        <v>4.8</v>
      </c>
      <c r="P15" s="262" t="n">
        <v>4.7</v>
      </c>
      <c r="Q15" s="262" t="n">
        <v>4.7</v>
      </c>
      <c r="R15" s="262" t="n">
        <v>4.6</v>
      </c>
      <c r="S15" s="263" t="n">
        <v>4.8</v>
      </c>
    </row>
    <row r="16" ht="15.75" customHeight="1" s="226">
      <c r="A16" s="334" t="inlineStr">
        <is>
          <t>Орловская область</t>
        </is>
      </c>
      <c r="B16" s="261" t="n">
        <v>0.422157859037224</v>
      </c>
      <c r="C16" s="262" t="n">
        <v>0.412815518101111</v>
      </c>
      <c r="D16" s="262" t="n">
        <v>0.385159278120774</v>
      </c>
      <c r="E16" s="262" t="n">
        <v>0.385231104497158</v>
      </c>
      <c r="F16" s="336" t="n">
        <v>0.407922501245593</v>
      </c>
      <c r="G16" s="262" t="n">
        <v>0.391655577377965</v>
      </c>
      <c r="H16" s="262" t="n">
        <v>0.32971421550262</v>
      </c>
      <c r="I16" s="336" t="n">
        <v>0.3</v>
      </c>
      <c r="J16" s="262" t="n">
        <v>0.3</v>
      </c>
      <c r="K16" s="262" t="n">
        <v>0.3</v>
      </c>
      <c r="L16" s="262" t="n">
        <v>0.3</v>
      </c>
      <c r="M16" s="262" t="n">
        <v>0.3</v>
      </c>
      <c r="N16" s="262" t="n">
        <v>0.3</v>
      </c>
      <c r="O16" s="262" t="n">
        <v>0.3</v>
      </c>
      <c r="P16" s="262" t="n">
        <v>0.3</v>
      </c>
      <c r="Q16" s="262" t="n">
        <v>0.3</v>
      </c>
      <c r="R16" s="262" t="n">
        <v>0.3</v>
      </c>
      <c r="S16" s="263" t="n">
        <v>0.3</v>
      </c>
    </row>
    <row r="17" ht="15.75" customHeight="1" s="226">
      <c r="A17" s="334" t="inlineStr">
        <is>
          <t>Рязанская область</t>
        </is>
      </c>
      <c r="B17" s="261" t="n">
        <v>0.574774836782339</v>
      </c>
      <c r="C17" s="262" t="n">
        <v>0.5253756784512</v>
      </c>
      <c r="D17" s="262" t="n">
        <v>0.485889740387686</v>
      </c>
      <c r="E17" s="262" t="n">
        <v>0.516726597671985</v>
      </c>
      <c r="F17" s="336" t="n">
        <v>0.523925769988699</v>
      </c>
      <c r="G17" s="262" t="n">
        <v>0.554876663629518</v>
      </c>
      <c r="H17" s="262" t="n">
        <v>0.50124942125657</v>
      </c>
      <c r="I17" s="336" t="n">
        <v>0.5</v>
      </c>
      <c r="J17" s="262" t="n">
        <v>0.5</v>
      </c>
      <c r="K17" s="262" t="n">
        <v>0.4</v>
      </c>
      <c r="L17" s="262" t="n">
        <v>0.4</v>
      </c>
      <c r="M17" s="262" t="n">
        <v>0.5</v>
      </c>
      <c r="N17" s="262" t="n">
        <v>0.5</v>
      </c>
      <c r="O17" s="262" t="n">
        <v>0.5</v>
      </c>
      <c r="P17" s="262" t="n">
        <v>0.5</v>
      </c>
      <c r="Q17" s="262" t="n">
        <v>0.5</v>
      </c>
      <c r="R17" s="262" t="n">
        <v>0.5</v>
      </c>
      <c r="S17" s="263" t="n">
        <v>0.5</v>
      </c>
    </row>
    <row r="18" ht="15.75" customHeight="1" s="226">
      <c r="A18" s="334" t="inlineStr">
        <is>
          <t>Смоленская область</t>
        </is>
      </c>
      <c r="B18" s="261" t="n">
        <v>0.516474964780954</v>
      </c>
      <c r="C18" s="262" t="n">
        <v>0.537310749885921</v>
      </c>
      <c r="D18" s="262" t="n">
        <v>0.48908943638702</v>
      </c>
      <c r="E18" s="262" t="n">
        <v>0.502251564858425</v>
      </c>
      <c r="F18" s="336" t="n">
        <v>0.482382366066281</v>
      </c>
      <c r="G18" s="262" t="n">
        <v>0.456933213570163</v>
      </c>
      <c r="H18" s="262" t="n">
        <v>0.401838103598049</v>
      </c>
      <c r="I18" s="336" t="n">
        <v>0.4</v>
      </c>
      <c r="J18" s="262" t="n">
        <v>0.4</v>
      </c>
      <c r="K18" s="262" t="n">
        <v>0.3</v>
      </c>
      <c r="L18" s="262" t="n">
        <v>0.4</v>
      </c>
      <c r="M18" s="262" t="n">
        <v>0.4</v>
      </c>
      <c r="N18" s="262" t="n">
        <v>0.4</v>
      </c>
      <c r="O18" s="262" t="n">
        <v>0.4</v>
      </c>
      <c r="P18" s="262" t="n">
        <v>0.4</v>
      </c>
      <c r="Q18" s="262" t="n">
        <v>0.4</v>
      </c>
      <c r="R18" s="262" t="n">
        <v>0.4</v>
      </c>
      <c r="S18" s="263" t="n">
        <v>0.4</v>
      </c>
    </row>
    <row r="19" ht="15.75" customHeight="1" s="226">
      <c r="A19" s="334" t="inlineStr">
        <is>
          <t>Тамбовская область</t>
        </is>
      </c>
      <c r="B19" s="261" t="n">
        <v>0.438339192998154</v>
      </c>
      <c r="C19" s="262" t="n">
        <v>0.437660219124045</v>
      </c>
      <c r="D19" s="262" t="n">
        <v>0.406476101277661</v>
      </c>
      <c r="E19" s="262" t="n">
        <v>0.433506315088666</v>
      </c>
      <c r="F19" s="336" t="n">
        <v>0.444992844934034</v>
      </c>
      <c r="G19" s="262" t="n">
        <v>0.436379192020854</v>
      </c>
      <c r="H19" s="262" t="n">
        <v>0.40657231687299</v>
      </c>
      <c r="I19" s="336" t="n">
        <v>0.4</v>
      </c>
      <c r="J19" s="262" t="n">
        <v>0.4</v>
      </c>
      <c r="K19" s="262" t="n">
        <v>0.4</v>
      </c>
      <c r="L19" s="262" t="n">
        <v>0.4</v>
      </c>
      <c r="M19" s="262" t="n">
        <v>0.4</v>
      </c>
      <c r="N19" s="262" t="n">
        <v>0.4</v>
      </c>
      <c r="O19" s="262" t="n">
        <v>0.4</v>
      </c>
      <c r="P19" s="262" t="n">
        <v>0.4</v>
      </c>
      <c r="Q19" s="262" t="n">
        <v>0.4</v>
      </c>
      <c r="R19" s="262" t="n">
        <v>0.5</v>
      </c>
      <c r="S19" s="263" t="n">
        <v>0.5</v>
      </c>
    </row>
    <row r="20" ht="15.75" customHeight="1" s="226">
      <c r="A20" s="334" t="inlineStr">
        <is>
          <t>Тверская область</t>
        </is>
      </c>
      <c r="B20" s="261" t="n">
        <v>0.745300519210339</v>
      </c>
      <c r="C20" s="262" t="n">
        <v>0.67156723974431</v>
      </c>
      <c r="D20" s="262" t="n">
        <v>0.614235612612997</v>
      </c>
      <c r="E20" s="262" t="n">
        <v>0.655230907313186</v>
      </c>
      <c r="F20" s="336" t="n">
        <v>0.637583828123198</v>
      </c>
      <c r="G20" s="262" t="n">
        <v>0.6405007332004869</v>
      </c>
      <c r="H20" s="262" t="n">
        <v>0.630761770649903</v>
      </c>
      <c r="I20" s="336" t="n">
        <v>0.5</v>
      </c>
      <c r="J20" s="262" t="n">
        <v>0.6</v>
      </c>
      <c r="K20" s="262" t="n">
        <v>0.5</v>
      </c>
      <c r="L20" s="262" t="n">
        <v>0.6</v>
      </c>
      <c r="M20" s="262" t="n">
        <v>0.6</v>
      </c>
      <c r="N20" s="262" t="n">
        <v>0.6</v>
      </c>
      <c r="O20" s="262" t="n">
        <v>0.6</v>
      </c>
      <c r="P20" s="262" t="n">
        <v>0.5</v>
      </c>
      <c r="Q20" s="262" t="n">
        <v>0.6</v>
      </c>
      <c r="R20" s="262" t="n">
        <v>0.5</v>
      </c>
      <c r="S20" s="263" t="n">
        <v>0.5</v>
      </c>
    </row>
    <row r="21" ht="15.75" customHeight="1" s="226">
      <c r="A21" s="334" t="inlineStr">
        <is>
          <t>Тульская область</t>
        </is>
      </c>
      <c r="B21" s="261" t="n">
        <v>0.794435113139452</v>
      </c>
      <c r="C21" s="262" t="n">
        <v>0.7473058235336461</v>
      </c>
      <c r="D21" s="262" t="n">
        <v>0.731034075702201</v>
      </c>
      <c r="E21" s="262" t="n">
        <v>0.737574041954335</v>
      </c>
      <c r="F21" s="336" t="n">
        <v>0.748365857247923</v>
      </c>
      <c r="G21" s="262" t="n">
        <v>0.672641525865025</v>
      </c>
      <c r="H21" s="262" t="n">
        <v>0.631034609139958</v>
      </c>
      <c r="I21" s="336" t="n">
        <v>0.6</v>
      </c>
      <c r="J21" s="262" t="n">
        <v>0.6</v>
      </c>
      <c r="K21" s="262" t="n">
        <v>0.6</v>
      </c>
      <c r="L21" s="262" t="n">
        <v>0.7</v>
      </c>
      <c r="M21" s="262" t="n">
        <v>0.7</v>
      </c>
      <c r="N21" s="262" t="n">
        <v>0.6</v>
      </c>
      <c r="O21" s="262" t="n">
        <v>0.6</v>
      </c>
      <c r="P21" s="262" t="n">
        <v>0.6</v>
      </c>
      <c r="Q21" s="262" t="n">
        <v>0.7</v>
      </c>
      <c r="R21" s="262" t="n">
        <v>0.7</v>
      </c>
      <c r="S21" s="263" t="n">
        <v>0.7</v>
      </c>
    </row>
    <row r="22" ht="15.75" customHeight="1" s="226">
      <c r="A22" s="334" t="inlineStr">
        <is>
          <t>Ярославская область</t>
        </is>
      </c>
      <c r="B22" s="261" t="n">
        <v>0.879729038145363</v>
      </c>
      <c r="C22" s="262" t="n">
        <v>0.871025066654683</v>
      </c>
      <c r="D22" s="262" t="n">
        <v>0.725731374727748</v>
      </c>
      <c r="E22" s="262" t="n">
        <v>0.852738407067542</v>
      </c>
      <c r="F22" s="336" t="n">
        <v>0.861589193415948</v>
      </c>
      <c r="G22" s="262" t="n">
        <v>0.8571008368288749</v>
      </c>
      <c r="H22" s="262" t="n">
        <v>0.805186486396953</v>
      </c>
      <c r="I22" s="336" t="n">
        <v>0.7</v>
      </c>
      <c r="J22" s="262" t="n">
        <v>0.7</v>
      </c>
      <c r="K22" s="262" t="n">
        <v>0.7</v>
      </c>
      <c r="L22" s="262" t="n">
        <v>0.6</v>
      </c>
      <c r="M22" s="262" t="n">
        <v>0.7</v>
      </c>
      <c r="N22" s="262" t="n">
        <v>0.6</v>
      </c>
      <c r="O22" s="262" t="n">
        <v>0.6</v>
      </c>
      <c r="P22" s="262" t="n">
        <v>0.7</v>
      </c>
      <c r="Q22" s="262" t="n">
        <v>0.7</v>
      </c>
      <c r="R22" s="262" t="n">
        <v>0.7</v>
      </c>
      <c r="S22" s="263" t="n">
        <v>0.7</v>
      </c>
    </row>
    <row r="23" ht="15.75" customHeight="1" s="226">
      <c r="A23" s="334" t="inlineStr">
        <is>
          <t>г.Москва</t>
        </is>
      </c>
      <c r="B23" s="285" t="n">
        <v>14.5870862386503</v>
      </c>
      <c r="C23" s="270" t="n">
        <v>18.1602197119149</v>
      </c>
      <c r="D23" s="270" t="n">
        <v>20.1442501515033</v>
      </c>
      <c r="E23" s="270" t="n">
        <v>19.1073612625977</v>
      </c>
      <c r="F23" s="337" t="n">
        <v>20.2200249136871</v>
      </c>
      <c r="G23" s="270" t="n">
        <v>20.3699988251254</v>
      </c>
      <c r="H23" s="270" t="n">
        <v>20.4326124233863</v>
      </c>
      <c r="I23" s="337" t="n">
        <v>22.9</v>
      </c>
      <c r="J23" s="270" t="n">
        <v>23.4</v>
      </c>
      <c r="K23" s="270" t="n">
        <v>23.9</v>
      </c>
      <c r="L23" s="270" t="n">
        <v>24.3</v>
      </c>
      <c r="M23" s="270" t="n">
        <v>22.3</v>
      </c>
      <c r="N23" s="270" t="n">
        <v>22.2</v>
      </c>
      <c r="O23" s="270" t="n">
        <v>21.9</v>
      </c>
      <c r="P23" s="270" t="n">
        <v>21.4</v>
      </c>
      <c r="Q23" s="270" t="n">
        <v>21.8</v>
      </c>
      <c r="R23" s="270" t="n">
        <v>21.6</v>
      </c>
      <c r="S23" s="271" t="n">
        <v>20.6</v>
      </c>
    </row>
    <row r="24" ht="15.75" customHeight="1" s="226">
      <c r="A24" s="338" t="inlineStr">
        <is>
          <t>Северо-Западный федеральный округ</t>
        </is>
      </c>
      <c r="B24" s="332" t="n">
        <v>10.6921583363955</v>
      </c>
      <c r="C24" s="332" t="n">
        <v>10.5114509929846</v>
      </c>
      <c r="D24" s="332" t="n">
        <v>10.0545310928069</v>
      </c>
      <c r="E24" s="332" t="n">
        <v>9.8874389095743</v>
      </c>
      <c r="F24" s="332" t="n">
        <v>10.1455321015174</v>
      </c>
      <c r="G24" s="332" t="n">
        <v>10.1562419347225</v>
      </c>
      <c r="H24" s="332" t="n">
        <v>10.561799944593</v>
      </c>
      <c r="I24" s="332" t="n">
        <v>10</v>
      </c>
      <c r="J24" s="332" t="n">
        <v>9.9</v>
      </c>
      <c r="K24" s="332" t="n">
        <v>10</v>
      </c>
      <c r="L24" s="332" t="n">
        <v>9.9</v>
      </c>
      <c r="M24" s="332" t="n">
        <v>10.5</v>
      </c>
      <c r="N24" s="332" t="n">
        <v>10.3</v>
      </c>
      <c r="O24" s="332" t="n">
        <v>10.5</v>
      </c>
      <c r="P24" s="332" t="n">
        <v>10.4</v>
      </c>
      <c r="Q24" s="332" t="n">
        <v>10.2</v>
      </c>
      <c r="R24" s="332" t="n">
        <v>10.1</v>
      </c>
      <c r="S24" s="332" t="n">
        <v>10.9</v>
      </c>
    </row>
    <row r="25" ht="15.75" customHeight="1" s="226">
      <c r="A25" s="334" t="inlineStr">
        <is>
          <t>Республика Карелия</t>
        </is>
      </c>
      <c r="B25" s="261" t="n">
        <v>0.499187935936305</v>
      </c>
      <c r="C25" s="262" t="n">
        <v>0.52360684233883</v>
      </c>
      <c r="D25" s="262" t="n">
        <v>0.490375571661059</v>
      </c>
      <c r="E25" s="262" t="n">
        <v>0.47024612380794</v>
      </c>
      <c r="F25" s="336" t="n">
        <v>0.473187996475366</v>
      </c>
      <c r="G25" s="262" t="n">
        <v>0.433690785579079</v>
      </c>
      <c r="H25" s="262" t="n">
        <v>0.386443138088343</v>
      </c>
      <c r="I25" s="336" t="n">
        <v>0.4</v>
      </c>
      <c r="J25" s="262" t="n">
        <v>0.4</v>
      </c>
      <c r="K25" s="262" t="n">
        <v>0.4</v>
      </c>
      <c r="L25" s="262" t="n">
        <v>0.3</v>
      </c>
      <c r="M25" s="262" t="n">
        <v>0.3</v>
      </c>
      <c r="N25" s="262" t="n">
        <v>0.3</v>
      </c>
      <c r="O25" s="262" t="n">
        <v>0.3</v>
      </c>
      <c r="P25" s="262" t="n">
        <v>0.3</v>
      </c>
      <c r="Q25" s="262" t="n">
        <v>0.3</v>
      </c>
      <c r="R25" s="262" t="n">
        <v>0.3</v>
      </c>
      <c r="S25" s="263" t="n">
        <v>0.3</v>
      </c>
    </row>
    <row r="26" ht="15.75" customHeight="1" s="226">
      <c r="A26" s="334" t="inlineStr">
        <is>
          <t>Республика Коми</t>
        </is>
      </c>
      <c r="B26" s="261" t="n">
        <v>1.29341878415748</v>
      </c>
      <c r="C26" s="262" t="n">
        <v>1.14466427451396</v>
      </c>
      <c r="D26" s="262" t="n">
        <v>1.03365475360116</v>
      </c>
      <c r="E26" s="262" t="n">
        <v>1.09157505397946</v>
      </c>
      <c r="F26" s="336" t="n">
        <v>0.984066387443985</v>
      </c>
      <c r="G26" s="262" t="n">
        <v>0.997437887222336</v>
      </c>
      <c r="H26" s="262" t="n">
        <v>0.942316830166146</v>
      </c>
      <c r="I26" s="336" t="n">
        <v>1</v>
      </c>
      <c r="J26" s="262" t="n">
        <v>1</v>
      </c>
      <c r="K26" s="262" t="n">
        <v>0.9</v>
      </c>
      <c r="L26" s="262" t="n">
        <v>0.9</v>
      </c>
      <c r="M26" s="262" t="n">
        <v>0.9</v>
      </c>
      <c r="N26" s="262" t="n">
        <v>0.9</v>
      </c>
      <c r="O26" s="262" t="n">
        <v>1</v>
      </c>
      <c r="P26" s="262" t="n">
        <v>1</v>
      </c>
      <c r="Q26" s="262" t="n">
        <v>0.9</v>
      </c>
      <c r="R26" s="262" t="n">
        <v>0.8</v>
      </c>
      <c r="S26" s="263" t="n">
        <v>0.8</v>
      </c>
    </row>
    <row r="27" ht="15.75" customHeight="1" s="226">
      <c r="A27" s="334" t="inlineStr">
        <is>
          <t>Архангельская область</t>
        </is>
      </c>
      <c r="B27" s="261" t="n">
        <v>0.996257733480907</v>
      </c>
      <c r="C27" s="262" t="n">
        <v>0.938721586110378</v>
      </c>
      <c r="D27" s="262" t="n">
        <v>1.07421667931135</v>
      </c>
      <c r="E27" s="262" t="n">
        <v>0.938153651274036</v>
      </c>
      <c r="F27" s="336" t="n">
        <v>0.951340975409929</v>
      </c>
      <c r="G27" s="262" t="n">
        <v>0.967670860633466</v>
      </c>
      <c r="H27" s="262" t="n">
        <v>1.0209222436513</v>
      </c>
      <c r="I27" s="336" t="n">
        <v>0.9</v>
      </c>
      <c r="J27" s="262" t="n">
        <v>1</v>
      </c>
      <c r="K27" s="262" t="n">
        <v>1</v>
      </c>
      <c r="L27" s="262" t="n">
        <v>0.9</v>
      </c>
      <c r="M27" s="262" t="n">
        <v>1</v>
      </c>
      <c r="N27" s="262" t="n">
        <v>1</v>
      </c>
      <c r="O27" s="262" t="n">
        <v>1</v>
      </c>
      <c r="P27" s="262" t="n">
        <v>0.9</v>
      </c>
      <c r="Q27" s="262" t="n">
        <v>0.9</v>
      </c>
      <c r="R27" s="262" t="n">
        <v>0.9</v>
      </c>
      <c r="S27" s="263" t="n">
        <v>0.9</v>
      </c>
    </row>
    <row r="28" ht="15.75" customHeight="1" s="226">
      <c r="A28" s="334" t="inlineStr">
        <is>
          <t>Ненецкий автономный округ</t>
        </is>
      </c>
      <c r="B28" s="261" t="n"/>
      <c r="C28" s="262" t="n"/>
      <c r="D28" s="262" t="n">
        <v>0.207241581184439</v>
      </c>
      <c r="E28" s="262" t="n">
        <v>0.165716813525962</v>
      </c>
      <c r="F28" s="336" t="n">
        <v>0.188541204869911</v>
      </c>
      <c r="G28" s="262" t="n">
        <v>0.233100105075919</v>
      </c>
      <c r="H28" s="262" t="n">
        <v>0.28348492005911</v>
      </c>
      <c r="I28" s="336" t="n">
        <v>0.2</v>
      </c>
      <c r="J28" s="262" t="n">
        <v>0.3</v>
      </c>
      <c r="K28" s="262" t="n">
        <v>0.3</v>
      </c>
      <c r="L28" s="262" t="n">
        <v>0.3</v>
      </c>
      <c r="M28" s="262" t="n">
        <v>0.4</v>
      </c>
      <c r="N28" s="262" t="n">
        <v>0.4</v>
      </c>
      <c r="O28" s="262" t="n">
        <v>0.4</v>
      </c>
      <c r="P28" s="262" t="n">
        <v>0.3</v>
      </c>
      <c r="Q28" s="262" t="n">
        <v>0.3</v>
      </c>
      <c r="R28" s="262" t="n">
        <v>0.3</v>
      </c>
      <c r="S28" s="263" t="n">
        <v>0.3</v>
      </c>
    </row>
    <row r="29" ht="15.75" customHeight="1" s="226">
      <c r="A29" s="339" t="inlineStr">
        <is>
          <t>Архангельская область без Ненецкого авт. округа</t>
        </is>
      </c>
      <c r="B29" s="261" t="n"/>
      <c r="C29" s="262" t="n"/>
      <c r="D29" s="262" t="n"/>
      <c r="E29" s="262" t="n"/>
      <c r="F29" s="336" t="n"/>
      <c r="G29" s="262" t="n"/>
      <c r="H29" s="262" t="n"/>
      <c r="I29" s="336" t="n"/>
      <c r="J29" s="262" t="n"/>
      <c r="K29" s="262" t="n"/>
      <c r="L29" s="262" t="n"/>
      <c r="M29" s="262" t="n"/>
      <c r="N29" s="262" t="n"/>
      <c r="O29" s="262" t="n">
        <v>0.6</v>
      </c>
      <c r="P29" s="262" t="n">
        <v>0.6</v>
      </c>
      <c r="Q29" s="262" t="n">
        <v>0.6</v>
      </c>
      <c r="R29" s="262" t="n">
        <v>0.6</v>
      </c>
      <c r="S29" s="263" t="n">
        <v>0.6</v>
      </c>
    </row>
    <row r="30" ht="15.75" customHeight="1" s="226">
      <c r="A30" s="334" t="inlineStr">
        <is>
          <t>Вологодская область</t>
        </is>
      </c>
      <c r="B30" s="261" t="n">
        <v>1.05455760548229</v>
      </c>
      <c r="C30" s="262" t="n">
        <v>1.17507153400548</v>
      </c>
      <c r="D30" s="262" t="n">
        <v>1.20263207236228</v>
      </c>
      <c r="E30" s="262" t="n">
        <v>0.912363549457659</v>
      </c>
      <c r="F30" s="336" t="n">
        <v>0.923577113819546</v>
      </c>
      <c r="G30" s="262" t="n">
        <v>1.00112048274992</v>
      </c>
      <c r="H30" s="262" t="n">
        <v>1.15565074937419</v>
      </c>
      <c r="I30" s="336" t="n">
        <v>1.1</v>
      </c>
      <c r="J30" s="262" t="n">
        <v>0.9</v>
      </c>
      <c r="K30" s="262" t="n">
        <v>0.9</v>
      </c>
      <c r="L30" s="262" t="n">
        <v>0.9</v>
      </c>
      <c r="M30" s="262" t="n">
        <v>0.7</v>
      </c>
      <c r="N30" s="262" t="n">
        <v>0.7</v>
      </c>
      <c r="O30" s="262" t="n">
        <v>0.7</v>
      </c>
      <c r="P30" s="262" t="n">
        <v>0.7</v>
      </c>
      <c r="Q30" s="262" t="n">
        <v>0.6</v>
      </c>
      <c r="R30" s="262" t="n">
        <v>0.7</v>
      </c>
      <c r="S30" s="263" t="n">
        <v>0.7</v>
      </c>
    </row>
    <row r="31" ht="15.75" customHeight="1" s="226">
      <c r="A31" s="334" t="inlineStr">
        <is>
          <t>Калининградская область</t>
        </is>
      </c>
      <c r="B31" s="261" t="n">
        <v>0.373263054360001</v>
      </c>
      <c r="C31" s="262" t="n">
        <v>0.408102105476716</v>
      </c>
      <c r="D31" s="262" t="n">
        <v>0.404790221256285</v>
      </c>
      <c r="E31" s="262" t="n">
        <v>0.450806628873351</v>
      </c>
      <c r="F31" s="336" t="n">
        <v>0.458978308197557</v>
      </c>
      <c r="G31" s="262" t="n">
        <v>0.435262125632305</v>
      </c>
      <c r="H31" s="262" t="n">
        <v>0.476587256534793</v>
      </c>
      <c r="I31" s="336" t="n">
        <v>0.5</v>
      </c>
      <c r="J31" s="262" t="n">
        <v>0.5</v>
      </c>
      <c r="K31" s="262" t="n">
        <v>0.5</v>
      </c>
      <c r="L31" s="262" t="n">
        <v>0.5</v>
      </c>
      <c r="M31" s="262" t="n">
        <v>0.5</v>
      </c>
      <c r="N31" s="262" t="n">
        <v>0.5</v>
      </c>
      <c r="O31" s="262" t="n">
        <v>0.5</v>
      </c>
      <c r="P31" s="262" t="n">
        <v>0.5</v>
      </c>
      <c r="Q31" s="262" t="n">
        <v>0.5</v>
      </c>
      <c r="R31" s="262" t="n">
        <v>0.5</v>
      </c>
      <c r="S31" s="263" t="n">
        <v>0.5</v>
      </c>
    </row>
    <row r="32" ht="15.75" customHeight="1" s="226">
      <c r="A32" s="334" t="inlineStr">
        <is>
          <t>Ленинградская область</t>
        </is>
      </c>
      <c r="B32" s="261" t="n">
        <v>0.955422511992238</v>
      </c>
      <c r="C32" s="262" t="n">
        <v>1.03838256789803</v>
      </c>
      <c r="D32" s="262" t="n">
        <v>0.97332458112486</v>
      </c>
      <c r="E32" s="262" t="n">
        <v>1.05785715239959</v>
      </c>
      <c r="F32" s="336" t="n">
        <v>1.0839105830912</v>
      </c>
      <c r="G32" s="262" t="n">
        <v>1.12844464060544</v>
      </c>
      <c r="H32" s="262" t="n">
        <v>1.19193182354777</v>
      </c>
      <c r="I32" s="336" t="n">
        <v>1.1</v>
      </c>
      <c r="J32" s="262" t="n">
        <v>1.2</v>
      </c>
      <c r="K32" s="262" t="n">
        <v>1.1</v>
      </c>
      <c r="L32" s="262" t="n">
        <v>1.1</v>
      </c>
      <c r="M32" s="262" t="n">
        <v>1.3</v>
      </c>
      <c r="N32" s="262" t="n">
        <v>1.3</v>
      </c>
      <c r="O32" s="262" t="n">
        <v>1.3</v>
      </c>
      <c r="P32" s="262" t="n">
        <v>1.3</v>
      </c>
      <c r="Q32" s="262" t="n">
        <v>1.3</v>
      </c>
      <c r="R32" s="262" t="n">
        <v>1.2</v>
      </c>
      <c r="S32" s="263" t="n">
        <v>1.3</v>
      </c>
    </row>
    <row r="33" ht="15.75" customHeight="1" s="226">
      <c r="A33" s="334" t="inlineStr">
        <is>
          <t>Мурманская область</t>
        </is>
      </c>
      <c r="B33" s="261" t="n">
        <v>1.00693279573175</v>
      </c>
      <c r="C33" s="262" t="n">
        <v>1.07053776145037</v>
      </c>
      <c r="D33" s="262" t="n">
        <v>0.958257680191549</v>
      </c>
      <c r="E33" s="262" t="n">
        <v>0.802810699955412</v>
      </c>
      <c r="F33" s="336" t="n">
        <v>0.783018918001736</v>
      </c>
      <c r="G33" s="262" t="n">
        <v>0.750334424077294</v>
      </c>
      <c r="H33" s="262" t="n">
        <v>0.894938891840621</v>
      </c>
      <c r="I33" s="336" t="n">
        <v>0.7</v>
      </c>
      <c r="J33" s="262" t="n">
        <v>0.7</v>
      </c>
      <c r="K33" s="262" t="n">
        <v>0.7</v>
      </c>
      <c r="L33" s="262" t="n">
        <v>0.6</v>
      </c>
      <c r="M33" s="262" t="n">
        <v>0.6</v>
      </c>
      <c r="N33" s="262" t="n">
        <v>0.6</v>
      </c>
      <c r="O33" s="262" t="n">
        <v>0.6</v>
      </c>
      <c r="P33" s="262" t="n">
        <v>0.6</v>
      </c>
      <c r="Q33" s="262" t="n">
        <v>0.6</v>
      </c>
      <c r="R33" s="262" t="n">
        <v>0.6</v>
      </c>
      <c r="S33" s="263" t="n">
        <v>0.6</v>
      </c>
    </row>
    <row r="34" ht="15.75" customHeight="1" s="226">
      <c r="A34" s="334" t="inlineStr">
        <is>
          <t>Новгородская область</t>
        </is>
      </c>
      <c r="B34" s="261" t="n">
        <v>0.41567910869447</v>
      </c>
      <c r="C34" s="262" t="n">
        <v>0.410892529358564</v>
      </c>
      <c r="D34" s="262" t="n">
        <v>0.364384717403753</v>
      </c>
      <c r="E34" s="262" t="n">
        <v>0.383504698849453</v>
      </c>
      <c r="F34" s="336" t="n">
        <v>0.359981820384964</v>
      </c>
      <c r="G34" s="262" t="n">
        <v>0.354498225740183</v>
      </c>
      <c r="H34" s="262" t="n">
        <v>0.352629784221133</v>
      </c>
      <c r="I34" s="336" t="n">
        <v>0.4</v>
      </c>
      <c r="J34" s="262" t="n">
        <v>0.3</v>
      </c>
      <c r="K34" s="262" t="n">
        <v>0.3</v>
      </c>
      <c r="L34" s="262" t="n">
        <v>0.3</v>
      </c>
      <c r="M34" s="262" t="n">
        <v>0.4</v>
      </c>
      <c r="N34" s="262" t="n">
        <v>0.3</v>
      </c>
      <c r="O34" s="262" t="n">
        <v>0.3</v>
      </c>
      <c r="P34" s="262" t="n">
        <v>0.3</v>
      </c>
      <c r="Q34" s="262" t="n">
        <v>0.3</v>
      </c>
      <c r="R34" s="262" t="n">
        <v>0.4</v>
      </c>
      <c r="S34" s="263" t="n">
        <v>0.4</v>
      </c>
    </row>
    <row r="35" ht="15.75" customHeight="1" s="226">
      <c r="A35" s="334" t="inlineStr">
        <is>
          <t>Псковская область</t>
        </is>
      </c>
      <c r="B35" s="261" t="n">
        <v>0.273590655324043</v>
      </c>
      <c r="C35" s="262" t="n">
        <v>0.291123773980369</v>
      </c>
      <c r="D35" s="262" t="n">
        <v>0.281192621421077</v>
      </c>
      <c r="E35" s="262" t="n">
        <v>0.270770967858985</v>
      </c>
      <c r="F35" s="336" t="n">
        <v>0.275692663101275</v>
      </c>
      <c r="G35" s="262" t="n">
        <v>0.274504170767503</v>
      </c>
      <c r="H35" s="262" t="n">
        <v>0.256482502881955</v>
      </c>
      <c r="I35" s="336" t="n">
        <v>0.2</v>
      </c>
      <c r="J35" s="262" t="n">
        <v>0.2</v>
      </c>
      <c r="K35" s="262" t="n">
        <v>0.2</v>
      </c>
      <c r="L35" s="262" t="n">
        <v>0.2</v>
      </c>
      <c r="M35" s="262" t="n">
        <v>0.2</v>
      </c>
      <c r="N35" s="262" t="n">
        <v>0.2</v>
      </c>
      <c r="O35" s="262" t="n">
        <v>0.2</v>
      </c>
      <c r="P35" s="262" t="n">
        <v>0.2</v>
      </c>
      <c r="Q35" s="262" t="n">
        <v>0.2</v>
      </c>
      <c r="R35" s="262" t="n">
        <v>0.2</v>
      </c>
      <c r="S35" s="263" t="n">
        <v>0.2</v>
      </c>
    </row>
    <row r="36" ht="15.75" customHeight="1" s="226">
      <c r="A36" s="334" t="inlineStr">
        <is>
          <t>г.Санкт-Петербург</t>
        </is>
      </c>
      <c r="B36" s="261" t="n">
        <v>3.82384815123597</v>
      </c>
      <c r="C36" s="262" t="n">
        <v>3.51034801785192</v>
      </c>
      <c r="D36" s="262" t="n">
        <v>3.27170219447353</v>
      </c>
      <c r="E36" s="262" t="n">
        <v>3.50935038311842</v>
      </c>
      <c r="F36" s="336" t="n">
        <v>3.85177733559181</v>
      </c>
      <c r="G36" s="262" t="n">
        <v>3.81327833171497</v>
      </c>
      <c r="H36" s="262" t="n">
        <v>3.88389672428677</v>
      </c>
      <c r="I36" s="336" t="n">
        <v>3.7</v>
      </c>
      <c r="J36" s="262" t="n">
        <v>3.7</v>
      </c>
      <c r="K36" s="262" t="n">
        <v>4</v>
      </c>
      <c r="L36" s="262" t="n">
        <v>4.2</v>
      </c>
      <c r="M36" s="262" t="n">
        <v>4.6</v>
      </c>
      <c r="N36" s="262" t="n">
        <v>4.5</v>
      </c>
      <c r="O36" s="262" t="n">
        <v>4.6</v>
      </c>
      <c r="P36" s="262" t="n">
        <v>4.6</v>
      </c>
      <c r="Q36" s="262" t="n">
        <v>4.6</v>
      </c>
      <c r="R36" s="262" t="n">
        <v>4.5</v>
      </c>
      <c r="S36" s="263" t="n">
        <v>5.2</v>
      </c>
    </row>
    <row r="37" ht="15.75" customHeight="1" s="226">
      <c r="A37" s="338" t="inlineStr">
        <is>
          <t>Южный федеральный округ</t>
        </is>
      </c>
      <c r="B37" s="332" t="n">
        <v>5.98449140810688</v>
      </c>
      <c r="C37" s="332" t="n">
        <v>6.01602586419859</v>
      </c>
      <c r="D37" s="332" t="n">
        <v>5.7301723650686</v>
      </c>
      <c r="E37" s="332" t="n">
        <v>5.94770173433484</v>
      </c>
      <c r="F37" s="332" t="n">
        <v>5.93760650688179</v>
      </c>
      <c r="G37" s="332" t="n">
        <v>5.73506817591148</v>
      </c>
      <c r="H37" s="332" t="n">
        <v>5.49151051938466</v>
      </c>
      <c r="I37" s="332" t="n">
        <v>5.3</v>
      </c>
      <c r="J37" s="332" t="n">
        <v>5.3</v>
      </c>
      <c r="K37" s="332" t="n">
        <v>5.7</v>
      </c>
      <c r="L37" s="332" t="n">
        <v>5.9</v>
      </c>
      <c r="M37" s="332" t="n">
        <v>6.2</v>
      </c>
      <c r="N37" s="332" t="n">
        <v>6.1</v>
      </c>
      <c r="O37" s="332" t="n">
        <v>6.1</v>
      </c>
      <c r="P37" s="332" t="n">
        <v>6.3</v>
      </c>
      <c r="Q37" s="332" t="n">
        <v>6.6</v>
      </c>
      <c r="R37" s="332" t="n">
        <v>7</v>
      </c>
      <c r="S37" s="332" t="n">
        <v>7</v>
      </c>
    </row>
    <row r="38" ht="15.75" customHeight="1" s="226">
      <c r="A38" s="334" t="inlineStr">
        <is>
          <t>Республика Адыгея</t>
        </is>
      </c>
      <c r="B38" s="261" t="n">
        <v>0.13821630100656</v>
      </c>
      <c r="C38" s="262" t="n">
        <v>0.118222003563539</v>
      </c>
      <c r="D38" s="262" t="n">
        <v>0.09593178727823121</v>
      </c>
      <c r="E38" s="262" t="n">
        <v>0.0926206868411437</v>
      </c>
      <c r="F38" s="262" t="n">
        <v>0.0904896653318109</v>
      </c>
      <c r="G38" s="336" t="n">
        <v>0.0916860165061639</v>
      </c>
      <c r="H38" s="262" t="n">
        <v>0.089465244723164</v>
      </c>
      <c r="I38" s="336" t="n">
        <v>0.1</v>
      </c>
      <c r="J38" s="262" t="n">
        <v>0.1</v>
      </c>
      <c r="K38" s="262" t="n">
        <v>0.1</v>
      </c>
      <c r="L38" s="262" t="n">
        <v>0.1</v>
      </c>
      <c r="M38" s="262" t="n">
        <v>0.1</v>
      </c>
      <c r="N38" s="262" t="n">
        <v>0.1</v>
      </c>
      <c r="O38" s="262" t="n">
        <v>0.1</v>
      </c>
      <c r="P38" s="262" t="n">
        <v>0.1</v>
      </c>
      <c r="Q38" s="262" t="n">
        <v>0.1</v>
      </c>
      <c r="R38" s="262" t="n">
        <v>0.1</v>
      </c>
      <c r="S38" s="263" t="n">
        <v>0.1</v>
      </c>
    </row>
    <row r="39" ht="15.75" customHeight="1" s="226">
      <c r="A39" s="334" t="inlineStr">
        <is>
          <t>Республика Калмыкия</t>
        </is>
      </c>
      <c r="B39" s="261" t="n">
        <v>0.0677315825757584</v>
      </c>
      <c r="C39" s="262" t="n">
        <v>0.0574283866320407</v>
      </c>
      <c r="D39" s="262" t="n">
        <v>0.107976270317548</v>
      </c>
      <c r="E39" s="262" t="n">
        <v>0.09387853651338179</v>
      </c>
      <c r="F39" s="262" t="n">
        <v>0.0831954883364554</v>
      </c>
      <c r="G39" s="336" t="n">
        <v>0.060875463732657</v>
      </c>
      <c r="H39" s="262" t="n">
        <v>0.0610019600402037</v>
      </c>
      <c r="I39" s="336" t="n">
        <v>0.1</v>
      </c>
      <c r="J39" s="262" t="n">
        <v>0.1</v>
      </c>
      <c r="K39" s="262" t="n">
        <v>0.1</v>
      </c>
      <c r="L39" s="262" t="n">
        <v>0.1</v>
      </c>
      <c r="M39" s="262" t="n">
        <v>0.1</v>
      </c>
      <c r="N39" s="262" t="n">
        <v>0.1</v>
      </c>
      <c r="O39" s="262" t="n">
        <v>0.1</v>
      </c>
      <c r="P39" s="262" t="n">
        <v>0.1</v>
      </c>
      <c r="Q39" s="262" t="n">
        <v>0.1</v>
      </c>
      <c r="R39" s="262" t="n">
        <v>0.1</v>
      </c>
      <c r="S39" s="263" t="n">
        <v>0.1</v>
      </c>
    </row>
    <row r="40" ht="15.75" customHeight="1" s="226">
      <c r="A40" s="334" t="inlineStr">
        <is>
          <t>Республика Крым</t>
        </is>
      </c>
      <c r="B40" s="261" t="n">
        <v>0</v>
      </c>
      <c r="C40" s="262" t="n">
        <v>0</v>
      </c>
      <c r="D40" s="262" t="n">
        <v>0</v>
      </c>
      <c r="E40" s="262" t="n">
        <v>0</v>
      </c>
      <c r="F40" s="262" t="n">
        <v>0</v>
      </c>
      <c r="G40" s="336" t="n">
        <v>0</v>
      </c>
      <c r="H40" s="262" t="n">
        <v>0</v>
      </c>
      <c r="I40" s="336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>
        <v>0.3</v>
      </c>
      <c r="S40" s="263" t="n">
        <v>0.4</v>
      </c>
    </row>
    <row r="41" ht="15.75" customHeight="1" s="226">
      <c r="A41" s="334" t="inlineStr">
        <is>
          <t>Краснодарский край</t>
        </is>
      </c>
      <c r="B41" s="261" t="n">
        <v>2.29229199670068</v>
      </c>
      <c r="C41" s="262" t="n">
        <v>2.5835458266376</v>
      </c>
      <c r="D41" s="262" t="n">
        <v>2.38326601747656</v>
      </c>
      <c r="E41" s="262" t="n">
        <v>2.49865143733311</v>
      </c>
      <c r="F41" s="262" t="n">
        <v>2.49081501125152</v>
      </c>
      <c r="G41" s="336" t="n">
        <v>2.31386804502481</v>
      </c>
      <c r="H41" s="262" t="n">
        <v>2.24589473673356</v>
      </c>
      <c r="I41" s="336" t="n">
        <v>2.1</v>
      </c>
      <c r="J41" s="262" t="n">
        <v>2.1</v>
      </c>
      <c r="K41" s="262" t="n">
        <v>2.3</v>
      </c>
      <c r="L41" s="262" t="n">
        <v>2.4</v>
      </c>
      <c r="M41" s="262" t="n">
        <v>2.7</v>
      </c>
      <c r="N41" s="262" t="n">
        <v>2.7</v>
      </c>
      <c r="O41" s="262" t="n">
        <v>2.7</v>
      </c>
      <c r="P41" s="262" t="n">
        <v>2.9</v>
      </c>
      <c r="Q41" s="262" t="n">
        <v>3.1</v>
      </c>
      <c r="R41" s="262" t="n">
        <v>3</v>
      </c>
      <c r="S41" s="263" t="n">
        <v>2.9</v>
      </c>
    </row>
    <row r="42" ht="15.75" customHeight="1" s="226">
      <c r="A42" s="334" t="inlineStr">
        <is>
          <t>Астраханская область</t>
        </is>
      </c>
      <c r="B42" s="261" t="n">
        <v>0.459875820251312</v>
      </c>
      <c r="C42" s="262" t="n">
        <v>0.418898015101994</v>
      </c>
      <c r="D42" s="262" t="n">
        <v>0.488656669247512</v>
      </c>
      <c r="E42" s="262" t="n">
        <v>0.450068932114355</v>
      </c>
      <c r="F42" s="262" t="n">
        <v>0.468983777457497</v>
      </c>
      <c r="G42" s="336" t="n">
        <v>0.47158633192196</v>
      </c>
      <c r="H42" s="262" t="n">
        <v>0.406113289387097</v>
      </c>
      <c r="I42" s="336" t="n">
        <v>0.4</v>
      </c>
      <c r="J42" s="262" t="n">
        <v>0.4</v>
      </c>
      <c r="K42" s="262" t="n">
        <v>0.4</v>
      </c>
      <c r="L42" s="262" t="n">
        <v>0.4</v>
      </c>
      <c r="M42" s="262" t="n">
        <v>0.4</v>
      </c>
      <c r="N42" s="262" t="n">
        <v>0.4</v>
      </c>
      <c r="O42" s="262" t="n">
        <v>0.4</v>
      </c>
      <c r="P42" s="262" t="n">
        <v>0.4</v>
      </c>
      <c r="Q42" s="262" t="n">
        <v>0.5</v>
      </c>
      <c r="R42" s="262" t="n">
        <v>0.5</v>
      </c>
      <c r="S42" s="263" t="n">
        <v>0.5</v>
      </c>
    </row>
    <row r="43" ht="15.75" customHeight="1" s="226">
      <c r="A43" s="334" t="inlineStr">
        <is>
          <t>Волгоградская область</t>
        </is>
      </c>
      <c r="B43" s="261" t="n">
        <v>1.34377452705456</v>
      </c>
      <c r="C43" s="262" t="n">
        <v>1.16035387695824</v>
      </c>
      <c r="D43" s="262" t="n">
        <v>1.10828535990827</v>
      </c>
      <c r="E43" s="262" t="n">
        <v>1.15632502735126</v>
      </c>
      <c r="F43" s="262" t="n">
        <v>1.19366872758436</v>
      </c>
      <c r="G43" s="336" t="n">
        <v>1.197329470344</v>
      </c>
      <c r="H43" s="262" t="n">
        <v>1.10523005318976</v>
      </c>
      <c r="I43" s="336" t="n">
        <v>1.1</v>
      </c>
      <c r="J43" s="262" t="n">
        <v>1.1</v>
      </c>
      <c r="K43" s="262" t="n">
        <v>1.2</v>
      </c>
      <c r="L43" s="262" t="n">
        <v>1.2</v>
      </c>
      <c r="M43" s="262" t="n">
        <v>1.2</v>
      </c>
      <c r="N43" s="262" t="n">
        <v>1.1</v>
      </c>
      <c r="O43" s="262" t="n">
        <v>1.1</v>
      </c>
      <c r="P43" s="262" t="n">
        <v>1.1</v>
      </c>
      <c r="Q43" s="262" t="n">
        <v>1.1</v>
      </c>
      <c r="R43" s="262" t="n">
        <v>1.2</v>
      </c>
      <c r="S43" s="263" t="n">
        <v>1.1</v>
      </c>
    </row>
    <row r="44" ht="15.75" customHeight="1" s="226">
      <c r="A44" s="334" t="inlineStr">
        <is>
          <t>Ростовская область</t>
        </is>
      </c>
      <c r="B44" s="261" t="n">
        <v>1.68260118051801</v>
      </c>
      <c r="C44" s="262" t="n">
        <v>1.67757775530517</v>
      </c>
      <c r="D44" s="262" t="n">
        <v>1.54605626084047</v>
      </c>
      <c r="E44" s="262" t="n">
        <v>1.6561571141816</v>
      </c>
      <c r="F44" s="262" t="n">
        <v>1.61045383692014</v>
      </c>
      <c r="G44" s="336" t="n">
        <v>1.59972284838189</v>
      </c>
      <c r="H44" s="262" t="n">
        <v>1.58380523531088</v>
      </c>
      <c r="I44" s="336" t="n">
        <v>1.5</v>
      </c>
      <c r="J44" s="262" t="n">
        <v>1.5</v>
      </c>
      <c r="K44" s="262" t="n">
        <v>1.6</v>
      </c>
      <c r="L44" s="262" t="n">
        <v>1.7</v>
      </c>
      <c r="M44" s="262" t="n">
        <v>1.7</v>
      </c>
      <c r="N44" s="262" t="n">
        <v>1.7</v>
      </c>
      <c r="O44" s="262" t="n">
        <v>1.7</v>
      </c>
      <c r="P44" s="262" t="n">
        <v>1.7</v>
      </c>
      <c r="Q44" s="262" t="n">
        <v>1.7</v>
      </c>
      <c r="R44" s="262" t="n">
        <v>1.7</v>
      </c>
      <c r="S44" s="263" t="n">
        <v>1.8</v>
      </c>
    </row>
    <row r="45" ht="15.75" customHeight="1" s="226">
      <c r="A45" s="334" t="inlineStr">
        <is>
          <t>г.Севастополь</t>
        </is>
      </c>
      <c r="B45" s="261" t="n">
        <v>0</v>
      </c>
      <c r="C45" s="262" t="n">
        <v>0</v>
      </c>
      <c r="D45" s="262" t="n">
        <v>0</v>
      </c>
      <c r="E45" s="262" t="n">
        <v>0</v>
      </c>
      <c r="F45" s="262" t="n">
        <v>0</v>
      </c>
      <c r="G45" s="336" t="n">
        <v>0</v>
      </c>
      <c r="H45" s="262" t="n">
        <v>0</v>
      </c>
      <c r="I45" s="336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>
        <v>0.1</v>
      </c>
      <c r="S45" s="263" t="n">
        <v>0.1</v>
      </c>
    </row>
    <row r="46" ht="15.75" customHeight="1" s="226">
      <c r="A46" s="338" t="inlineStr">
        <is>
          <t>Северо-Кавказский федеральный округ</t>
        </is>
      </c>
      <c r="B46" s="332" t="n">
        <v>2.23071944546515</v>
      </c>
      <c r="C46" s="332" t="n">
        <v>1.92539247847513</v>
      </c>
      <c r="D46" s="332" t="n">
        <v>1.82801534936405</v>
      </c>
      <c r="E46" s="332" t="n">
        <v>1.98637193789257</v>
      </c>
      <c r="F46" s="332" t="n">
        <v>1.99702233757048</v>
      </c>
      <c r="G46" s="332" t="n">
        <v>2.0495338328364</v>
      </c>
      <c r="H46" s="332" t="n">
        <v>1.97364847090783</v>
      </c>
      <c r="I46" s="332" t="n">
        <v>1.9</v>
      </c>
      <c r="J46" s="332" t="n">
        <v>2</v>
      </c>
      <c r="K46" s="332" t="n">
        <v>2.2</v>
      </c>
      <c r="L46" s="332" t="n">
        <v>2.2</v>
      </c>
      <c r="M46" s="332" t="n">
        <v>2.5</v>
      </c>
      <c r="N46" s="332" t="n">
        <v>2.4</v>
      </c>
      <c r="O46" s="332" t="n">
        <v>2.4</v>
      </c>
      <c r="P46" s="332" t="n">
        <v>2.4</v>
      </c>
      <c r="Q46" s="332" t="n">
        <v>2.5</v>
      </c>
      <c r="R46" s="332" t="n">
        <v>2.7</v>
      </c>
      <c r="S46" s="332" t="n">
        <v>2.6</v>
      </c>
    </row>
    <row r="47" ht="15.75" customHeight="1" s="226">
      <c r="A47" s="334" t="inlineStr">
        <is>
          <t>Республика Дагестан</t>
        </is>
      </c>
      <c r="B47" s="261" t="n">
        <v>0.376571257927755</v>
      </c>
      <c r="C47" s="262" t="n">
        <v>0.340026736336688</v>
      </c>
      <c r="D47" s="262" t="n">
        <v>0.363613036239329</v>
      </c>
      <c r="E47" s="262" t="n">
        <v>0.439884812207088</v>
      </c>
      <c r="F47" s="262" t="n">
        <v>0.474087184542861</v>
      </c>
      <c r="G47" s="262" t="n">
        <v>0.536440413775168</v>
      </c>
      <c r="H47" s="262" t="n">
        <v>0.57799079644878</v>
      </c>
      <c r="I47" s="336" t="n">
        <v>0.5</v>
      </c>
      <c r="J47" s="262" t="n">
        <v>0.5</v>
      </c>
      <c r="K47" s="262" t="n">
        <v>0.6</v>
      </c>
      <c r="L47" s="262" t="n">
        <v>0.6</v>
      </c>
      <c r="M47" s="262" t="n">
        <v>0.8</v>
      </c>
      <c r="N47" s="262" t="n">
        <v>0.7</v>
      </c>
      <c r="O47" s="262" t="n">
        <v>0.7</v>
      </c>
      <c r="P47" s="262" t="n">
        <v>0.7</v>
      </c>
      <c r="Q47" s="262" t="n">
        <v>0.8</v>
      </c>
      <c r="R47" s="262" t="n">
        <v>0.9</v>
      </c>
      <c r="S47" s="263" t="n">
        <v>0.9</v>
      </c>
    </row>
    <row r="48" ht="15.75" customHeight="1" s="226">
      <c r="A48" s="334" t="inlineStr">
        <is>
          <t>Республика Ингушетия</t>
        </is>
      </c>
      <c r="B48" s="261" t="n">
        <v>0.0455244335256458</v>
      </c>
      <c r="C48" s="262" t="n">
        <v>0.0427420826621271</v>
      </c>
      <c r="D48" s="262" t="n">
        <v>0.0455100704739562</v>
      </c>
      <c r="E48" s="262" t="n">
        <v>0.0502623899517502</v>
      </c>
      <c r="F48" s="262" t="n">
        <v>0.0409794093711779</v>
      </c>
      <c r="G48" s="262" t="n">
        <v>0.0442786498647842</v>
      </c>
      <c r="H48" s="262" t="n">
        <v>0.0444733899904538</v>
      </c>
      <c r="I48" s="336" t="n">
        <v>0</v>
      </c>
      <c r="J48" s="262" t="n">
        <v>0</v>
      </c>
      <c r="K48" s="262" t="n">
        <v>0.1</v>
      </c>
      <c r="L48" s="262" t="n">
        <v>0.1</v>
      </c>
      <c r="M48" s="262" t="n">
        <v>0.1</v>
      </c>
      <c r="N48" s="262" t="n">
        <v>0.1</v>
      </c>
      <c r="O48" s="262" t="n">
        <v>0.1</v>
      </c>
      <c r="P48" s="262" t="n">
        <v>0.1</v>
      </c>
      <c r="Q48" s="262" t="n">
        <v>0.1</v>
      </c>
      <c r="R48" s="262" t="n">
        <v>0.1</v>
      </c>
      <c r="S48" s="263" t="n">
        <v>0.1</v>
      </c>
    </row>
    <row r="49" ht="15.75" customHeight="1" s="226">
      <c r="A49" s="334" t="inlineStr">
        <is>
          <t>Кабардино-Балкарская Республика</t>
        </is>
      </c>
      <c r="B49" s="261" t="n">
        <v>0.254136642128973</v>
      </c>
      <c r="C49" s="262" t="n">
        <v>0.252758058361402</v>
      </c>
      <c r="D49" s="262" t="n">
        <v>0.244735900463975</v>
      </c>
      <c r="E49" s="262" t="n">
        <v>0.271139118982566</v>
      </c>
      <c r="F49" s="262" t="n">
        <v>0.260541458564499</v>
      </c>
      <c r="G49" s="262" t="n">
        <v>0.242006847747286</v>
      </c>
      <c r="H49" s="262" t="n">
        <v>0.208051164506901</v>
      </c>
      <c r="I49" s="336" t="n">
        <v>0.2</v>
      </c>
      <c r="J49" s="262" t="n">
        <v>0.2</v>
      </c>
      <c r="K49" s="262" t="n">
        <v>0.2</v>
      </c>
      <c r="L49" s="262" t="n">
        <v>0.2</v>
      </c>
      <c r="M49" s="262" t="n">
        <v>0.2</v>
      </c>
      <c r="N49" s="262" t="n">
        <v>0.2</v>
      </c>
      <c r="O49" s="262" t="n">
        <v>0.2</v>
      </c>
      <c r="P49" s="262" t="n">
        <v>0.2</v>
      </c>
      <c r="Q49" s="262" t="n">
        <v>0.2</v>
      </c>
      <c r="R49" s="262" t="n">
        <v>0.2</v>
      </c>
      <c r="S49" s="263" t="n">
        <v>0.2</v>
      </c>
    </row>
    <row r="50" ht="15.75" customHeight="1" s="226">
      <c r="A50" s="334" t="inlineStr">
        <is>
          <t>Карачаево-Черкесская Республика</t>
        </is>
      </c>
      <c r="B50" s="261" t="n">
        <v>0.125103381361492</v>
      </c>
      <c r="C50" s="262" t="n">
        <v>0.109942178393523</v>
      </c>
      <c r="D50" s="262" t="n">
        <v>0.094921997286046</v>
      </c>
      <c r="E50" s="262" t="n">
        <v>0.102145202651993</v>
      </c>
      <c r="F50" s="262" t="n">
        <v>0.11708320962824</v>
      </c>
      <c r="G50" s="262" t="n">
        <v>0.106876257613122</v>
      </c>
      <c r="H50" s="262" t="n">
        <v>0.0940053917755193</v>
      </c>
      <c r="I50" s="336" t="n">
        <v>0.1</v>
      </c>
      <c r="J50" s="262" t="n">
        <v>0.1</v>
      </c>
      <c r="K50" s="262" t="n">
        <v>0.1</v>
      </c>
      <c r="L50" s="262" t="n">
        <v>0.1</v>
      </c>
      <c r="M50" s="262" t="n">
        <v>0.1</v>
      </c>
      <c r="N50" s="262" t="n">
        <v>0.1</v>
      </c>
      <c r="O50" s="262" t="n">
        <v>0.1</v>
      </c>
      <c r="P50" s="262" t="n">
        <v>0.1</v>
      </c>
      <c r="Q50" s="262" t="n">
        <v>0.1</v>
      </c>
      <c r="R50" s="262" t="n">
        <v>0.1</v>
      </c>
      <c r="S50" s="263" t="n">
        <v>0.1</v>
      </c>
    </row>
    <row r="51" ht="15.75" customHeight="1" s="226">
      <c r="A51" s="334" t="inlineStr">
        <is>
          <t>Республика Северная Осетия-Алания</t>
        </is>
      </c>
      <c r="B51" s="261" t="n">
        <v>0.173607418368967</v>
      </c>
      <c r="C51" s="262" t="n">
        <v>0.177001185276961</v>
      </c>
      <c r="D51" s="262" t="n">
        <v>0.145354142214165</v>
      </c>
      <c r="E51" s="262" t="n">
        <v>0.17661910702658</v>
      </c>
      <c r="F51" s="262" t="n">
        <v>0.183012227859473</v>
      </c>
      <c r="G51" s="262" t="n">
        <v>0.176172540138127</v>
      </c>
      <c r="H51" s="262" t="n">
        <v>0.173785944269022</v>
      </c>
      <c r="I51" s="336" t="n">
        <v>0.2</v>
      </c>
      <c r="J51" s="262" t="n">
        <v>0.2</v>
      </c>
      <c r="K51" s="262" t="n">
        <v>0.2</v>
      </c>
      <c r="L51" s="262" t="n">
        <v>0.2</v>
      </c>
      <c r="M51" s="262" t="n">
        <v>0.2</v>
      </c>
      <c r="N51" s="262" t="n">
        <v>0.2</v>
      </c>
      <c r="O51" s="262" t="n">
        <v>0.2</v>
      </c>
      <c r="P51" s="262" t="n">
        <v>0.2</v>
      </c>
      <c r="Q51" s="262" t="n">
        <v>0.2</v>
      </c>
      <c r="R51" s="262" t="n">
        <v>0.2</v>
      </c>
      <c r="S51" s="263" t="n">
        <v>0.2</v>
      </c>
    </row>
    <row r="52" ht="15.75" customHeight="1" s="226">
      <c r="A52" s="334" t="inlineStr">
        <is>
          <t>Чеченская Республика</t>
        </is>
      </c>
      <c r="B52" s="261" t="n"/>
      <c r="C52" s="262" t="n"/>
      <c r="D52" s="262" t="n"/>
      <c r="E52" s="262" t="n"/>
      <c r="F52" s="262" t="n"/>
      <c r="G52" s="262" t="n"/>
      <c r="H52" s="262" t="n"/>
      <c r="I52" s="336" t="n">
        <v>0.1</v>
      </c>
      <c r="J52" s="262" t="n">
        <v>0.1</v>
      </c>
      <c r="K52" s="262" t="n">
        <v>0.2</v>
      </c>
      <c r="L52" s="262" t="n">
        <v>0.2</v>
      </c>
      <c r="M52" s="262" t="n">
        <v>0.2</v>
      </c>
      <c r="N52" s="262" t="n">
        <v>0.2</v>
      </c>
      <c r="O52" s="262" t="n">
        <v>0.2</v>
      </c>
      <c r="P52" s="262" t="n">
        <v>0.2</v>
      </c>
      <c r="Q52" s="262" t="n">
        <v>0.2</v>
      </c>
      <c r="R52" s="262" t="n">
        <v>0.3</v>
      </c>
      <c r="S52" s="263" t="n">
        <v>0.2</v>
      </c>
    </row>
    <row r="53" ht="15.75" customHeight="1" s="226">
      <c r="A53" s="334" t="inlineStr">
        <is>
          <t>Ставропольский край</t>
        </is>
      </c>
      <c r="B53" s="261" t="n">
        <v>1.25577631215232</v>
      </c>
      <c r="C53" s="262" t="n">
        <v>1.00292223744443</v>
      </c>
      <c r="D53" s="262" t="n">
        <v>0.933880202686577</v>
      </c>
      <c r="E53" s="262" t="n">
        <v>0.946321307072593</v>
      </c>
      <c r="F53" s="262" t="n">
        <v>0.921318847604234</v>
      </c>
      <c r="G53" s="262" t="n">
        <v>0.943759123697909</v>
      </c>
      <c r="H53" s="262" t="n">
        <v>0.875341783917158</v>
      </c>
      <c r="I53" s="336" t="n">
        <v>0.8</v>
      </c>
      <c r="J53" s="262" t="n">
        <v>0.9</v>
      </c>
      <c r="K53" s="262" t="n">
        <v>0.8</v>
      </c>
      <c r="L53" s="262" t="n">
        <v>0.8</v>
      </c>
      <c r="M53" s="262" t="n">
        <v>0.9</v>
      </c>
      <c r="N53" s="262" t="n">
        <v>0.9</v>
      </c>
      <c r="O53" s="262" t="n">
        <v>0.9</v>
      </c>
      <c r="P53" s="262" t="n">
        <v>0.9</v>
      </c>
      <c r="Q53" s="262" t="n">
        <v>0.9</v>
      </c>
      <c r="R53" s="262" t="n">
        <v>0.9</v>
      </c>
      <c r="S53" s="263" t="n">
        <v>0.9</v>
      </c>
    </row>
    <row r="54" ht="15.75" customHeight="1" s="226">
      <c r="A54" s="333" t="inlineStr">
        <is>
          <t>Приволжский федеральный округ</t>
        </is>
      </c>
      <c r="B54" s="332" t="n">
        <v>19.089080596942</v>
      </c>
      <c r="C54" s="332" t="n">
        <v>18.4314682476282</v>
      </c>
      <c r="D54" s="332" t="n">
        <v>18.019606819409</v>
      </c>
      <c r="E54" s="332" t="n">
        <v>18.0276423482118</v>
      </c>
      <c r="F54" s="332" t="n">
        <v>16.9691385842378</v>
      </c>
      <c r="G54" s="332" t="n">
        <v>16.8303459052856</v>
      </c>
      <c r="H54" s="332" t="n">
        <v>16.3624020998567</v>
      </c>
      <c r="I54" s="332" t="n">
        <v>15.5</v>
      </c>
      <c r="J54" s="332" t="n">
        <v>15.5</v>
      </c>
      <c r="K54" s="332" t="n">
        <v>15.3</v>
      </c>
      <c r="L54" s="332" t="n">
        <v>15.7</v>
      </c>
      <c r="M54" s="332" t="n">
        <v>15.4</v>
      </c>
      <c r="N54" s="332" t="n">
        <v>15.2</v>
      </c>
      <c r="O54" s="332" t="n">
        <v>15.5</v>
      </c>
      <c r="P54" s="332" t="n">
        <v>15.7</v>
      </c>
      <c r="Q54" s="332" t="n">
        <v>15.7</v>
      </c>
      <c r="R54" s="332" t="n">
        <v>15.4</v>
      </c>
      <c r="S54" s="332" t="n">
        <v>15.4</v>
      </c>
    </row>
    <row r="55" ht="15.75" customHeight="1" s="226">
      <c r="A55" s="340" t="inlineStr">
        <is>
          <t>Республика Башкортостан</t>
        </is>
      </c>
      <c r="B55" s="261" t="n">
        <v>2.51019381854392</v>
      </c>
      <c r="C55" s="262" t="n">
        <v>2.55145072648346</v>
      </c>
      <c r="D55" s="262" t="n">
        <v>2.52230245466217</v>
      </c>
      <c r="E55" s="262" t="n">
        <v>2.3284833420402</v>
      </c>
      <c r="F55" s="262" t="n">
        <v>2.1489244887029</v>
      </c>
      <c r="G55" s="262" t="n">
        <v>2.26131938033014</v>
      </c>
      <c r="H55" s="262" t="n">
        <v>2.22599757808219</v>
      </c>
      <c r="I55" s="336" t="n">
        <v>2.1</v>
      </c>
      <c r="J55" s="262" t="n">
        <v>2.2</v>
      </c>
      <c r="K55" s="262" t="n">
        <v>2.1</v>
      </c>
      <c r="L55" s="262" t="n">
        <v>2.2</v>
      </c>
      <c r="M55" s="262" t="n">
        <v>2</v>
      </c>
      <c r="N55" s="262" t="n">
        <v>2</v>
      </c>
      <c r="O55" s="262" t="n">
        <v>2.1</v>
      </c>
      <c r="P55" s="262" t="n">
        <v>2.3</v>
      </c>
      <c r="Q55" s="262" t="n">
        <v>2.2</v>
      </c>
      <c r="R55" s="262" t="n">
        <v>2.1</v>
      </c>
      <c r="S55" s="263" t="n">
        <v>2</v>
      </c>
    </row>
    <row r="56" ht="15.75" customHeight="1" s="226">
      <c r="A56" s="340" t="inlineStr">
        <is>
          <t>Республика Марий Эл</t>
        </is>
      </c>
      <c r="B56" s="261" t="n">
        <v>0.27123272768045</v>
      </c>
      <c r="C56" s="262" t="n">
        <v>0.24096407577464</v>
      </c>
      <c r="D56" s="262" t="n">
        <v>0.194790401315223</v>
      </c>
      <c r="E56" s="262" t="n">
        <v>0.210401156150713</v>
      </c>
      <c r="F56" s="262" t="n">
        <v>0.203807953929356</v>
      </c>
      <c r="G56" s="262" t="n">
        <v>0.213986168279181</v>
      </c>
      <c r="H56" s="262" t="n">
        <v>0.215446448199278</v>
      </c>
      <c r="I56" s="336" t="n">
        <v>0.2</v>
      </c>
      <c r="J56" s="262" t="n">
        <v>0.2</v>
      </c>
      <c r="K56" s="262" t="n">
        <v>0.2</v>
      </c>
      <c r="L56" s="262" t="n">
        <v>0.2</v>
      </c>
      <c r="M56" s="262" t="n">
        <v>0.2</v>
      </c>
      <c r="N56" s="262" t="n">
        <v>0.2</v>
      </c>
      <c r="O56" s="262" t="n">
        <v>0.2</v>
      </c>
      <c r="P56" s="262" t="n">
        <v>0.2</v>
      </c>
      <c r="Q56" s="262" t="n">
        <v>0.2</v>
      </c>
      <c r="R56" s="262" t="n">
        <v>0.2</v>
      </c>
      <c r="S56" s="263" t="n">
        <v>0.3</v>
      </c>
    </row>
    <row r="57" ht="15.75" customHeight="1" s="226">
      <c r="A57" s="340" t="inlineStr">
        <is>
          <t>Республика Мордовия</t>
        </is>
      </c>
      <c r="B57" s="261" t="n">
        <v>0.370660896922816</v>
      </c>
      <c r="C57" s="262" t="n">
        <v>0.317726860089897</v>
      </c>
      <c r="D57" s="262" t="n">
        <v>0.305081715126042</v>
      </c>
      <c r="E57" s="262" t="n">
        <v>0.308040691074324</v>
      </c>
      <c r="F57" s="262" t="n">
        <v>0.314692943519824</v>
      </c>
      <c r="G57" s="262" t="n">
        <v>0.309464625174471</v>
      </c>
      <c r="H57" s="262" t="n">
        <v>0.274520636021037</v>
      </c>
      <c r="I57" s="336" t="n">
        <v>0.2</v>
      </c>
      <c r="J57" s="262" t="n">
        <v>0.3</v>
      </c>
      <c r="K57" s="262" t="n">
        <v>0.3</v>
      </c>
      <c r="L57" s="262" t="n">
        <v>0.3</v>
      </c>
      <c r="M57" s="262" t="n">
        <v>0.3</v>
      </c>
      <c r="N57" s="262" t="n">
        <v>0.3</v>
      </c>
      <c r="O57" s="262" t="n">
        <v>0.3</v>
      </c>
      <c r="P57" s="262" t="n">
        <v>0.3</v>
      </c>
      <c r="Q57" s="262" t="n">
        <v>0.3</v>
      </c>
      <c r="R57" s="262" t="n">
        <v>0.3</v>
      </c>
      <c r="S57" s="263" t="n">
        <v>0.3</v>
      </c>
    </row>
    <row r="58" ht="15.75" customHeight="1" s="226">
      <c r="A58" s="340" t="inlineStr">
        <is>
          <t>Республика Татарстан</t>
        </is>
      </c>
      <c r="B58" s="261" t="n">
        <v>2.91867036859827</v>
      </c>
      <c r="C58" s="262" t="n">
        <v>2.83104963179077</v>
      </c>
      <c r="D58" s="262" t="n">
        <v>3.23540189537408</v>
      </c>
      <c r="E58" s="262" t="n">
        <v>2.98062958918156</v>
      </c>
      <c r="F58" s="262" t="n">
        <v>2.86683120816831</v>
      </c>
      <c r="G58" s="262" t="n">
        <v>2.84001189936353</v>
      </c>
      <c r="H58" s="262" t="n">
        <v>2.80082674215933</v>
      </c>
      <c r="I58" s="336" t="n">
        <v>2.7</v>
      </c>
      <c r="J58" s="262" t="n">
        <v>2.7</v>
      </c>
      <c r="K58" s="262" t="n">
        <v>2.7</v>
      </c>
      <c r="L58" s="262" t="n">
        <v>2.7</v>
      </c>
      <c r="M58" s="262" t="n">
        <v>2.8</v>
      </c>
      <c r="N58" s="262" t="n">
        <v>2.7</v>
      </c>
      <c r="O58" s="262" t="n">
        <v>2.9</v>
      </c>
      <c r="P58" s="262" t="n">
        <v>2.9</v>
      </c>
      <c r="Q58" s="262" t="n">
        <v>2.9</v>
      </c>
      <c r="R58" s="262" t="n">
        <v>2.8</v>
      </c>
      <c r="S58" s="263" t="n">
        <v>2.8</v>
      </c>
    </row>
    <row r="59" ht="15.75" customHeight="1" s="226">
      <c r="A59" s="340" t="inlineStr">
        <is>
          <t>Удмуртская Республика</t>
        </is>
      </c>
      <c r="B59" s="261" t="n">
        <v>0.840301468376127</v>
      </c>
      <c r="C59" s="262" t="n">
        <v>0.903909219254813</v>
      </c>
      <c r="D59" s="262" t="n">
        <v>0.926493614964052</v>
      </c>
      <c r="E59" s="262" t="n">
        <v>0.9141220288774951</v>
      </c>
      <c r="F59" s="262" t="n">
        <v>0.896285726366409</v>
      </c>
      <c r="G59" s="262" t="n">
        <v>0.828812061427518</v>
      </c>
      <c r="H59" s="262" t="n">
        <v>0.722077447547087</v>
      </c>
      <c r="I59" s="336" t="n">
        <v>0.8</v>
      </c>
      <c r="J59" s="262" t="n">
        <v>0.7</v>
      </c>
      <c r="K59" s="262" t="n">
        <v>0.7</v>
      </c>
      <c r="L59" s="262" t="n">
        <v>0.7</v>
      </c>
      <c r="M59" s="262" t="n">
        <v>0.7</v>
      </c>
      <c r="N59" s="262" t="n">
        <v>0.7</v>
      </c>
      <c r="O59" s="262" t="n">
        <v>0.7</v>
      </c>
      <c r="P59" s="262" t="n">
        <v>0.7</v>
      </c>
      <c r="Q59" s="262" t="n">
        <v>0.8</v>
      </c>
      <c r="R59" s="262" t="n">
        <v>0.8</v>
      </c>
      <c r="S59" s="263" t="n">
        <v>0.8</v>
      </c>
    </row>
    <row r="60" ht="15.75" customHeight="1" s="226">
      <c r="A60" s="340" t="inlineStr">
        <is>
          <t>Чувашская Республика</t>
        </is>
      </c>
      <c r="B60" s="261" t="n">
        <v>0.495231413280106</v>
      </c>
      <c r="C60" s="262" t="n">
        <v>0.433255111760004</v>
      </c>
      <c r="D60" s="262" t="n">
        <v>0.399659584325251</v>
      </c>
      <c r="E60" s="262" t="n">
        <v>0.429209824135045</v>
      </c>
      <c r="F60" s="262" t="n">
        <v>0.425347988070131</v>
      </c>
      <c r="G60" s="262" t="n">
        <v>0.42013890850866</v>
      </c>
      <c r="H60" s="262" t="n">
        <v>0.426614846163419</v>
      </c>
      <c r="I60" s="336" t="n">
        <v>0.4</v>
      </c>
      <c r="J60" s="262" t="n">
        <v>0.4</v>
      </c>
      <c r="K60" s="262" t="n">
        <v>0.4</v>
      </c>
      <c r="L60" s="262" t="n">
        <v>0.5</v>
      </c>
      <c r="M60" s="262" t="n">
        <v>0.4</v>
      </c>
      <c r="N60" s="262" t="n">
        <v>0.4</v>
      </c>
      <c r="O60" s="262" t="n">
        <v>0.4</v>
      </c>
      <c r="P60" s="262" t="n">
        <v>0.4</v>
      </c>
      <c r="Q60" s="262" t="n">
        <v>0.4</v>
      </c>
      <c r="R60" s="262" t="n">
        <v>0.4</v>
      </c>
      <c r="S60" s="263" t="n">
        <v>0.4</v>
      </c>
    </row>
    <row r="61" ht="15.75" customHeight="1" s="226">
      <c r="A61" s="334" t="inlineStr">
        <is>
          <t>Пермский край</t>
        </is>
      </c>
      <c r="B61" s="261" t="n">
        <v>2.31474781608608</v>
      </c>
      <c r="C61" s="262" t="n">
        <v>2.28176461912347</v>
      </c>
      <c r="D61" s="262" t="n">
        <v>2.15761705968759</v>
      </c>
      <c r="E61" s="262" t="n">
        <v>2.32609314876058</v>
      </c>
      <c r="F61" s="262" t="n">
        <v>2.0373702560851</v>
      </c>
      <c r="G61" s="262" t="n">
        <v>1.94812375341791</v>
      </c>
      <c r="H61" s="262" t="n">
        <v>1.90719045717806</v>
      </c>
      <c r="I61" s="336" t="n">
        <v>1.8</v>
      </c>
      <c r="J61" s="262" t="n">
        <v>1.7</v>
      </c>
      <c r="K61" s="262" t="n">
        <v>1.7</v>
      </c>
      <c r="L61" s="262" t="n">
        <v>1.8</v>
      </c>
      <c r="M61" s="262" t="n">
        <v>1.7</v>
      </c>
      <c r="N61" s="262" t="n">
        <v>1.7</v>
      </c>
      <c r="O61" s="262" t="n">
        <v>1.9</v>
      </c>
      <c r="P61" s="262" t="n">
        <v>1.7</v>
      </c>
      <c r="Q61" s="262" t="n">
        <v>1.6</v>
      </c>
      <c r="R61" s="262" t="n">
        <v>1.6</v>
      </c>
      <c r="S61" s="263" t="n">
        <v>1.6</v>
      </c>
    </row>
    <row r="62" ht="15.75" customHeight="1" s="226">
      <c r="A62" s="334" t="inlineStr">
        <is>
          <t>Кировская область</t>
        </is>
      </c>
      <c r="B62" s="261" t="n">
        <v>0.697942141961898</v>
      </c>
      <c r="C62" s="262" t="n">
        <v>0.659373505421666</v>
      </c>
      <c r="D62" s="262" t="n">
        <v>0.622131440383216</v>
      </c>
      <c r="E62" s="262" t="n">
        <v>0.5814974887212579</v>
      </c>
      <c r="F62" s="262" t="n">
        <v>0.571707434130013</v>
      </c>
      <c r="G62" s="262" t="n">
        <v>0.538014546494365</v>
      </c>
      <c r="H62" s="262" t="n">
        <v>0.506335245289035</v>
      </c>
      <c r="I62" s="336" t="n">
        <v>0.4</v>
      </c>
      <c r="J62" s="262" t="n">
        <v>0.4</v>
      </c>
      <c r="K62" s="262" t="n">
        <v>0.4</v>
      </c>
      <c r="L62" s="262" t="n">
        <v>0.5</v>
      </c>
      <c r="M62" s="262" t="n">
        <v>0.5</v>
      </c>
      <c r="N62" s="262" t="n">
        <v>0.5</v>
      </c>
      <c r="O62" s="262" t="n">
        <v>0.4</v>
      </c>
      <c r="P62" s="262" t="n">
        <v>0.4</v>
      </c>
      <c r="Q62" s="262" t="n">
        <v>0.4</v>
      </c>
      <c r="R62" s="262" t="n">
        <v>0.4</v>
      </c>
      <c r="S62" s="263" t="n">
        <v>0.4</v>
      </c>
    </row>
    <row r="63" ht="15.75" customHeight="1" s="226">
      <c r="A63" s="334" t="inlineStr">
        <is>
          <t>Нижегородская область</t>
        </is>
      </c>
      <c r="B63" s="261" t="n">
        <v>2.10523861805902</v>
      </c>
      <c r="C63" s="262" t="n">
        <v>1.88463347795376</v>
      </c>
      <c r="D63" s="262" t="n">
        <v>1.82589322616188</v>
      </c>
      <c r="E63" s="262" t="n">
        <v>2.0823213244761</v>
      </c>
      <c r="F63" s="262" t="n">
        <v>1.95426400015229</v>
      </c>
      <c r="G63" s="262" t="n">
        <v>1.92625066264145</v>
      </c>
      <c r="H63" s="262" t="n">
        <v>1.72747869006073</v>
      </c>
      <c r="I63" s="336" t="n">
        <v>1.7</v>
      </c>
      <c r="J63" s="262" t="n">
        <v>1.7</v>
      </c>
      <c r="K63" s="262" t="n">
        <v>1.7</v>
      </c>
      <c r="L63" s="262" t="n">
        <v>1.7</v>
      </c>
      <c r="M63" s="262" t="n">
        <v>1.7</v>
      </c>
      <c r="N63" s="262" t="n">
        <v>1.7</v>
      </c>
      <c r="O63" s="262" t="n">
        <v>1.7</v>
      </c>
      <c r="P63" s="262" t="n">
        <v>1.7</v>
      </c>
      <c r="Q63" s="262" t="n">
        <v>1.7</v>
      </c>
      <c r="R63" s="262" t="n">
        <v>1.7</v>
      </c>
      <c r="S63" s="263" t="n">
        <v>1.7</v>
      </c>
    </row>
    <row r="64" ht="15.75" customHeight="1" s="226">
      <c r="A64" s="334" t="inlineStr">
        <is>
          <t>Оренбургская область</t>
        </is>
      </c>
      <c r="B64" s="261" t="n">
        <v>1.21098900854915</v>
      </c>
      <c r="C64" s="262" t="n">
        <v>1.34771464153439</v>
      </c>
      <c r="D64" s="262" t="n">
        <v>1.32686231171067</v>
      </c>
      <c r="E64" s="262" t="n">
        <v>1.18768202039998</v>
      </c>
      <c r="F64" s="262" t="n">
        <v>1.07745267387872</v>
      </c>
      <c r="G64" s="262" t="n">
        <v>1.07819806355983</v>
      </c>
      <c r="H64" s="262" t="n">
        <v>1.21650662266381</v>
      </c>
      <c r="I64" s="336" t="n">
        <v>1.2</v>
      </c>
      <c r="J64" s="262" t="n">
        <v>1.3</v>
      </c>
      <c r="K64" s="262" t="n">
        <v>1.3</v>
      </c>
      <c r="L64" s="262" t="n">
        <v>1.3</v>
      </c>
      <c r="M64" s="262" t="n">
        <v>1.3</v>
      </c>
      <c r="N64" s="262" t="n">
        <v>1.2</v>
      </c>
      <c r="O64" s="262" t="n">
        <v>1.2</v>
      </c>
      <c r="P64" s="262" t="n">
        <v>1.2</v>
      </c>
      <c r="Q64" s="262" t="n">
        <v>1.3</v>
      </c>
      <c r="R64" s="262" t="n">
        <v>1.2</v>
      </c>
      <c r="S64" s="263" t="n">
        <v>1.2</v>
      </c>
    </row>
    <row r="65" ht="15.75" customHeight="1" s="226">
      <c r="A65" s="334" t="inlineStr">
        <is>
          <t>Пензенская область</t>
        </is>
      </c>
      <c r="B65" s="261" t="n">
        <v>0.468277325150895</v>
      </c>
      <c r="C65" s="262" t="n">
        <v>0.465729061598477</v>
      </c>
      <c r="D65" s="262" t="n">
        <v>0.438306211289501</v>
      </c>
      <c r="E65" s="262" t="n">
        <v>0.463850892547536</v>
      </c>
      <c r="F65" s="262" t="n">
        <v>0.476173849981934</v>
      </c>
      <c r="G65" s="262" t="n">
        <v>0.447864496272456</v>
      </c>
      <c r="H65" s="262" t="n">
        <v>0.427602363952882</v>
      </c>
      <c r="I65" s="336" t="n">
        <v>0.4</v>
      </c>
      <c r="J65" s="262" t="n">
        <v>0.4</v>
      </c>
      <c r="K65" s="262" t="n">
        <v>0.4</v>
      </c>
      <c r="L65" s="262" t="n">
        <v>0.4</v>
      </c>
      <c r="M65" s="262" t="n">
        <v>0.5</v>
      </c>
      <c r="N65" s="262" t="n">
        <v>0.5</v>
      </c>
      <c r="O65" s="262" t="n">
        <v>0.5</v>
      </c>
      <c r="P65" s="262" t="n">
        <v>0.5</v>
      </c>
      <c r="Q65" s="262" t="n">
        <v>0.5</v>
      </c>
      <c r="R65" s="262" t="n">
        <v>0.5</v>
      </c>
      <c r="S65" s="263" t="n">
        <v>0.5</v>
      </c>
    </row>
    <row r="66" ht="15.75" customHeight="1" s="226">
      <c r="A66" s="334" t="inlineStr">
        <is>
          <t>Самарская область</t>
        </is>
      </c>
      <c r="B66" s="261" t="n">
        <v>2.99824931643411</v>
      </c>
      <c r="C66" s="262" t="n">
        <v>2.75858221906892</v>
      </c>
      <c r="D66" s="262" t="n">
        <v>2.4403095929215</v>
      </c>
      <c r="E66" s="262" t="n">
        <v>2.5108087914823</v>
      </c>
      <c r="F66" s="262" t="n">
        <v>2.36031376492652</v>
      </c>
      <c r="G66" s="262" t="n">
        <v>2.38823767073115</v>
      </c>
      <c r="H66" s="262" t="n">
        <v>2.34253327057714</v>
      </c>
      <c r="I66" s="336" t="n">
        <v>2.2</v>
      </c>
      <c r="J66" s="262" t="n">
        <v>2.2</v>
      </c>
      <c r="K66" s="262" t="n">
        <v>2.1</v>
      </c>
      <c r="L66" s="262" t="n">
        <v>2.1</v>
      </c>
      <c r="M66" s="262" t="n">
        <v>1.8</v>
      </c>
      <c r="N66" s="262" t="n">
        <v>1.8</v>
      </c>
      <c r="O66" s="262" t="n">
        <v>1.8</v>
      </c>
      <c r="P66" s="262" t="n">
        <v>1.9</v>
      </c>
      <c r="Q66" s="262" t="n">
        <v>1.9</v>
      </c>
      <c r="R66" s="262" t="n">
        <v>1.9</v>
      </c>
      <c r="S66" s="263" t="n">
        <v>1.9</v>
      </c>
    </row>
    <row r="67" ht="15.75" customHeight="1" s="226">
      <c r="A67" s="340" t="inlineStr">
        <is>
          <t>Саратовская область</t>
        </is>
      </c>
      <c r="B67" s="261" t="n">
        <v>1.23074497857994</v>
      </c>
      <c r="C67" s="262" t="n">
        <v>1.14437687130515</v>
      </c>
      <c r="D67" s="262" t="n">
        <v>1.09613833365116</v>
      </c>
      <c r="E67" s="262" t="n">
        <v>1.16672808561611</v>
      </c>
      <c r="F67" s="262" t="n">
        <v>1.11341905257335</v>
      </c>
      <c r="G67" s="262" t="n">
        <v>1.11621927987142</v>
      </c>
      <c r="H67" s="262" t="n">
        <v>1.08588931319133</v>
      </c>
      <c r="I67" s="336" t="n">
        <v>1</v>
      </c>
      <c r="J67" s="262" t="n">
        <v>0.9</v>
      </c>
      <c r="K67" s="262" t="n">
        <v>0.9</v>
      </c>
      <c r="L67" s="262" t="n">
        <v>0.9</v>
      </c>
      <c r="M67" s="262" t="n">
        <v>1</v>
      </c>
      <c r="N67" s="262" t="n">
        <v>1</v>
      </c>
      <c r="O67" s="262" t="n">
        <v>0.9</v>
      </c>
      <c r="P67" s="262" t="n">
        <v>1</v>
      </c>
      <c r="Q67" s="262" t="n">
        <v>1</v>
      </c>
      <c r="R67" s="262" t="n">
        <v>1</v>
      </c>
      <c r="S67" s="263" t="n">
        <v>1</v>
      </c>
    </row>
    <row r="68" ht="15.75" customHeight="1" s="226">
      <c r="A68" s="340" t="inlineStr">
        <is>
          <t>Ульяновская область</t>
        </is>
      </c>
      <c r="B68" s="261" t="n">
        <v>0.656600698719237</v>
      </c>
      <c r="C68" s="262" t="n">
        <v>0.6109382264687639</v>
      </c>
      <c r="D68" s="262" t="n">
        <v>0.528618977836691</v>
      </c>
      <c r="E68" s="262" t="n">
        <v>0.537773964748582</v>
      </c>
      <c r="F68" s="262" t="n">
        <v>0.522547243752908</v>
      </c>
      <c r="G68" s="262" t="n">
        <v>0.513704389213559</v>
      </c>
      <c r="H68" s="262" t="n">
        <v>0.483382438771355</v>
      </c>
      <c r="I68" s="336" t="n">
        <v>0.4</v>
      </c>
      <c r="J68" s="262" t="n">
        <v>0.4</v>
      </c>
      <c r="K68" s="262" t="n">
        <v>0.4</v>
      </c>
      <c r="L68" s="262" t="n">
        <v>0.4</v>
      </c>
      <c r="M68" s="262" t="n">
        <v>0.5</v>
      </c>
      <c r="N68" s="262" t="n">
        <v>0.5</v>
      </c>
      <c r="O68" s="262" t="n">
        <v>0.5</v>
      </c>
      <c r="P68" s="262" t="n">
        <v>0.5</v>
      </c>
      <c r="Q68" s="262" t="n">
        <v>0.5</v>
      </c>
      <c r="R68" s="262" t="n">
        <v>0.5</v>
      </c>
      <c r="S68" s="263" t="n">
        <v>0.5</v>
      </c>
    </row>
    <row r="69" ht="15.75" customHeight="1" s="226">
      <c r="A69" s="338" t="inlineStr">
        <is>
          <t>Уральский федеральный округ</t>
        </is>
      </c>
      <c r="B69" s="332" t="n">
        <v>14.0208150392266</v>
      </c>
      <c r="C69" s="332" t="n">
        <v>13.6513885298163</v>
      </c>
      <c r="D69" s="332" t="n">
        <v>15.0535772670793</v>
      </c>
      <c r="E69" s="332" t="n">
        <v>15.629964723592</v>
      </c>
      <c r="F69" s="332" t="n">
        <v>15.2836345758267</v>
      </c>
      <c r="G69" s="332" t="n">
        <v>15.4464412140601</v>
      </c>
      <c r="H69" s="332" t="n">
        <v>16.0033237313759</v>
      </c>
      <c r="I69" s="332" t="n">
        <v>17.1</v>
      </c>
      <c r="J69" s="332" t="n">
        <v>16.5</v>
      </c>
      <c r="K69" s="332" t="n">
        <v>15.2</v>
      </c>
      <c r="L69" s="332" t="n">
        <v>14.2</v>
      </c>
      <c r="M69" s="332" t="n">
        <v>13.6</v>
      </c>
      <c r="N69" s="332" t="n">
        <v>13.6</v>
      </c>
      <c r="O69" s="332" t="n">
        <v>13.9</v>
      </c>
      <c r="P69" s="332" t="n">
        <v>14.3</v>
      </c>
      <c r="Q69" s="332" t="n">
        <v>14</v>
      </c>
      <c r="R69" s="332" t="n">
        <v>13.7</v>
      </c>
      <c r="S69" s="332" t="n">
        <v>13.8</v>
      </c>
    </row>
    <row r="70" ht="15.75" customHeight="1" s="226">
      <c r="A70" s="341" t="inlineStr">
        <is>
          <t>Курганская область</t>
        </is>
      </c>
      <c r="B70" s="261" t="n">
        <v>0.420359439648043</v>
      </c>
      <c r="C70" s="262" t="n">
        <v>0.385919803269891</v>
      </c>
      <c r="D70" s="262" t="n">
        <v>0.325100236864405</v>
      </c>
      <c r="E70" s="262" t="n">
        <v>0.353921524850717</v>
      </c>
      <c r="F70" s="336" t="n">
        <v>0.342524301415528</v>
      </c>
      <c r="G70" s="262" t="n">
        <v>0.344858873695659</v>
      </c>
      <c r="H70" s="262" t="n">
        <v>0.304136860255147</v>
      </c>
      <c r="I70" s="336" t="n">
        <v>0.3</v>
      </c>
      <c r="J70" s="262" t="n">
        <v>0.3</v>
      </c>
      <c r="K70" s="262" t="n">
        <v>0.3</v>
      </c>
      <c r="L70" s="262" t="n">
        <v>0.3</v>
      </c>
      <c r="M70" s="262" t="n">
        <v>0.3</v>
      </c>
      <c r="N70" s="262" t="n">
        <v>0.3</v>
      </c>
      <c r="O70" s="262" t="n">
        <v>0.3</v>
      </c>
      <c r="P70" s="262" t="n">
        <v>0.3</v>
      </c>
      <c r="Q70" s="262" t="n">
        <v>0.3</v>
      </c>
      <c r="R70" s="262" t="n">
        <v>0.3</v>
      </c>
      <c r="S70" s="263" t="n">
        <v>0.3</v>
      </c>
    </row>
    <row r="71" ht="15.75" customHeight="1" s="226">
      <c r="A71" s="341" t="inlineStr">
        <is>
          <t>Свердловская область</t>
        </is>
      </c>
      <c r="B71" s="261" t="n">
        <v>3.24408214558094</v>
      </c>
      <c r="C71" s="262" t="n">
        <v>2.93692113564504</v>
      </c>
      <c r="D71" s="262" t="n">
        <v>2.71265047522003</v>
      </c>
      <c r="E71" s="262" t="n">
        <v>2.78705879632823</v>
      </c>
      <c r="F71" s="336" t="n">
        <v>2.68688377017247</v>
      </c>
      <c r="G71" s="262" t="n">
        <v>2.6490884975646</v>
      </c>
      <c r="H71" s="262" t="n">
        <v>2.60928696102565</v>
      </c>
      <c r="I71" s="336" t="n">
        <v>2.6</v>
      </c>
      <c r="J71" s="262" t="n">
        <v>2.9</v>
      </c>
      <c r="K71" s="262" t="n">
        <v>2.9</v>
      </c>
      <c r="L71" s="262" t="n">
        <v>2.7</v>
      </c>
      <c r="M71" s="262" t="n">
        <v>2.6</v>
      </c>
      <c r="N71" s="262" t="n">
        <v>2.8</v>
      </c>
      <c r="O71" s="262" t="n">
        <v>2.8</v>
      </c>
      <c r="P71" s="262" t="n">
        <v>3</v>
      </c>
      <c r="Q71" s="262" t="n">
        <v>2.9</v>
      </c>
      <c r="R71" s="262" t="n">
        <v>2.8</v>
      </c>
      <c r="S71" s="263" t="n">
        <v>2.8</v>
      </c>
    </row>
    <row r="72" ht="15.75" customHeight="1" s="226">
      <c r="A72" s="341" t="inlineStr">
        <is>
          <t>Тюменская область</t>
        </is>
      </c>
      <c r="B72" s="261" t="n">
        <v>8.375363430584899</v>
      </c>
      <c r="C72" s="262" t="n">
        <v>8.261397398818071</v>
      </c>
      <c r="D72" s="262" t="n">
        <v>9.92045149048827</v>
      </c>
      <c r="E72" s="262" t="n">
        <v>10.5023363511778</v>
      </c>
      <c r="F72" s="336" t="n">
        <v>10.2814307642577</v>
      </c>
      <c r="G72" s="262" t="n">
        <v>10.402814791333</v>
      </c>
      <c r="H72" s="262" t="n">
        <v>11.0047270951264</v>
      </c>
      <c r="I72" s="336" t="n">
        <v>12.3</v>
      </c>
      <c r="J72" s="262" t="n">
        <v>11.3</v>
      </c>
      <c r="K72" s="262" t="n">
        <v>9.9</v>
      </c>
      <c r="L72" s="262" t="n">
        <v>9.199999999999999</v>
      </c>
      <c r="M72" s="262" t="n">
        <v>9</v>
      </c>
      <c r="N72" s="262" t="n">
        <v>8.800000000000001</v>
      </c>
      <c r="O72" s="262" t="n">
        <v>9.1</v>
      </c>
      <c r="P72" s="262" t="n">
        <v>9.300000000000001</v>
      </c>
      <c r="Q72" s="262" t="n">
        <v>9.199999999999999</v>
      </c>
      <c r="R72" s="262" t="n">
        <v>8.9</v>
      </c>
      <c r="S72" s="263" t="n">
        <v>8.9</v>
      </c>
    </row>
    <row r="73" ht="15.75" customHeight="1" s="226">
      <c r="A73" s="341" t="inlineStr">
        <is>
          <t>Ханты-Мансийский автономный округ</t>
        </is>
      </c>
      <c r="B73" s="261" t="n"/>
      <c r="C73" s="262" t="n"/>
      <c r="D73" s="262" t="n">
        <v>7.01851318730113</v>
      </c>
      <c r="E73" s="262" t="n">
        <v>6.94440954291221</v>
      </c>
      <c r="F73" s="336" t="n">
        <v>6.32043983063598</v>
      </c>
      <c r="G73" s="262" t="n">
        <v>6.67651683396241</v>
      </c>
      <c r="H73" s="262" t="n">
        <v>6.84743331379733</v>
      </c>
      <c r="I73" s="336" t="n">
        <v>7.8</v>
      </c>
      <c r="J73" s="262" t="n">
        <v>7.1</v>
      </c>
      <c r="K73" s="262" t="n">
        <v>6.2</v>
      </c>
      <c r="L73" s="262" t="n">
        <v>5.7</v>
      </c>
      <c r="M73" s="262" t="n">
        <v>5.6</v>
      </c>
      <c r="N73" s="262" t="n">
        <v>5.2</v>
      </c>
      <c r="O73" s="262" t="n">
        <v>5.4</v>
      </c>
      <c r="P73" s="262" t="n">
        <v>5.4</v>
      </c>
      <c r="Q73" s="262" t="n">
        <v>5.1</v>
      </c>
      <c r="R73" s="262" t="n">
        <v>4.8</v>
      </c>
      <c r="S73" s="263" t="n">
        <v>4.8</v>
      </c>
    </row>
    <row r="74" ht="15.75" customHeight="1" s="226">
      <c r="A74" s="341" t="inlineStr">
        <is>
          <t>Ямало-Ненецкий автономный округ</t>
        </is>
      </c>
      <c r="B74" s="261" t="n"/>
      <c r="C74" s="262" t="n"/>
      <c r="D74" s="262" t="n">
        <v>2.0352360743008</v>
      </c>
      <c r="E74" s="262" t="n">
        <v>2.57030703329573</v>
      </c>
      <c r="F74" s="336" t="n">
        <v>3.00241183747</v>
      </c>
      <c r="G74" s="262" t="n">
        <v>2.63610166990906</v>
      </c>
      <c r="H74" s="262" t="n">
        <v>2.54734044988733</v>
      </c>
      <c r="I74" s="336" t="n">
        <v>2.4</v>
      </c>
      <c r="J74" s="262" t="n">
        <v>2.4</v>
      </c>
      <c r="K74" s="262" t="n">
        <v>2.1</v>
      </c>
      <c r="L74" s="262" t="n">
        <v>2.1</v>
      </c>
      <c r="M74" s="262" t="n">
        <v>2</v>
      </c>
      <c r="N74" s="262" t="n">
        <v>2.1</v>
      </c>
      <c r="O74" s="262" t="n">
        <v>2.1</v>
      </c>
      <c r="P74" s="262" t="n">
        <v>2.4</v>
      </c>
      <c r="Q74" s="262" t="n">
        <v>2.5</v>
      </c>
      <c r="R74" s="262" t="n">
        <v>2.8</v>
      </c>
      <c r="S74" s="263" t="n">
        <v>2.7</v>
      </c>
    </row>
    <row r="75" ht="42" customHeight="1" s="226">
      <c r="A75" s="342" t="inlineStr">
        <is>
          <t>Тюменская область (без Ханты-Мансийского авт. округа-Югра и Ямало-Ненецкого авт. округа)</t>
        </is>
      </c>
      <c r="B75" s="261" t="n"/>
      <c r="C75" s="262" t="n"/>
      <c r="D75" s="262" t="n"/>
      <c r="E75" s="262" t="n"/>
      <c r="F75" s="336" t="n"/>
      <c r="G75" s="262" t="n"/>
      <c r="H75" s="262" t="n"/>
      <c r="I75" s="336" t="n"/>
      <c r="J75" s="262" t="n"/>
      <c r="K75" s="262" t="n"/>
      <c r="L75" s="262" t="n"/>
      <c r="M75" s="262" t="n"/>
      <c r="N75" s="262" t="n"/>
      <c r="O75" s="262" t="n">
        <v>1.6</v>
      </c>
      <c r="P75" s="262" t="n">
        <v>1.5</v>
      </c>
      <c r="Q75" s="262" t="n">
        <v>1.6</v>
      </c>
      <c r="R75" s="262" t="n">
        <v>1.4</v>
      </c>
      <c r="S75" s="263" t="n">
        <v>1.4</v>
      </c>
    </row>
    <row r="76" ht="15.75" customHeight="1" s="226">
      <c r="A76" s="341" t="inlineStr">
        <is>
          <t>Челябинская область</t>
        </is>
      </c>
      <c r="B76" s="261" t="n">
        <v>1.98101002341276</v>
      </c>
      <c r="C76" s="262" t="n">
        <v>2.06715019208332</v>
      </c>
      <c r="D76" s="262" t="n">
        <v>2.09537506450664</v>
      </c>
      <c r="E76" s="262" t="n">
        <v>1.98664805123526</v>
      </c>
      <c r="F76" s="336" t="n">
        <v>1.97279573998099</v>
      </c>
      <c r="G76" s="262" t="n">
        <v>2.04967905146691</v>
      </c>
      <c r="H76" s="262" t="n">
        <v>2.08517281496866</v>
      </c>
      <c r="I76" s="336" t="n">
        <v>1.9</v>
      </c>
      <c r="J76" s="262" t="n">
        <v>2</v>
      </c>
      <c r="K76" s="262" t="n">
        <v>2.1</v>
      </c>
      <c r="L76" s="262" t="n">
        <v>2</v>
      </c>
      <c r="M76" s="262" t="n">
        <v>1.7</v>
      </c>
      <c r="N76" s="262" t="n">
        <v>1.7</v>
      </c>
      <c r="O76" s="262" t="n">
        <v>1.7</v>
      </c>
      <c r="P76" s="262" t="n">
        <v>1.7</v>
      </c>
      <c r="Q76" s="262" t="n">
        <v>1.6</v>
      </c>
      <c r="R76" s="262" t="n">
        <v>1.7</v>
      </c>
      <c r="S76" s="263" t="n">
        <v>1.8</v>
      </c>
    </row>
    <row r="77" ht="15.75" customHeight="1" s="226">
      <c r="A77" s="343" t="inlineStr">
        <is>
          <t>Сибирский федеральный округ</t>
        </is>
      </c>
      <c r="B77" s="332" t="n">
        <v>12.3453897740985</v>
      </c>
      <c r="C77" s="332" t="n">
        <v>11.2450555217276</v>
      </c>
      <c r="D77" s="332" t="n">
        <v>11.0446293111341</v>
      </c>
      <c r="E77" s="332" t="n">
        <v>10.8622417262986</v>
      </c>
      <c r="F77" s="332" t="n">
        <v>10.4023978714548</v>
      </c>
      <c r="G77" s="332" t="n">
        <v>10.2788492797524</v>
      </c>
      <c r="H77" s="332" t="n">
        <v>10.7889519517383</v>
      </c>
      <c r="I77" s="332" t="n">
        <v>9.9</v>
      </c>
      <c r="J77" s="332" t="n">
        <v>10.1</v>
      </c>
      <c r="K77" s="332" t="n">
        <v>10</v>
      </c>
      <c r="L77" s="332" t="n">
        <v>9.4</v>
      </c>
      <c r="M77" s="332" t="n">
        <v>9.800000000000001</v>
      </c>
      <c r="N77" s="332" t="n">
        <v>10.3</v>
      </c>
      <c r="O77" s="332" t="n">
        <v>9.800000000000001</v>
      </c>
      <c r="P77" s="332" t="n">
        <v>9.699999999999999</v>
      </c>
      <c r="Q77" s="332" t="n">
        <v>9.6</v>
      </c>
      <c r="R77" s="332" t="n">
        <v>9.699999999999999</v>
      </c>
      <c r="S77" s="332" t="n">
        <v>9.6</v>
      </c>
    </row>
    <row r="78" ht="15.75" customHeight="1" s="226">
      <c r="A78" s="341" t="inlineStr">
        <is>
          <t>Республика Алтай</t>
        </is>
      </c>
      <c r="B78" s="261" t="n">
        <v>0.0678337150348971</v>
      </c>
      <c r="C78" s="262" t="n">
        <v>0.0571200813716867</v>
      </c>
      <c r="D78" s="262" t="n">
        <v>0.0475783150362631</v>
      </c>
      <c r="E78" s="262" t="n">
        <v>0.0627446653577407</v>
      </c>
      <c r="F78" s="262" t="n">
        <v>0.0607535388198479</v>
      </c>
      <c r="G78" s="262" t="n">
        <v>0.0642676219992187</v>
      </c>
      <c r="H78" s="336" t="n">
        <v>0.0609890700327995</v>
      </c>
      <c r="I78" s="336" t="n">
        <v>0</v>
      </c>
      <c r="J78" s="262" t="n">
        <v>0.1</v>
      </c>
      <c r="K78" s="262" t="n">
        <v>0.1</v>
      </c>
      <c r="L78" s="262" t="n">
        <v>0.1</v>
      </c>
      <c r="M78" s="262" t="n">
        <v>0.1</v>
      </c>
      <c r="N78" s="262" t="n">
        <v>0.1</v>
      </c>
      <c r="O78" s="262" t="n">
        <v>0.1</v>
      </c>
      <c r="P78" s="262" t="n">
        <v>0.1</v>
      </c>
      <c r="Q78" s="262" t="n">
        <v>0.1</v>
      </c>
      <c r="R78" s="262" t="n">
        <v>0.1</v>
      </c>
      <c r="S78" s="263" t="n">
        <v>0.1</v>
      </c>
    </row>
    <row r="79" ht="15.75" customHeight="1" s="226">
      <c r="A79" s="341" t="inlineStr">
        <is>
          <t>Республика Тыва</t>
        </is>
      </c>
      <c r="B79" s="261" t="n">
        <v>0.0869680092274457</v>
      </c>
      <c r="C79" s="262" t="n">
        <v>0.07127338302709001</v>
      </c>
      <c r="D79" s="262" t="n">
        <v>0.0624661998435921</v>
      </c>
      <c r="E79" s="262" t="n">
        <v>0.0724755689196893</v>
      </c>
      <c r="F79" s="262" t="n">
        <v>0.0783346103481766</v>
      </c>
      <c r="G79" s="262" t="n">
        <v>0.07559932962239529</v>
      </c>
      <c r="H79" s="336" t="n">
        <v>0.0704546321365902</v>
      </c>
      <c r="I79" s="336" t="n">
        <v>0.1</v>
      </c>
      <c r="J79" s="262" t="n">
        <v>0.1</v>
      </c>
      <c r="K79" s="262" t="n">
        <v>0.1</v>
      </c>
      <c r="L79" s="262" t="n">
        <v>0.1</v>
      </c>
      <c r="M79" s="262" t="n">
        <v>0.1</v>
      </c>
      <c r="N79" s="262" t="n">
        <v>0.1</v>
      </c>
      <c r="O79" s="262" t="n">
        <v>0.1</v>
      </c>
      <c r="P79" s="262" t="n">
        <v>0.1</v>
      </c>
      <c r="Q79" s="262" t="n">
        <v>0.1</v>
      </c>
      <c r="R79" s="262" t="n">
        <v>0.1</v>
      </c>
      <c r="S79" s="263" t="n">
        <v>0.1</v>
      </c>
    </row>
    <row r="80" ht="15.75" customHeight="1" s="226">
      <c r="A80" s="341" t="inlineStr">
        <is>
          <t>Республика Хакасия</t>
        </is>
      </c>
      <c r="B80" s="261" t="n">
        <v>0.362294916356846</v>
      </c>
      <c r="C80" s="262" t="n">
        <v>0.344682668319322</v>
      </c>
      <c r="D80" s="262" t="n">
        <v>0.302730173199319</v>
      </c>
      <c r="E80" s="262" t="n">
        <v>0.279474116200934</v>
      </c>
      <c r="F80" s="262" t="n">
        <v>0.290843867638052</v>
      </c>
      <c r="G80" s="262" t="n">
        <v>0.269670996859712</v>
      </c>
      <c r="H80" s="336" t="n">
        <v>0.237053681166268</v>
      </c>
      <c r="I80" s="336" t="n">
        <v>0.2</v>
      </c>
      <c r="J80" s="262" t="n">
        <v>0.2</v>
      </c>
      <c r="K80" s="262" t="n">
        <v>0.2</v>
      </c>
      <c r="L80" s="262" t="n">
        <v>0.2</v>
      </c>
      <c r="M80" s="262" t="n">
        <v>0.3</v>
      </c>
      <c r="N80" s="262" t="n">
        <v>0.3</v>
      </c>
      <c r="O80" s="262" t="n">
        <v>0.2</v>
      </c>
      <c r="P80" s="262" t="n">
        <v>0.3</v>
      </c>
      <c r="Q80" s="262" t="n">
        <v>0.3</v>
      </c>
      <c r="R80" s="262" t="n">
        <v>0.3</v>
      </c>
      <c r="S80" s="263" t="n">
        <v>0.3</v>
      </c>
    </row>
    <row r="81" ht="15.75" customHeight="1" s="226">
      <c r="A81" s="341" t="inlineStr">
        <is>
          <t>Алтайский край</t>
        </is>
      </c>
      <c r="B81" s="261" t="n">
        <v>0.948761699439715</v>
      </c>
      <c r="C81" s="262" t="n">
        <v>0.847332591223412</v>
      </c>
      <c r="D81" s="262" t="n">
        <v>0.812295230753177</v>
      </c>
      <c r="E81" s="262" t="n">
        <v>0.862566926457713</v>
      </c>
      <c r="F81" s="262" t="n">
        <v>0.836352439256986</v>
      </c>
      <c r="G81" s="262" t="n">
        <v>0.826008224792259</v>
      </c>
      <c r="H81" s="336" t="n">
        <v>0.822386052943242</v>
      </c>
      <c r="I81" s="336" t="n">
        <v>0.8</v>
      </c>
      <c r="J81" s="262" t="n">
        <v>0.8</v>
      </c>
      <c r="K81" s="262" t="n">
        <v>0.8</v>
      </c>
      <c r="L81" s="262" t="n">
        <v>0.8</v>
      </c>
      <c r="M81" s="262" t="n">
        <v>0.8</v>
      </c>
      <c r="N81" s="262" t="n">
        <v>0.8</v>
      </c>
      <c r="O81" s="262" t="n">
        <v>0.7</v>
      </c>
      <c r="P81" s="262" t="n">
        <v>0.7</v>
      </c>
      <c r="Q81" s="262" t="n">
        <v>0.8</v>
      </c>
      <c r="R81" s="262" t="n">
        <v>0.8</v>
      </c>
      <c r="S81" s="263" t="n">
        <v>0.7</v>
      </c>
    </row>
    <row r="82" ht="15.75" customHeight="1" s="226">
      <c r="A82" s="341" t="inlineStr">
        <is>
          <t>Красноярский край</t>
        </is>
      </c>
      <c r="B82" s="261" t="n">
        <v>3.11504444427176</v>
      </c>
      <c r="C82" s="262" t="n">
        <v>3.25331287719222</v>
      </c>
      <c r="D82" s="262" t="n">
        <v>3.73088203365656</v>
      </c>
      <c r="E82" s="262" t="n">
        <v>3.33874022757485</v>
      </c>
      <c r="F82" s="262" t="n">
        <v>2.64259360982505</v>
      </c>
      <c r="G82" s="262" t="n">
        <v>2.53878470791595</v>
      </c>
      <c r="H82" s="336" t="n">
        <v>2.61705891937883</v>
      </c>
      <c r="I82" s="336" t="n">
        <v>2.4</v>
      </c>
      <c r="J82" s="262" t="n">
        <v>2.6</v>
      </c>
      <c r="K82" s="262" t="n">
        <v>2.6</v>
      </c>
      <c r="L82" s="262" t="n">
        <v>2.2</v>
      </c>
      <c r="M82" s="262" t="n">
        <v>2.3</v>
      </c>
      <c r="N82" s="262" t="n">
        <v>2.8</v>
      </c>
      <c r="O82" s="262" t="n">
        <v>2.6</v>
      </c>
      <c r="P82" s="262" t="n">
        <v>2.4</v>
      </c>
      <c r="Q82" s="262" t="n">
        <v>2.3</v>
      </c>
      <c r="R82" s="262" t="n">
        <v>2.4</v>
      </c>
      <c r="S82" s="263" t="n">
        <v>2.5</v>
      </c>
    </row>
    <row r="83" ht="15.75" customHeight="1" s="226">
      <c r="A83" s="341" t="inlineStr">
        <is>
          <t>Иркутская область</t>
        </is>
      </c>
      <c r="B83" s="261" t="n">
        <v>2.2390188179056</v>
      </c>
      <c r="C83" s="262" t="n">
        <v>2.03014310981507</v>
      </c>
      <c r="D83" s="262" t="n">
        <v>1.79040110666031</v>
      </c>
      <c r="E83" s="262" t="n">
        <v>1.6767610264957</v>
      </c>
      <c r="F83" s="262" t="n">
        <v>1.60384835104009</v>
      </c>
      <c r="G83" s="262" t="n">
        <v>1.56321432613813</v>
      </c>
      <c r="H83" s="336" t="n">
        <v>1.52706628716384</v>
      </c>
      <c r="I83" s="336" t="n">
        <v>1.4</v>
      </c>
      <c r="J83" s="262" t="n">
        <v>1.5</v>
      </c>
      <c r="K83" s="262" t="n">
        <v>1.4</v>
      </c>
      <c r="L83" s="262" t="n">
        <v>1.3</v>
      </c>
      <c r="M83" s="262" t="n">
        <v>1.4</v>
      </c>
      <c r="N83" s="262" t="n">
        <v>1.4</v>
      </c>
      <c r="O83" s="262" t="n">
        <v>1.4</v>
      </c>
      <c r="P83" s="262" t="n">
        <v>1.5</v>
      </c>
      <c r="Q83" s="262" t="n">
        <v>1.5</v>
      </c>
      <c r="R83" s="262" t="n">
        <v>1.5</v>
      </c>
      <c r="S83" s="263" t="n">
        <v>1.5</v>
      </c>
    </row>
    <row r="84" ht="15.75" customHeight="1" s="226">
      <c r="A84" s="278" t="inlineStr">
        <is>
          <t>Кемеровская область-Кузбасс</t>
        </is>
      </c>
      <c r="B84" s="261" t="n">
        <v>1.90455721693489</v>
      </c>
      <c r="C84" s="262" t="n">
        <v>1.6850032091181</v>
      </c>
      <c r="D84" s="262" t="n">
        <v>1.54211269200696</v>
      </c>
      <c r="E84" s="262" t="n">
        <v>1.58695725355469</v>
      </c>
      <c r="F84" s="262" t="n">
        <v>1.55763969401431</v>
      </c>
      <c r="G84" s="262" t="n">
        <v>1.53506425314668</v>
      </c>
      <c r="H84" s="336" t="n">
        <v>1.75062055002034</v>
      </c>
      <c r="I84" s="336" t="n">
        <v>1.6</v>
      </c>
      <c r="J84" s="262" t="n">
        <v>1.5</v>
      </c>
      <c r="K84" s="262" t="n">
        <v>1.6</v>
      </c>
      <c r="L84" s="262" t="n">
        <v>1.7</v>
      </c>
      <c r="M84" s="262" t="n">
        <v>1.6</v>
      </c>
      <c r="N84" s="262" t="n">
        <v>1.7</v>
      </c>
      <c r="O84" s="262" t="n">
        <v>1.7</v>
      </c>
      <c r="P84" s="262" t="n">
        <v>1.4</v>
      </c>
      <c r="Q84" s="262" t="n">
        <v>1.2</v>
      </c>
      <c r="R84" s="262" t="n">
        <v>1.3</v>
      </c>
      <c r="S84" s="263" t="n">
        <v>1.3</v>
      </c>
    </row>
    <row r="85" ht="15.75" customHeight="1" s="226">
      <c r="A85" s="341" t="inlineStr">
        <is>
          <t>Новосибирская область</t>
        </is>
      </c>
      <c r="B85" s="261" t="n">
        <v>1.52750193996166</v>
      </c>
      <c r="C85" s="262" t="n">
        <v>1.37813757756457</v>
      </c>
      <c r="D85" s="262" t="n">
        <v>1.2515955898491</v>
      </c>
      <c r="E85" s="262" t="n">
        <v>1.3289544360272</v>
      </c>
      <c r="F85" s="262" t="n">
        <v>1.40809304953707</v>
      </c>
      <c r="G85" s="262" t="n">
        <v>1.43169651488226</v>
      </c>
      <c r="H85" s="336" t="n">
        <v>1.37369310184236</v>
      </c>
      <c r="I85" s="336" t="n">
        <v>1.3</v>
      </c>
      <c r="J85" s="262" t="n">
        <v>1.3</v>
      </c>
      <c r="K85" s="262" t="n">
        <v>1.3</v>
      </c>
      <c r="L85" s="262" t="n">
        <v>1.3</v>
      </c>
      <c r="M85" s="262" t="n">
        <v>1.3</v>
      </c>
      <c r="N85" s="262" t="n">
        <v>1.3</v>
      </c>
      <c r="O85" s="262" t="n">
        <v>1.3</v>
      </c>
      <c r="P85" s="262" t="n">
        <v>1.5</v>
      </c>
      <c r="Q85" s="262" t="n">
        <v>1.5</v>
      </c>
      <c r="R85" s="262" t="n">
        <v>1.5</v>
      </c>
      <c r="S85" s="263" t="n">
        <v>1.5</v>
      </c>
    </row>
    <row r="86" ht="15.75" customHeight="1" s="226">
      <c r="A86" s="341" t="inlineStr">
        <is>
          <t>Омская область</t>
        </is>
      </c>
      <c r="B86" s="261" t="n">
        <v>1.19250747398675</v>
      </c>
      <c r="C86" s="262" t="n">
        <v>0.881405548005415</v>
      </c>
      <c r="D86" s="262" t="n">
        <v>0.7999830925352081</v>
      </c>
      <c r="E86" s="262" t="n">
        <v>0.858122617249927</v>
      </c>
      <c r="F86" s="262" t="n">
        <v>1.05967712147065</v>
      </c>
      <c r="G86" s="262" t="n">
        <v>1.07079656784703</v>
      </c>
      <c r="H86" s="336" t="n">
        <v>1.38121656949726</v>
      </c>
      <c r="I86" s="336" t="n">
        <v>1.2</v>
      </c>
      <c r="J86" s="262" t="n">
        <v>1.2</v>
      </c>
      <c r="K86" s="262" t="n">
        <v>1.1</v>
      </c>
      <c r="L86" s="262" t="n">
        <v>1</v>
      </c>
      <c r="M86" s="262" t="n">
        <v>1.1</v>
      </c>
      <c r="N86" s="262" t="n">
        <v>1</v>
      </c>
      <c r="O86" s="262" t="n">
        <v>1</v>
      </c>
      <c r="P86" s="262" t="n">
        <v>1</v>
      </c>
      <c r="Q86" s="262" t="n">
        <v>1</v>
      </c>
      <c r="R86" s="262" t="n">
        <v>1</v>
      </c>
      <c r="S86" s="263" t="n">
        <v>0.9</v>
      </c>
    </row>
    <row r="87" ht="15.75" customHeight="1" s="226">
      <c r="A87" s="341" t="inlineStr">
        <is>
          <t>Томская область</t>
        </is>
      </c>
      <c r="B87" s="261" t="n">
        <v>0.900901540978984</v>
      </c>
      <c r="C87" s="262" t="n">
        <v>0.696644476090731</v>
      </c>
      <c r="D87" s="262" t="n">
        <v>0.70458487759364</v>
      </c>
      <c r="E87" s="262" t="n">
        <v>0.795444888460111</v>
      </c>
      <c r="F87" s="262" t="n">
        <v>0.864261589504585</v>
      </c>
      <c r="G87" s="262" t="n">
        <v>0.9037467365487259</v>
      </c>
      <c r="H87" s="336" t="n">
        <v>0.948413087556793</v>
      </c>
      <c r="I87" s="336" t="n">
        <v>0.9</v>
      </c>
      <c r="J87" s="262" t="n">
        <v>0.8</v>
      </c>
      <c r="K87" s="262" t="n">
        <v>0.8</v>
      </c>
      <c r="L87" s="262" t="n">
        <v>0.7</v>
      </c>
      <c r="M87" s="262" t="n">
        <v>0.8</v>
      </c>
      <c r="N87" s="262" t="n">
        <v>0.8</v>
      </c>
      <c r="O87" s="262" t="n">
        <v>0.7</v>
      </c>
      <c r="P87" s="262" t="n">
        <v>0.7</v>
      </c>
      <c r="Q87" s="262" t="n">
        <v>0.8</v>
      </c>
      <c r="R87" s="262" t="n">
        <v>0.7</v>
      </c>
      <c r="S87" s="263" t="n">
        <v>0.7</v>
      </c>
    </row>
    <row r="88" ht="15.75" customHeight="1" s="226">
      <c r="A88" s="343" t="inlineStr">
        <is>
          <t>Дальневосточный федеральный округ</t>
        </is>
      </c>
      <c r="B88" s="332" t="n">
        <v>7.46779219596999</v>
      </c>
      <c r="C88" s="332" t="n">
        <v>7.10404819177005</v>
      </c>
      <c r="D88" s="332" t="n">
        <v>6.26383681682493</v>
      </c>
      <c r="E88" s="332" t="n">
        <v>6.37241704683616</v>
      </c>
      <c r="F88" s="332" t="n">
        <v>6.33259717362997</v>
      </c>
      <c r="G88" s="332" t="n">
        <v>6.20430587575152</v>
      </c>
      <c r="H88" s="332" t="n">
        <v>5.75487771844348</v>
      </c>
      <c r="I88" s="332" t="n">
        <v>5.4</v>
      </c>
      <c r="J88" s="332" t="n">
        <v>5.2</v>
      </c>
      <c r="K88" s="332" t="n">
        <v>5.3</v>
      </c>
      <c r="L88" s="332" t="n">
        <v>5.3</v>
      </c>
      <c r="M88" s="332" t="n">
        <v>6.3</v>
      </c>
      <c r="N88" s="332" t="n">
        <v>6.4</v>
      </c>
      <c r="O88" s="332" t="n">
        <v>6.4</v>
      </c>
      <c r="P88" s="332" t="n">
        <v>6.2</v>
      </c>
      <c r="Q88" s="332" t="n">
        <v>5.9</v>
      </c>
      <c r="R88" s="332" t="n">
        <v>6.1</v>
      </c>
      <c r="S88" s="332" t="n">
        <v>6.2</v>
      </c>
    </row>
    <row r="89" ht="15.75" customHeight="1" s="226">
      <c r="A89" s="341" t="inlineStr">
        <is>
          <t>Республика Бурятия</t>
        </is>
      </c>
      <c r="B89" s="261" t="n">
        <v>0.494676345567396</v>
      </c>
      <c r="C89" s="262" t="n">
        <v>0.422885081435046</v>
      </c>
      <c r="D89" s="262" t="n">
        <v>0.374969263104971</v>
      </c>
      <c r="E89" s="262" t="n">
        <v>0.419400827910518</v>
      </c>
      <c r="F89" s="262" t="n">
        <v>0.433400640496465</v>
      </c>
      <c r="G89" s="262" t="n">
        <v>0.486423766227868</v>
      </c>
      <c r="H89" s="262" t="n">
        <v>0.457727743479457</v>
      </c>
      <c r="I89" s="336" t="n">
        <v>0.4</v>
      </c>
      <c r="J89" s="262" t="n">
        <v>0.4</v>
      </c>
      <c r="K89" s="262" t="n">
        <v>0.4</v>
      </c>
      <c r="L89" s="262" t="n">
        <v>0.4</v>
      </c>
      <c r="M89" s="262" t="n">
        <v>0.4</v>
      </c>
      <c r="N89" s="262" t="n">
        <v>0.4</v>
      </c>
      <c r="O89" s="262" t="n">
        <v>0.3</v>
      </c>
      <c r="P89" s="262" t="n">
        <v>0.3</v>
      </c>
      <c r="Q89" s="262" t="n">
        <v>0.3</v>
      </c>
      <c r="R89" s="262" t="n">
        <v>0.3</v>
      </c>
      <c r="S89" s="263" t="n">
        <v>0.3</v>
      </c>
    </row>
    <row r="90" ht="15.75" customHeight="1" s="226">
      <c r="A90" s="341" t="inlineStr">
        <is>
          <t>Республика Саха (Якутия)</t>
        </is>
      </c>
      <c r="B90" s="261" t="n">
        <v>1.49346074727656</v>
      </c>
      <c r="C90" s="262" t="n">
        <v>1.63952557045944</v>
      </c>
      <c r="D90" s="262" t="n">
        <v>1.42448866911348</v>
      </c>
      <c r="E90" s="262" t="n">
        <v>1.40737480888564</v>
      </c>
      <c r="F90" s="262" t="n">
        <v>1.31694558122968</v>
      </c>
      <c r="G90" s="262" t="n">
        <v>1.23774772494768</v>
      </c>
      <c r="H90" s="262" t="n">
        <v>1.09920755528592</v>
      </c>
      <c r="I90" s="336" t="n">
        <v>1</v>
      </c>
      <c r="J90" s="262" t="n">
        <v>0.9</v>
      </c>
      <c r="K90" s="262" t="n">
        <v>0.9</v>
      </c>
      <c r="L90" s="262" t="n">
        <v>0.9</v>
      </c>
      <c r="M90" s="262" t="n">
        <v>1</v>
      </c>
      <c r="N90" s="262" t="n">
        <v>1</v>
      </c>
      <c r="O90" s="262" t="n">
        <v>1.1</v>
      </c>
      <c r="P90" s="262" t="n">
        <v>1.1</v>
      </c>
      <c r="Q90" s="262" t="n">
        <v>1</v>
      </c>
      <c r="R90" s="262" t="n">
        <v>1</v>
      </c>
      <c r="S90" s="263" t="n">
        <v>1.1</v>
      </c>
    </row>
    <row r="91" ht="15.75" customHeight="1" s="226">
      <c r="A91" s="341" t="inlineStr">
        <is>
          <t>Забайкальский край</t>
        </is>
      </c>
      <c r="B91" s="261" t="n">
        <v>0.571257927754607</v>
      </c>
      <c r="C91" s="262" t="n">
        <v>0.543032686497575</v>
      </c>
      <c r="D91" s="262" t="n">
        <v>0.5218337452558121</v>
      </c>
      <c r="E91" s="262" t="n">
        <v>0.490020301582149</v>
      </c>
      <c r="F91" s="262" t="n">
        <v>0.50972065773159</v>
      </c>
      <c r="G91" s="262" t="n">
        <v>0.494725431272104</v>
      </c>
      <c r="H91" s="262" t="n">
        <v>0.438702808662435</v>
      </c>
      <c r="I91" s="336" t="n">
        <v>0.4</v>
      </c>
      <c r="J91" s="262" t="n">
        <v>0.4</v>
      </c>
      <c r="K91" s="262" t="n">
        <v>0.4</v>
      </c>
      <c r="L91" s="262" t="n">
        <v>0.4</v>
      </c>
      <c r="M91" s="262" t="n">
        <v>0.5</v>
      </c>
      <c r="N91" s="262" t="n">
        <v>0.4</v>
      </c>
      <c r="O91" s="262" t="n">
        <v>0.4</v>
      </c>
      <c r="P91" s="262" t="n">
        <v>0.4</v>
      </c>
      <c r="Q91" s="262" t="n">
        <v>0.4</v>
      </c>
      <c r="R91" s="262" t="n">
        <v>0.4</v>
      </c>
      <c r="S91" s="263" t="n">
        <v>0.4</v>
      </c>
    </row>
    <row r="92" ht="15.75" customHeight="1" s="226">
      <c r="A92" s="341" t="inlineStr">
        <is>
          <t>Камчатский край</t>
        </is>
      </c>
      <c r="B92" s="261" t="n">
        <v>0.518575341005849</v>
      </c>
      <c r="C92" s="262" t="n">
        <v>0.389818035883858</v>
      </c>
      <c r="D92" s="262" t="n">
        <v>0.315289110348251</v>
      </c>
      <c r="E92" s="262" t="n">
        <v>0.321179781553068</v>
      </c>
      <c r="F92" s="262" t="n">
        <v>0.296090275370283</v>
      </c>
      <c r="G92" s="262" t="n">
        <v>0.276911448834827</v>
      </c>
      <c r="H92" s="262" t="n">
        <v>0.251636576209512</v>
      </c>
      <c r="I92" s="336" t="n">
        <v>0.2</v>
      </c>
      <c r="J92" s="262" t="n">
        <v>0.2</v>
      </c>
      <c r="K92" s="262" t="n">
        <v>0.2</v>
      </c>
      <c r="L92" s="262" t="n">
        <v>0.2</v>
      </c>
      <c r="M92" s="262" t="n">
        <v>0.3</v>
      </c>
      <c r="N92" s="262" t="n">
        <v>0.3</v>
      </c>
      <c r="O92" s="262" t="n">
        <v>0.3</v>
      </c>
      <c r="P92" s="262" t="n">
        <v>0.2</v>
      </c>
      <c r="Q92" s="262" t="n">
        <v>0.2</v>
      </c>
      <c r="R92" s="262" t="n">
        <v>0.2</v>
      </c>
      <c r="S92" s="263" t="n">
        <v>0.3</v>
      </c>
    </row>
    <row r="93" ht="15.75" customHeight="1" s="226">
      <c r="A93" s="341" t="inlineStr">
        <is>
          <t>Приморский край</t>
        </is>
      </c>
      <c r="B93" s="261" t="n">
        <v>1.39313558861045</v>
      </c>
      <c r="C93" s="262" t="n">
        <v>1.39108901125589</v>
      </c>
      <c r="D93" s="262" t="n">
        <v>1.07911094543526</v>
      </c>
      <c r="E93" s="262" t="n">
        <v>1.01556858110178</v>
      </c>
      <c r="F93" s="262" t="n">
        <v>1.10776652300402</v>
      </c>
      <c r="G93" s="262" t="n">
        <v>1.11086387742699</v>
      </c>
      <c r="H93" s="262" t="n">
        <v>1.09064572592347</v>
      </c>
      <c r="I93" s="336" t="n">
        <v>1</v>
      </c>
      <c r="J93" s="262" t="n">
        <v>1</v>
      </c>
      <c r="K93" s="262" t="n">
        <v>0.9</v>
      </c>
      <c r="L93" s="262" t="n">
        <v>0.9</v>
      </c>
      <c r="M93" s="262" t="n">
        <v>1.2</v>
      </c>
      <c r="N93" s="262" t="n">
        <v>1.2</v>
      </c>
      <c r="O93" s="262" t="n">
        <v>1.2</v>
      </c>
      <c r="P93" s="262" t="n">
        <v>1.1</v>
      </c>
      <c r="Q93" s="262" t="n">
        <v>1.1</v>
      </c>
      <c r="R93" s="262" t="n">
        <v>1.1</v>
      </c>
      <c r="S93" s="263" t="n">
        <v>1.1</v>
      </c>
    </row>
    <row r="94" ht="15.75" customHeight="1" s="226">
      <c r="A94" s="341" t="inlineStr">
        <is>
          <t>Хабаровский край</t>
        </is>
      </c>
      <c r="B94" s="261" t="n">
        <v>1.30150501059624</v>
      </c>
      <c r="C94" s="262" t="n">
        <v>1.05312112699682</v>
      </c>
      <c r="D94" s="262" t="n">
        <v>1.12614699803166</v>
      </c>
      <c r="E94" s="262" t="n">
        <v>1.11409642006222</v>
      </c>
      <c r="F94" s="262" t="n">
        <v>1.15600121319461</v>
      </c>
      <c r="G94" s="262" t="n">
        <v>1.08279199908274</v>
      </c>
      <c r="H94" s="262" t="n">
        <v>0.954795073444899</v>
      </c>
      <c r="I94" s="336" t="n">
        <v>0.9</v>
      </c>
      <c r="J94" s="262" t="n">
        <v>0.9</v>
      </c>
      <c r="K94" s="262" t="n">
        <v>0.8</v>
      </c>
      <c r="L94" s="262" t="n">
        <v>0.8</v>
      </c>
      <c r="M94" s="262" t="n">
        <v>0.9</v>
      </c>
      <c r="N94" s="262" t="n">
        <v>0.9</v>
      </c>
      <c r="O94" s="262" t="n">
        <v>0.9</v>
      </c>
      <c r="P94" s="262" t="n">
        <v>0.9</v>
      </c>
      <c r="Q94" s="262" t="n">
        <v>0.9</v>
      </c>
      <c r="R94" s="262" t="n">
        <v>0.9</v>
      </c>
      <c r="S94" s="263" t="n">
        <v>0.9</v>
      </c>
    </row>
    <row r="95" ht="15.75" customHeight="1" s="226">
      <c r="A95" s="341" t="inlineStr">
        <is>
          <t>Амурская область</t>
        </is>
      </c>
      <c r="B95" s="261" t="n">
        <v>0.641041040596542</v>
      </c>
      <c r="C95" s="262" t="n">
        <v>0.540221360564178</v>
      </c>
      <c r="D95" s="262" t="n">
        <v>0.457363607613615</v>
      </c>
      <c r="E95" s="262" t="n">
        <v>0.544595916629501</v>
      </c>
      <c r="F95" s="262" t="n">
        <v>0.523010565848755</v>
      </c>
      <c r="G95" s="262" t="n">
        <v>0.49523183470158</v>
      </c>
      <c r="H95" s="262" t="n">
        <v>0.460103085399436</v>
      </c>
      <c r="I95" s="336" t="n">
        <v>0.4</v>
      </c>
      <c r="J95" s="262" t="n">
        <v>0.4</v>
      </c>
      <c r="K95" s="262" t="n">
        <v>0.4</v>
      </c>
      <c r="L95" s="262" t="n">
        <v>0.4</v>
      </c>
      <c r="M95" s="262" t="n">
        <v>0.5</v>
      </c>
      <c r="N95" s="262" t="n">
        <v>0.5</v>
      </c>
      <c r="O95" s="262" t="n">
        <v>0.5</v>
      </c>
      <c r="P95" s="262" t="n">
        <v>0.5</v>
      </c>
      <c r="Q95" s="262" t="n">
        <v>0.4</v>
      </c>
      <c r="R95" s="262" t="n">
        <v>0.4</v>
      </c>
      <c r="S95" s="263" t="n">
        <v>0.4</v>
      </c>
    </row>
    <row r="96" ht="15.75" customHeight="1" s="226">
      <c r="A96" s="341" t="inlineStr">
        <is>
          <t>Магаданская область</t>
        </is>
      </c>
      <c r="B96" s="261" t="n">
        <v>0.310100789195274</v>
      </c>
      <c r="C96" s="262" t="n">
        <v>0.275350563329885</v>
      </c>
      <c r="D96" s="262" t="n">
        <v>0.226107795238088</v>
      </c>
      <c r="E96" s="262" t="n">
        <v>0.239181091334361</v>
      </c>
      <c r="F96" s="262" t="n">
        <v>0.255968869880302</v>
      </c>
      <c r="G96" s="262" t="n">
        <v>0.22644704384345</v>
      </c>
      <c r="H96" s="262" t="n">
        <v>0.176251516240829</v>
      </c>
      <c r="I96" s="336" t="n">
        <v>0.2</v>
      </c>
      <c r="J96" s="262" t="n">
        <v>0.1</v>
      </c>
      <c r="K96" s="262" t="n">
        <v>0.1</v>
      </c>
      <c r="L96" s="262" t="n">
        <v>0.1</v>
      </c>
      <c r="M96" s="262" t="n">
        <v>0.1</v>
      </c>
      <c r="N96" s="262" t="n">
        <v>0.2</v>
      </c>
      <c r="O96" s="262" t="n">
        <v>0.2</v>
      </c>
      <c r="P96" s="262" t="n">
        <v>0.2</v>
      </c>
      <c r="Q96" s="262" t="n">
        <v>0.2</v>
      </c>
      <c r="R96" s="262" t="n">
        <v>0.2</v>
      </c>
      <c r="S96" s="263" t="n">
        <v>0.2</v>
      </c>
    </row>
    <row r="97" ht="15.75" customHeight="1" s="226">
      <c r="A97" s="341" t="inlineStr">
        <is>
          <t>Сахалинская область</t>
        </is>
      </c>
      <c r="B97" s="261" t="n">
        <v>0.559974511290632</v>
      </c>
      <c r="C97" s="262" t="n">
        <v>0.686368504997746</v>
      </c>
      <c r="D97" s="262" t="n">
        <v>0.604431438179405</v>
      </c>
      <c r="E97" s="262" t="n">
        <v>0.657374271998585</v>
      </c>
      <c r="F97" s="262" t="n">
        <v>0.539281751451789</v>
      </c>
      <c r="G97" s="262" t="n">
        <v>0.5877556509991561</v>
      </c>
      <c r="H97" s="262" t="n">
        <v>0.65688623510053</v>
      </c>
      <c r="I97" s="336" t="n">
        <v>0.7</v>
      </c>
      <c r="J97" s="262" t="n">
        <v>0.7</v>
      </c>
      <c r="K97" s="262" t="n">
        <v>1</v>
      </c>
      <c r="L97" s="262" t="n">
        <v>1</v>
      </c>
      <c r="M97" s="262" t="n">
        <v>1.2</v>
      </c>
      <c r="N97" s="262" t="n">
        <v>1.3</v>
      </c>
      <c r="O97" s="262" t="n">
        <v>1.3</v>
      </c>
      <c r="P97" s="262" t="n">
        <v>1.3</v>
      </c>
      <c r="Q97" s="262" t="n">
        <v>1.2</v>
      </c>
      <c r="R97" s="262" t="n">
        <v>1.4</v>
      </c>
      <c r="S97" s="263" t="n">
        <v>1.3</v>
      </c>
    </row>
    <row r="98" ht="15.75" customHeight="1" s="226">
      <c r="A98" s="341" t="inlineStr">
        <is>
          <t>Еврейская автономная область</t>
        </is>
      </c>
      <c r="B98" s="261" t="n">
        <v>0.0670566202371027</v>
      </c>
      <c r="C98" s="262" t="n">
        <v>0.0790620099856939</v>
      </c>
      <c r="D98" s="262" t="n">
        <v>0.0657667010400802</v>
      </c>
      <c r="E98" s="262" t="n">
        <v>0.06678177711065569</v>
      </c>
      <c r="F98" s="262" t="n">
        <v>0.0782327938876078</v>
      </c>
      <c r="G98" s="262" t="n">
        <v>0.0797268899280854</v>
      </c>
      <c r="H98" s="262" t="n">
        <v>0.0804257689752331</v>
      </c>
      <c r="I98" s="336" t="n">
        <v>0.1</v>
      </c>
      <c r="J98" s="262" t="n">
        <v>0.1</v>
      </c>
      <c r="K98" s="262" t="n">
        <v>0.1</v>
      </c>
      <c r="L98" s="262" t="n">
        <v>0.1</v>
      </c>
      <c r="M98" s="262" t="n">
        <v>0.1</v>
      </c>
      <c r="N98" s="262" t="n">
        <v>0.1</v>
      </c>
      <c r="O98" s="262" t="n">
        <v>0.1</v>
      </c>
      <c r="P98" s="262" t="n">
        <v>0.1</v>
      </c>
      <c r="Q98" s="262" t="n">
        <v>0.1</v>
      </c>
      <c r="R98" s="262" t="n">
        <v>0.1</v>
      </c>
      <c r="S98" s="263" t="n">
        <v>0.1</v>
      </c>
    </row>
    <row r="99" ht="15.75" customHeight="1" s="226">
      <c r="A99" s="341" t="inlineStr">
        <is>
          <t>Чукотский автономный округ</t>
        </is>
      </c>
      <c r="B99" s="264" t="n">
        <v>0.117008273839326</v>
      </c>
      <c r="C99" s="265" t="n">
        <v>0.08357424036392561</v>
      </c>
      <c r="D99" s="265" t="n">
        <v>0.0683285434643159</v>
      </c>
      <c r="E99" s="265" t="n">
        <v>0.0968432686676815</v>
      </c>
      <c r="F99" s="265" t="n">
        <v>0.116178301534871</v>
      </c>
      <c r="G99" s="265" t="n">
        <v>0.125680208487037</v>
      </c>
      <c r="H99" s="265" t="n">
        <v>0.08849562972176191</v>
      </c>
      <c r="I99" s="344" t="n">
        <v>0.1</v>
      </c>
      <c r="J99" s="265" t="n">
        <v>0.1</v>
      </c>
      <c r="K99" s="265" t="n">
        <v>0.1</v>
      </c>
      <c r="L99" s="265" t="n">
        <v>0.1</v>
      </c>
      <c r="M99" s="265" t="n">
        <v>0.1</v>
      </c>
      <c r="N99" s="265" t="n">
        <v>0.1</v>
      </c>
      <c r="O99" s="265" t="n">
        <v>0.1</v>
      </c>
      <c r="P99" s="265" t="n">
        <v>0.1</v>
      </c>
      <c r="Q99" s="265" t="n">
        <v>0.1</v>
      </c>
      <c r="R99" s="265" t="n">
        <v>0.1</v>
      </c>
      <c r="S99" s="266" t="n">
        <v>0.1</v>
      </c>
    </row>
    <row r="101" ht="15.75" customHeight="1" s="226">
      <c r="A101" s="325" t="n"/>
    </row>
  </sheetData>
  <mergeCells count="2">
    <mergeCell ref="A2:L2"/>
    <mergeCell ref="A101:M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53.86" customWidth="1" style="232" min="1" max="1"/>
    <col width="9.140000000000001" customWidth="1" style="225" min="2" max="5"/>
    <col width="9.140000000000001" customWidth="1" style="326" min="6" max="16384"/>
  </cols>
  <sheetData>
    <row r="1" ht="33" customHeight="1" s="226">
      <c r="A1" s="327" t="inlineStr">
        <is>
          <t xml:space="preserve">          К содержанию</t>
        </is>
      </c>
      <c r="B1" s="345" t="n"/>
      <c r="C1" s="345" t="n"/>
      <c r="D1" s="345" t="n"/>
      <c r="E1" s="345" t="n"/>
    </row>
    <row r="2" ht="43.5" customHeight="1" s="226">
      <c r="A2" s="346" t="inlineStr">
        <is>
          <t>Региональная структура валового регионального продукта в 2016-2023 гг.1)2)
(в процентах)</t>
        </is>
      </c>
      <c r="B2" s="298" t="n"/>
      <c r="C2" s="298" t="n"/>
      <c r="D2" s="298" t="n"/>
      <c r="E2" s="298" t="n"/>
    </row>
    <row r="3" ht="15.75" customHeight="1" s="226">
      <c r="A3" s="329" t="n"/>
      <c r="B3" s="347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15.75" customHeight="1" s="226">
      <c r="A4" s="331" t="inlineStr">
        <is>
          <t>Российская Федерация  из суммы областей</t>
        </is>
      </c>
      <c r="B4" s="348" t="n">
        <v>100</v>
      </c>
      <c r="C4" s="332" t="n">
        <v>99.95</v>
      </c>
      <c r="D4" s="332" t="n">
        <v>100</v>
      </c>
      <c r="E4" s="332" t="n">
        <v>100</v>
      </c>
      <c r="F4" s="332" t="n">
        <v>100</v>
      </c>
      <c r="G4" s="332" t="n">
        <v>100</v>
      </c>
      <c r="H4" s="332" t="n">
        <v>100</v>
      </c>
      <c r="I4" s="332" t="n">
        <v>100</v>
      </c>
    </row>
    <row r="5" ht="15.75" customHeight="1" s="226">
      <c r="A5" s="331" t="inlineStr">
        <is>
          <t>Центральный федеральный округ</t>
        </is>
      </c>
      <c r="B5" s="348" t="n">
        <v>35.1</v>
      </c>
      <c r="C5" s="332" t="n">
        <v>34.9</v>
      </c>
      <c r="D5" s="332" t="n">
        <v>34.5</v>
      </c>
      <c r="E5" s="332" t="n">
        <v>34.9</v>
      </c>
      <c r="F5" s="332">
        <f>SUM(F6:F23)</f>
        <v/>
      </c>
      <c r="G5" s="332" t="n">
        <v>34</v>
      </c>
      <c r="H5" s="332" t="n">
        <v>33.3</v>
      </c>
      <c r="I5" s="332" t="n">
        <v>34.6</v>
      </c>
    </row>
    <row r="6" ht="15.75" customHeight="1" s="226">
      <c r="A6" s="349" t="inlineStr">
        <is>
          <t>Белгородская область</t>
        </is>
      </c>
      <c r="B6" s="335" t="n">
        <v>1.1</v>
      </c>
      <c r="C6" s="273" t="n">
        <v>1</v>
      </c>
      <c r="D6" s="273" t="n">
        <v>1</v>
      </c>
      <c r="E6" s="273" t="n">
        <v>1</v>
      </c>
      <c r="F6" s="273" t="n">
        <v>1.1</v>
      </c>
      <c r="G6" s="273" t="n">
        <v>1.1</v>
      </c>
      <c r="H6" s="273" t="n">
        <v>0.9</v>
      </c>
      <c r="I6" s="274" t="n">
        <v>0.9</v>
      </c>
    </row>
    <row r="7" ht="15.75" customHeight="1" s="226">
      <c r="A7" s="349" t="inlineStr">
        <is>
          <t>Брянская область</t>
        </is>
      </c>
      <c r="B7" s="336" t="n">
        <v>0.4</v>
      </c>
      <c r="C7" s="262" t="n">
        <v>0.4</v>
      </c>
      <c r="D7" s="262" t="n">
        <v>0.4</v>
      </c>
      <c r="E7" s="262" t="n">
        <v>0.4</v>
      </c>
      <c r="F7" s="262" t="n">
        <v>0.4</v>
      </c>
      <c r="G7" s="262" t="n">
        <v>0.4</v>
      </c>
      <c r="H7" s="262" t="n">
        <v>0.4</v>
      </c>
      <c r="I7" s="263" t="n">
        <v>0.4</v>
      </c>
    </row>
    <row r="8" ht="15.75" customHeight="1" s="226">
      <c r="A8" s="349" t="inlineStr">
        <is>
          <t>Владимирская область</t>
        </is>
      </c>
      <c r="B8" s="336" t="n">
        <v>0.6</v>
      </c>
      <c r="C8" s="262" t="n">
        <v>0.6</v>
      </c>
      <c r="D8" s="262" t="n">
        <v>0.5</v>
      </c>
      <c r="E8" s="262" t="n">
        <v>0.6</v>
      </c>
      <c r="F8" s="262" t="n">
        <v>0.6</v>
      </c>
      <c r="G8" s="262" t="n">
        <v>0.6</v>
      </c>
      <c r="H8" s="262" t="n">
        <v>0.6</v>
      </c>
      <c r="I8" s="263" t="n">
        <v>0.6</v>
      </c>
    </row>
    <row r="9" ht="15.75" customHeight="1" s="226">
      <c r="A9" s="349" t="inlineStr">
        <is>
          <t>Воронежская область</t>
        </is>
      </c>
      <c r="B9" s="336" t="n">
        <v>1.1</v>
      </c>
      <c r="C9" s="262" t="n">
        <v>1.1</v>
      </c>
      <c r="D9" s="262" t="n">
        <v>1.1</v>
      </c>
      <c r="E9" s="262" t="n">
        <v>1.1</v>
      </c>
      <c r="F9" s="262" t="n">
        <v>1.1</v>
      </c>
      <c r="G9" s="262" t="n">
        <v>1</v>
      </c>
      <c r="H9" s="262" t="n">
        <v>1</v>
      </c>
      <c r="I9" s="263" t="n">
        <v>1</v>
      </c>
    </row>
    <row r="10" ht="15.75" customHeight="1" s="226">
      <c r="A10" s="349" t="inlineStr">
        <is>
          <t>Ивановская область</t>
        </is>
      </c>
      <c r="B10" s="336" t="n">
        <v>0.3</v>
      </c>
      <c r="C10" s="262" t="n">
        <v>0.3</v>
      </c>
      <c r="D10" s="262" t="n">
        <v>0.2</v>
      </c>
      <c r="E10" s="262" t="n">
        <v>0.3</v>
      </c>
      <c r="F10" s="262" t="n">
        <v>0.3</v>
      </c>
      <c r="G10" s="262" t="n">
        <v>0.3</v>
      </c>
      <c r="H10" s="262" t="n">
        <v>0.3</v>
      </c>
      <c r="I10" s="263" t="n">
        <v>0.3</v>
      </c>
    </row>
    <row r="11" ht="15.75" customHeight="1" s="226">
      <c r="A11" s="349" t="inlineStr">
        <is>
          <t>Калужская область</t>
        </is>
      </c>
      <c r="B11" s="336" t="n">
        <v>0.6</v>
      </c>
      <c r="C11" s="262" t="n">
        <v>0.6</v>
      </c>
      <c r="D11" s="262" t="n">
        <v>0.6</v>
      </c>
      <c r="E11" s="262" t="n">
        <v>0.6</v>
      </c>
      <c r="F11" s="262" t="n">
        <v>0.6</v>
      </c>
      <c r="G11" s="262" t="n">
        <v>0.5</v>
      </c>
      <c r="H11" s="262" t="n">
        <v>0.5</v>
      </c>
      <c r="I11" s="263" t="n">
        <v>0.5</v>
      </c>
    </row>
    <row r="12" ht="15.75" customHeight="1" s="226">
      <c r="A12" s="349" t="inlineStr">
        <is>
          <t>Костромская область</t>
        </is>
      </c>
      <c r="B12" s="336" t="n">
        <v>0.2</v>
      </c>
      <c r="C12" s="262" t="n">
        <v>0.2</v>
      </c>
      <c r="D12" s="262" t="n">
        <v>0.2</v>
      </c>
      <c r="E12" s="262" t="n">
        <v>0.2</v>
      </c>
      <c r="F12" s="262" t="n">
        <v>0.2</v>
      </c>
      <c r="G12" s="262" t="n">
        <v>0.2</v>
      </c>
      <c r="H12" s="262" t="n">
        <v>0.2</v>
      </c>
      <c r="I12" s="263" t="n">
        <v>0.2</v>
      </c>
    </row>
    <row r="13" ht="15.75" customHeight="1" s="226">
      <c r="A13" s="349" t="inlineStr">
        <is>
          <t>Курская область</t>
        </is>
      </c>
      <c r="B13" s="336" t="n">
        <v>0.5</v>
      </c>
      <c r="C13" s="262" t="n">
        <v>0.5</v>
      </c>
      <c r="D13" s="262" t="n">
        <v>0.5</v>
      </c>
      <c r="E13" s="262" t="n">
        <v>0.5</v>
      </c>
      <c r="F13" s="262" t="n">
        <v>0.6</v>
      </c>
      <c r="G13" s="262" t="n">
        <v>0.6</v>
      </c>
      <c r="H13" s="262" t="n">
        <v>0.5</v>
      </c>
      <c r="I13" s="263" t="n">
        <v>0.5</v>
      </c>
    </row>
    <row r="14" ht="15.75" customHeight="1" s="226">
      <c r="A14" s="349" t="inlineStr">
        <is>
          <t>Липецкая область</t>
        </is>
      </c>
      <c r="B14" s="336" t="n">
        <v>0.7</v>
      </c>
      <c r="C14" s="262" t="n">
        <v>0.6</v>
      </c>
      <c r="D14" s="262" t="n">
        <v>0.7</v>
      </c>
      <c r="E14" s="262" t="n">
        <v>0.6</v>
      </c>
      <c r="F14" s="262" t="n">
        <v>0.7</v>
      </c>
      <c r="G14" s="262" t="n">
        <v>0.7</v>
      </c>
      <c r="H14" s="262" t="n">
        <v>0.6</v>
      </c>
      <c r="I14" s="263" t="n">
        <v>0.6</v>
      </c>
    </row>
    <row r="15" ht="15.75" customHeight="1" s="226">
      <c r="A15" s="349" t="inlineStr">
        <is>
          <t>Московская область</t>
        </is>
      </c>
      <c r="B15" s="336" t="n">
        <v>5.7</v>
      </c>
      <c r="C15" s="262" t="n">
        <v>5.4</v>
      </c>
      <c r="D15" s="262" t="n">
        <v>5.1</v>
      </c>
      <c r="E15" s="262" t="n">
        <v>5.4</v>
      </c>
      <c r="F15" s="262" t="n">
        <v>5.7</v>
      </c>
      <c r="G15" s="262" t="n">
        <v>5.5</v>
      </c>
      <c r="H15" s="262" t="n">
        <v>5.5</v>
      </c>
      <c r="I15" s="263" t="n">
        <v>5.9</v>
      </c>
    </row>
    <row r="16" ht="15.75" customHeight="1" s="226">
      <c r="A16" s="349" t="inlineStr">
        <is>
          <t>Орловская область</t>
        </is>
      </c>
      <c r="B16" s="336" t="n">
        <v>0.3</v>
      </c>
      <c r="C16" s="262" t="n">
        <v>0.3</v>
      </c>
      <c r="D16" s="262" t="n">
        <v>0.3</v>
      </c>
      <c r="E16" s="262" t="n">
        <v>0.3</v>
      </c>
      <c r="F16" s="262" t="n">
        <v>0.3</v>
      </c>
      <c r="G16" s="262" t="n">
        <v>0.3</v>
      </c>
      <c r="H16" s="262" t="n">
        <v>0.3</v>
      </c>
      <c r="I16" s="263" t="n">
        <v>0.3</v>
      </c>
    </row>
    <row r="17" ht="15.75" customHeight="1" s="226">
      <c r="A17" s="349" t="inlineStr">
        <is>
          <t>Рязанская область</t>
        </is>
      </c>
      <c r="B17" s="336" t="n">
        <v>0.5</v>
      </c>
      <c r="C17" s="262" t="n">
        <v>0.5</v>
      </c>
      <c r="D17" s="262" t="n">
        <v>0.5</v>
      </c>
      <c r="E17" s="262" t="n">
        <v>0.5</v>
      </c>
      <c r="F17" s="262" t="n">
        <v>0.5</v>
      </c>
      <c r="G17" s="262" t="n">
        <v>0.4</v>
      </c>
      <c r="H17" s="262" t="n">
        <v>0.4</v>
      </c>
      <c r="I17" s="263" t="n">
        <v>0.4</v>
      </c>
    </row>
    <row r="18" ht="15.75" customHeight="1" s="226">
      <c r="A18" s="349" t="inlineStr">
        <is>
          <t>Смоленская область</t>
        </is>
      </c>
      <c r="B18" s="336" t="n">
        <v>0.4</v>
      </c>
      <c r="C18" s="262" t="n">
        <v>0.4</v>
      </c>
      <c r="D18" s="262" t="n">
        <v>0.4</v>
      </c>
      <c r="E18" s="262" t="n">
        <v>0.4</v>
      </c>
      <c r="F18" s="262" t="n">
        <v>0.4</v>
      </c>
      <c r="G18" s="262" t="n">
        <v>0.4</v>
      </c>
      <c r="H18" s="262" t="n">
        <v>0.3</v>
      </c>
      <c r="I18" s="263" t="n">
        <v>0.4</v>
      </c>
    </row>
    <row r="19" ht="15.75" customHeight="1" s="226">
      <c r="A19" s="349" t="inlineStr">
        <is>
          <t>Тамбовская область</t>
        </is>
      </c>
      <c r="B19" s="336" t="n">
        <v>0.4</v>
      </c>
      <c r="C19" s="262" t="n">
        <v>0.4</v>
      </c>
      <c r="D19" s="262" t="n">
        <v>0.4</v>
      </c>
      <c r="E19" s="262" t="n">
        <v>0.4</v>
      </c>
      <c r="F19" s="262" t="n">
        <v>0.4</v>
      </c>
      <c r="G19" s="262" t="n">
        <v>0.4</v>
      </c>
      <c r="H19" s="262" t="n">
        <v>0.3</v>
      </c>
      <c r="I19" s="263" t="n">
        <v>0.3</v>
      </c>
    </row>
    <row r="20" ht="15.75" customHeight="1" s="226">
      <c r="A20" s="349" t="inlineStr">
        <is>
          <t>Тверская область</t>
        </is>
      </c>
      <c r="B20" s="336" t="n">
        <v>0.5</v>
      </c>
      <c r="C20" s="262" t="n">
        <v>0.5</v>
      </c>
      <c r="D20" s="262" t="n">
        <v>0.5</v>
      </c>
      <c r="E20" s="262" t="n">
        <v>0.5</v>
      </c>
      <c r="F20" s="262" t="n">
        <v>0.5</v>
      </c>
      <c r="G20" s="262" t="n">
        <v>0.5</v>
      </c>
      <c r="H20" s="262" t="n">
        <v>0.4</v>
      </c>
      <c r="I20" s="263" t="n">
        <v>0.5</v>
      </c>
    </row>
    <row r="21" ht="15.75" customHeight="1" s="226">
      <c r="A21" s="349" t="inlineStr">
        <is>
          <t>Тульская область</t>
        </is>
      </c>
      <c r="B21" s="336" t="n">
        <v>0.7</v>
      </c>
      <c r="C21" s="262" t="n">
        <v>0.7</v>
      </c>
      <c r="D21" s="262" t="n">
        <v>0.7</v>
      </c>
      <c r="E21" s="262" t="n">
        <v>0.7</v>
      </c>
      <c r="F21" s="262" t="n">
        <v>0.8</v>
      </c>
      <c r="G21" s="262" t="n">
        <v>0.7</v>
      </c>
      <c r="H21" s="262" t="n">
        <v>0.7</v>
      </c>
      <c r="I21" s="263" t="n">
        <v>0.7</v>
      </c>
    </row>
    <row r="22" ht="15.75" customHeight="1" s="226">
      <c r="A22" s="349" t="inlineStr">
        <is>
          <t>Ярославская область</t>
        </is>
      </c>
      <c r="B22" s="336" t="n">
        <v>0.7</v>
      </c>
      <c r="C22" s="262" t="n">
        <v>0.7</v>
      </c>
      <c r="D22" s="262" t="n">
        <v>0.6</v>
      </c>
      <c r="E22" s="273" t="n">
        <v>0.6</v>
      </c>
      <c r="F22" s="262" t="n">
        <v>0.6</v>
      </c>
      <c r="G22" s="262" t="n">
        <v>0.6</v>
      </c>
      <c r="H22" s="262" t="n">
        <v>0.5</v>
      </c>
      <c r="I22" s="274" t="n">
        <v>0.5</v>
      </c>
    </row>
    <row r="23" ht="15.75" customHeight="1" s="226">
      <c r="A23" s="349" t="inlineStr">
        <is>
          <t>г.Москва</t>
        </is>
      </c>
      <c r="B23" s="337" t="n">
        <v>20.4</v>
      </c>
      <c r="C23" s="270" t="n">
        <v>20.7</v>
      </c>
      <c r="D23" s="270" t="n">
        <v>20.8</v>
      </c>
      <c r="E23" s="262" t="n">
        <v>20.8</v>
      </c>
      <c r="F23" s="270" t="n">
        <v>21.4</v>
      </c>
      <c r="G23" s="270" t="n">
        <v>19.8</v>
      </c>
      <c r="H23" s="270" t="n">
        <v>19.9</v>
      </c>
      <c r="I23" s="263" t="n">
        <v>20.6</v>
      </c>
    </row>
    <row r="24" ht="15.75" customHeight="1" s="226">
      <c r="A24" s="350" t="inlineStr">
        <is>
          <t>Северо-Западный федеральный округ</t>
        </is>
      </c>
      <c r="B24" s="348" t="n">
        <v>11.3</v>
      </c>
      <c r="C24" s="332" t="n">
        <v>10.85</v>
      </c>
      <c r="D24" s="332" t="n">
        <v>11</v>
      </c>
      <c r="E24" s="332" t="n">
        <v>11</v>
      </c>
      <c r="F24" s="332">
        <f>SUM(F25:F36)-F28-F29</f>
        <v/>
      </c>
      <c r="G24" s="332" t="n">
        <v>13.7</v>
      </c>
      <c r="H24" s="332" t="n">
        <v>13.5</v>
      </c>
      <c r="I24" s="332" t="n">
        <v>12.3</v>
      </c>
    </row>
    <row r="25" ht="15.75" customHeight="1" s="226">
      <c r="A25" s="349" t="inlineStr">
        <is>
          <t>Республика Карелия</t>
        </is>
      </c>
      <c r="B25" s="336" t="n">
        <v>0.3</v>
      </c>
      <c r="C25" s="262" t="n">
        <v>0.3</v>
      </c>
      <c r="D25" s="262" t="n">
        <v>0.3</v>
      </c>
      <c r="E25" s="273" t="n">
        <v>0.3</v>
      </c>
      <c r="F25" s="262" t="n">
        <v>0.3</v>
      </c>
      <c r="G25" s="262" t="n">
        <v>0.4</v>
      </c>
      <c r="H25" s="262" t="n">
        <v>0.3</v>
      </c>
      <c r="I25" s="274" t="n">
        <v>0.3</v>
      </c>
    </row>
    <row r="26" ht="15.75" customHeight="1" s="226">
      <c r="A26" s="349" t="inlineStr">
        <is>
          <t>Республика Коми</t>
        </is>
      </c>
      <c r="B26" s="336" t="n">
        <v>0.8</v>
      </c>
      <c r="C26" s="262" t="n">
        <v>0.8</v>
      </c>
      <c r="D26" s="262" t="n">
        <v>0.8</v>
      </c>
      <c r="E26" s="262" t="n">
        <v>0.8</v>
      </c>
      <c r="F26" s="262" t="n">
        <v>0.6</v>
      </c>
      <c r="G26" s="262" t="n">
        <v>0.7</v>
      </c>
      <c r="H26" s="262" t="n">
        <v>0.7</v>
      </c>
      <c r="I26" s="263" t="n">
        <v>0.7</v>
      </c>
    </row>
    <row r="27" ht="15.75" customHeight="1" s="226">
      <c r="A27" s="349" t="inlineStr">
        <is>
          <t>Архангельская область</t>
        </is>
      </c>
      <c r="B27" s="336" t="n">
        <v>1</v>
      </c>
      <c r="C27" s="262" t="n">
        <v>0.9</v>
      </c>
      <c r="D27" s="262" t="n">
        <v>1</v>
      </c>
      <c r="E27" s="262" t="n">
        <v>0.9</v>
      </c>
      <c r="F27" s="262" t="n">
        <v>0.8</v>
      </c>
      <c r="G27" s="262" t="n">
        <v>0.9</v>
      </c>
      <c r="H27" s="262" t="n">
        <v>0.9</v>
      </c>
      <c r="I27" s="263" t="n">
        <v>0.8</v>
      </c>
    </row>
    <row r="28" ht="15.75" customHeight="1" s="226">
      <c r="A28" s="349" t="inlineStr">
        <is>
          <t>Ненецкий автономный округ</t>
        </is>
      </c>
      <c r="B28" s="336" t="n">
        <v>0.4</v>
      </c>
      <c r="C28" s="262" t="n">
        <v>0.3</v>
      </c>
      <c r="D28" s="262" t="n">
        <v>0.4</v>
      </c>
      <c r="E28" s="262" t="n">
        <v>0.3</v>
      </c>
      <c r="F28" s="262" t="n">
        <v>0.2</v>
      </c>
      <c r="G28" s="262" t="n">
        <v>0.3</v>
      </c>
      <c r="H28" s="262" t="n">
        <v>0.4</v>
      </c>
      <c r="I28" s="263" t="n">
        <v>0.3</v>
      </c>
    </row>
    <row r="29" ht="15.75" customHeight="1" s="226">
      <c r="A29" s="329" t="inlineStr">
        <is>
          <t>Архангельская область без Ненецкого авт. округа</t>
        </is>
      </c>
      <c r="B29" s="336" t="n">
        <v>0.6</v>
      </c>
      <c r="C29" s="262" t="n">
        <v>0.6</v>
      </c>
      <c r="D29" s="262" t="n">
        <v>0.6</v>
      </c>
      <c r="E29" s="262" t="n">
        <v>0.6</v>
      </c>
      <c r="F29" s="262" t="n">
        <v>0.6</v>
      </c>
      <c r="G29" s="262" t="n">
        <v>0.6</v>
      </c>
      <c r="H29" s="262" t="n">
        <v>0.5</v>
      </c>
      <c r="I29" s="263" t="n">
        <v>0.5</v>
      </c>
    </row>
    <row r="30" ht="15.75" customHeight="1" s="226">
      <c r="A30" s="349" t="inlineStr">
        <is>
          <t>Вологодская область</t>
        </is>
      </c>
      <c r="B30" s="336" t="n">
        <v>0.7</v>
      </c>
      <c r="C30" s="262" t="n">
        <v>0.7</v>
      </c>
      <c r="D30" s="262" t="n">
        <v>0.7</v>
      </c>
      <c r="E30" s="262" t="n">
        <v>0.7</v>
      </c>
      <c r="F30" s="262" t="n">
        <v>0.7</v>
      </c>
      <c r="G30" s="262" t="n">
        <v>0.8</v>
      </c>
      <c r="H30" s="262" t="n">
        <v>0.7</v>
      </c>
      <c r="I30" s="263" t="n">
        <v>0.7</v>
      </c>
    </row>
    <row r="31" ht="15.75" customHeight="1" s="226">
      <c r="A31" s="349" t="inlineStr">
        <is>
          <t>Калининградская область</t>
        </is>
      </c>
      <c r="B31" s="336" t="n">
        <v>0.6</v>
      </c>
      <c r="C31" s="262" t="n">
        <v>0.5</v>
      </c>
      <c r="D31" s="262" t="n">
        <v>0.5</v>
      </c>
      <c r="E31" s="262" t="n">
        <v>0.5</v>
      </c>
      <c r="F31" s="262" t="n">
        <v>0.6</v>
      </c>
      <c r="G31" s="262" t="n">
        <v>0.6</v>
      </c>
      <c r="H31" s="262" t="n">
        <v>0.5</v>
      </c>
      <c r="I31" s="263" t="n">
        <v>0.5</v>
      </c>
    </row>
    <row r="32" ht="15.75" customHeight="1" s="226">
      <c r="A32" s="349" t="inlineStr">
        <is>
          <t>Ленинградская область</t>
        </is>
      </c>
      <c r="B32" s="336" t="n">
        <v>1.3</v>
      </c>
      <c r="C32" s="262" t="n">
        <v>1.2</v>
      </c>
      <c r="D32" s="262" t="n">
        <v>1.3</v>
      </c>
      <c r="E32" s="262" t="n">
        <v>1.3</v>
      </c>
      <c r="F32" s="262" t="n">
        <v>1.3</v>
      </c>
      <c r="G32" s="262" t="n">
        <v>1.2</v>
      </c>
      <c r="H32" s="262" t="n">
        <v>1.2</v>
      </c>
      <c r="I32" s="263" t="n">
        <v>1.2</v>
      </c>
    </row>
    <row r="33" ht="15.75" customHeight="1" s="226">
      <c r="A33" s="349" t="inlineStr">
        <is>
          <t>Мурманская область</t>
        </is>
      </c>
      <c r="B33" s="336" t="n">
        <v>0.6</v>
      </c>
      <c r="C33" s="262" t="n">
        <v>0.6</v>
      </c>
      <c r="D33" s="262" t="n">
        <v>0.6</v>
      </c>
      <c r="E33" s="262" t="n">
        <v>0.6</v>
      </c>
      <c r="F33" s="262" t="n">
        <v>0.8</v>
      </c>
      <c r="G33" s="262" t="n">
        <v>0.9</v>
      </c>
      <c r="H33" s="262" t="n">
        <v>0.8</v>
      </c>
      <c r="I33" s="263" t="n">
        <v>0.7</v>
      </c>
    </row>
    <row r="34" ht="15.75" customHeight="1" s="226">
      <c r="A34" s="349" t="inlineStr">
        <is>
          <t>Новгородская область</t>
        </is>
      </c>
      <c r="B34" s="336" t="n">
        <v>0.3</v>
      </c>
      <c r="C34" s="262" t="n">
        <v>0.25</v>
      </c>
      <c r="D34" s="262" t="n">
        <v>0.3</v>
      </c>
      <c r="E34" s="262" t="n">
        <v>0.3</v>
      </c>
      <c r="F34" s="262" t="n">
        <v>0.3</v>
      </c>
      <c r="G34" s="262" t="n">
        <v>0.3</v>
      </c>
      <c r="H34" s="262" t="n">
        <v>0.3</v>
      </c>
      <c r="I34" s="263" t="n">
        <v>0.3</v>
      </c>
    </row>
    <row r="35" ht="15.75" customHeight="1" s="226">
      <c r="A35" s="349" t="inlineStr">
        <is>
          <t>Псковская область</t>
        </is>
      </c>
      <c r="B35" s="336" t="n">
        <v>0.2</v>
      </c>
      <c r="C35" s="262" t="n">
        <v>0.2</v>
      </c>
      <c r="D35" s="262" t="n">
        <v>0.2</v>
      </c>
      <c r="E35" s="262" t="n">
        <v>0.2</v>
      </c>
      <c r="F35" s="262" t="n">
        <v>0.2</v>
      </c>
      <c r="G35" s="262" t="n">
        <v>0.2</v>
      </c>
      <c r="H35" s="262" t="n">
        <v>0.2</v>
      </c>
      <c r="I35" s="263" t="n">
        <v>0.2</v>
      </c>
    </row>
    <row r="36" ht="15.75" customHeight="1" s="226">
      <c r="A36" s="349" t="inlineStr">
        <is>
          <t>г.Санкт-Петербург</t>
        </is>
      </c>
      <c r="B36" s="336" t="n">
        <v>5.5</v>
      </c>
      <c r="C36" s="262" t="n">
        <v>5.4</v>
      </c>
      <c r="D36" s="262" t="n">
        <v>5.3</v>
      </c>
      <c r="E36" s="262" t="n">
        <v>5.4</v>
      </c>
      <c r="F36" s="262" t="n">
        <v>5.6</v>
      </c>
      <c r="G36" s="262" t="n">
        <v>7.7</v>
      </c>
      <c r="H36" s="262" t="n">
        <v>7.9</v>
      </c>
      <c r="I36" s="263" t="n">
        <v>6.9</v>
      </c>
    </row>
    <row r="37" ht="15.75" customHeight="1" s="226">
      <c r="A37" s="350" t="inlineStr">
        <is>
          <t>Южный федеральный округ</t>
        </is>
      </c>
      <c r="B37" s="348" t="n">
        <v>7.3</v>
      </c>
      <c r="C37" s="332" t="n">
        <v>7.2</v>
      </c>
      <c r="D37" s="332" t="n">
        <v>6.9</v>
      </c>
      <c r="E37" s="332" t="n">
        <v>6.8</v>
      </c>
      <c r="F37" s="332">
        <f>SUM(F38:F45)</f>
        <v/>
      </c>
      <c r="G37" s="332" t="n">
        <v>6.6</v>
      </c>
      <c r="H37" s="332" t="n">
        <v>7.1</v>
      </c>
      <c r="I37" s="332" t="n">
        <v>7</v>
      </c>
    </row>
    <row r="38" ht="15.75" customHeight="1" s="226">
      <c r="A38" s="349" t="inlineStr">
        <is>
          <t>Республика Адыгея</t>
        </is>
      </c>
      <c r="B38" s="336" t="n">
        <v>0.1</v>
      </c>
      <c r="C38" s="262" t="n">
        <v>0.1</v>
      </c>
      <c r="D38" s="262" t="n">
        <v>0.1</v>
      </c>
      <c r="E38" s="273" t="n">
        <v>0.1</v>
      </c>
      <c r="F38" s="262" t="n">
        <v>0.2</v>
      </c>
      <c r="G38" s="262" t="n">
        <v>0.1</v>
      </c>
      <c r="H38" s="262" t="n">
        <v>0.1</v>
      </c>
      <c r="I38" s="274" t="n">
        <v>0.1</v>
      </c>
    </row>
    <row r="39" ht="15.75" customHeight="1" s="226">
      <c r="A39" s="349" t="inlineStr">
        <is>
          <t>Республика Калмыкия</t>
        </is>
      </c>
      <c r="B39" s="336" t="n">
        <v>0.1</v>
      </c>
      <c r="C39" s="262" t="n">
        <v>0.1</v>
      </c>
      <c r="D39" s="262" t="n">
        <v>0.1</v>
      </c>
      <c r="E39" s="262" t="n">
        <v>0.1</v>
      </c>
      <c r="F39" s="262" t="n">
        <v>0.1</v>
      </c>
      <c r="G39" s="262" t="n">
        <v>0.1</v>
      </c>
      <c r="H39" s="262" t="n">
        <v>0.1</v>
      </c>
      <c r="I39" s="263" t="n">
        <v>0.1</v>
      </c>
    </row>
    <row r="40" ht="15.75" customHeight="1" s="226">
      <c r="A40" s="349" t="inlineStr">
        <is>
          <t>Республика Крым</t>
        </is>
      </c>
      <c r="B40" s="336" t="n">
        <v>0.5</v>
      </c>
      <c r="C40" s="262" t="n">
        <v>0.5</v>
      </c>
      <c r="D40" s="262" t="n">
        <v>0.5</v>
      </c>
      <c r="E40" s="262" t="n">
        <v>0.5</v>
      </c>
      <c r="F40" s="262" t="n">
        <v>0.5</v>
      </c>
      <c r="G40" s="262" t="n">
        <v>0.5</v>
      </c>
      <c r="H40" s="262" t="n">
        <v>0.5</v>
      </c>
      <c r="I40" s="263" t="n">
        <v>0.5</v>
      </c>
    </row>
    <row r="41" ht="15.75" customHeight="1" s="226">
      <c r="A41" s="349" t="inlineStr">
        <is>
          <t>Краснодарский край</t>
        </is>
      </c>
      <c r="B41" s="336" t="n">
        <v>3</v>
      </c>
      <c r="C41" s="262" t="n">
        <v>3</v>
      </c>
      <c r="D41" s="262" t="n">
        <v>2.8</v>
      </c>
      <c r="E41" s="262" t="n">
        <v>2.7</v>
      </c>
      <c r="F41" s="262" t="n">
        <v>2.8</v>
      </c>
      <c r="G41" s="262" t="n">
        <v>2.7</v>
      </c>
      <c r="H41" s="262" t="n">
        <v>3.1</v>
      </c>
      <c r="I41" s="263" t="n">
        <v>3</v>
      </c>
    </row>
    <row r="42" ht="15.75" customHeight="1" s="226">
      <c r="A42" s="349" t="inlineStr">
        <is>
          <t>Астраханская область</t>
        </is>
      </c>
      <c r="B42" s="336" t="n">
        <v>0.5</v>
      </c>
      <c r="C42" s="262" t="n">
        <v>0.5</v>
      </c>
      <c r="D42" s="262" t="n">
        <v>0.6</v>
      </c>
      <c r="E42" s="262" t="n">
        <v>0.6</v>
      </c>
      <c r="F42" s="262" t="n">
        <v>0.6</v>
      </c>
      <c r="G42" s="262" t="n">
        <v>0.5</v>
      </c>
      <c r="H42" s="262" t="n">
        <v>0.5</v>
      </c>
      <c r="I42" s="263" t="n">
        <v>0.5</v>
      </c>
    </row>
    <row r="43" ht="15.75" customHeight="1" s="226">
      <c r="A43" s="349" t="inlineStr">
        <is>
          <t>Волгоградская область</t>
        </is>
      </c>
      <c r="B43" s="336" t="n">
        <v>1.1</v>
      </c>
      <c r="C43" s="262" t="n">
        <v>1.1</v>
      </c>
      <c r="D43" s="262" t="n">
        <v>1</v>
      </c>
      <c r="E43" s="262" t="n">
        <v>1</v>
      </c>
      <c r="F43" s="262" t="n">
        <v>1</v>
      </c>
      <c r="G43" s="262" t="n">
        <v>0.9</v>
      </c>
      <c r="H43" s="262" t="n">
        <v>0.9</v>
      </c>
      <c r="I43" s="263" t="n">
        <v>0.9</v>
      </c>
    </row>
    <row r="44" ht="15.75" customHeight="1" s="226">
      <c r="A44" s="349" t="inlineStr">
        <is>
          <t>Ростовская область</t>
        </is>
      </c>
      <c r="B44" s="336" t="n">
        <v>1.9</v>
      </c>
      <c r="C44" s="262" t="n">
        <v>1.8</v>
      </c>
      <c r="D44" s="262" t="n">
        <v>1.7</v>
      </c>
      <c r="E44" s="262" t="n">
        <v>1.7</v>
      </c>
      <c r="F44" s="262" t="n">
        <v>1.8</v>
      </c>
      <c r="G44" s="262" t="n">
        <v>1.7</v>
      </c>
      <c r="H44" s="262" t="n">
        <v>1.7</v>
      </c>
      <c r="I44" s="263" t="n">
        <v>1.7</v>
      </c>
    </row>
    <row r="45" ht="15.75" customHeight="1" s="226">
      <c r="A45" s="349" t="inlineStr">
        <is>
          <t>г.Севастополь</t>
        </is>
      </c>
      <c r="B45" s="336" t="n">
        <v>0.1</v>
      </c>
      <c r="C45" s="262" t="n">
        <v>0.1</v>
      </c>
      <c r="D45" s="262" t="n">
        <v>0.1</v>
      </c>
      <c r="E45" s="262" t="n">
        <v>0.1</v>
      </c>
      <c r="F45" s="262" t="n">
        <v>0.1</v>
      </c>
      <c r="G45" s="262" t="n">
        <v>0.1</v>
      </c>
      <c r="H45" s="262" t="n">
        <v>0.2</v>
      </c>
      <c r="I45" s="263" t="n">
        <v>0.2</v>
      </c>
    </row>
    <row r="46" ht="15.75" customHeight="1" s="226">
      <c r="A46" s="350" t="inlineStr">
        <is>
          <t>Северо-Кавказский федеральный округ</t>
        </is>
      </c>
      <c r="B46" s="348" t="n">
        <v>2.7</v>
      </c>
      <c r="C46" s="332" t="n">
        <v>2.6</v>
      </c>
      <c r="D46" s="332" t="n">
        <v>2.4</v>
      </c>
      <c r="E46" s="332" t="n">
        <v>2.5</v>
      </c>
      <c r="F46" s="332">
        <f>SUM(F47:F53)</f>
        <v/>
      </c>
      <c r="G46" s="332" t="n">
        <v>2.3</v>
      </c>
      <c r="H46" s="332" t="n">
        <v>2.2</v>
      </c>
      <c r="I46" s="332" t="n">
        <v>2.2</v>
      </c>
    </row>
    <row r="47" ht="15.75" customHeight="1" s="226">
      <c r="A47" s="349" t="inlineStr">
        <is>
          <t>Республика Дагестан</t>
        </is>
      </c>
      <c r="B47" s="336" t="n">
        <v>0.8</v>
      </c>
      <c r="C47" s="262" t="n">
        <v>0.8</v>
      </c>
      <c r="D47" s="262" t="n">
        <v>0.7</v>
      </c>
      <c r="E47" s="273" t="n">
        <v>0.8</v>
      </c>
      <c r="F47" s="262" t="n">
        <v>0.8</v>
      </c>
      <c r="G47" s="262" t="n">
        <v>0.7</v>
      </c>
      <c r="H47" s="262" t="n">
        <v>0.6</v>
      </c>
      <c r="I47" s="274" t="n">
        <v>0.6</v>
      </c>
    </row>
    <row r="48" ht="15.75" customHeight="1" s="226">
      <c r="A48" s="349" t="inlineStr">
        <is>
          <t>Республика Ингушетия</t>
        </is>
      </c>
      <c r="B48" s="336" t="n">
        <v>0.1</v>
      </c>
      <c r="C48" s="262" t="n">
        <v>0.1</v>
      </c>
      <c r="D48" s="262" t="n">
        <v>0.1</v>
      </c>
      <c r="E48" s="262" t="n">
        <v>0.1</v>
      </c>
      <c r="F48" s="262" t="n">
        <v>0.1</v>
      </c>
      <c r="G48" s="262" t="n">
        <v>0.1</v>
      </c>
      <c r="H48" s="262" t="n">
        <v>0.1</v>
      </c>
      <c r="I48" s="263" t="n">
        <v>0.1</v>
      </c>
    </row>
    <row r="49" ht="15.75" customHeight="1" s="226">
      <c r="A49" s="349" t="inlineStr">
        <is>
          <t>Кабардино-Балкарская Республика</t>
        </is>
      </c>
      <c r="B49" s="336" t="n">
        <v>0.2</v>
      </c>
      <c r="C49" s="262" t="n">
        <v>0.2</v>
      </c>
      <c r="D49" s="262" t="n">
        <v>0.2</v>
      </c>
      <c r="E49" s="262" t="n">
        <v>0.2</v>
      </c>
      <c r="F49" s="262" t="n">
        <v>0.2</v>
      </c>
      <c r="G49" s="262" t="n">
        <v>0.2</v>
      </c>
      <c r="H49" s="262" t="n">
        <v>0.2</v>
      </c>
      <c r="I49" s="263" t="n">
        <v>0.2</v>
      </c>
    </row>
    <row r="50" ht="15.75" customHeight="1" s="226">
      <c r="A50" s="349" t="inlineStr">
        <is>
          <t>Карачаево-Черкесская Республика</t>
        </is>
      </c>
      <c r="B50" s="336" t="n">
        <v>0.1</v>
      </c>
      <c r="C50" s="262" t="n">
        <v>0.1</v>
      </c>
      <c r="D50" s="262" t="n">
        <v>0.1</v>
      </c>
      <c r="E50" s="262" t="n">
        <v>0.1</v>
      </c>
      <c r="F50" s="262" t="n">
        <v>0.1</v>
      </c>
      <c r="G50" s="262" t="n">
        <v>0.1</v>
      </c>
      <c r="H50" s="262" t="n">
        <v>0.1</v>
      </c>
      <c r="I50" s="263" t="n">
        <v>0.1</v>
      </c>
    </row>
    <row r="51" ht="15.75" customHeight="1" s="226">
      <c r="A51" s="349" t="inlineStr">
        <is>
          <t>Республика Северная Осетия-Алания</t>
        </is>
      </c>
      <c r="B51" s="336" t="n">
        <v>0.2</v>
      </c>
      <c r="C51" s="262" t="n">
        <v>0.2</v>
      </c>
      <c r="D51" s="262" t="n">
        <v>0.2</v>
      </c>
      <c r="E51" s="262" t="n">
        <v>0.2</v>
      </c>
      <c r="F51" s="262" t="n">
        <v>0.2</v>
      </c>
      <c r="G51" s="262" t="n">
        <v>0.2</v>
      </c>
      <c r="H51" s="262" t="n">
        <v>0.2</v>
      </c>
      <c r="I51" s="263" t="n">
        <v>0.2</v>
      </c>
    </row>
    <row r="52" ht="15.75" customHeight="1" s="226">
      <c r="A52" s="349" t="inlineStr">
        <is>
          <t>Чеченская Республика</t>
        </is>
      </c>
      <c r="B52" s="336" t="n">
        <v>0.3</v>
      </c>
      <c r="C52" s="262" t="n">
        <v>0.3</v>
      </c>
      <c r="D52" s="262" t="n">
        <v>0.2</v>
      </c>
      <c r="E52" s="262" t="n">
        <v>0.2</v>
      </c>
      <c r="F52" s="262" t="n">
        <v>0.3</v>
      </c>
      <c r="G52" s="262" t="n">
        <v>0.2</v>
      </c>
      <c r="H52" s="262" t="n">
        <v>0.2</v>
      </c>
      <c r="I52" s="263" t="n">
        <v>0.2</v>
      </c>
    </row>
    <row r="53" ht="15.75" customHeight="1" s="226">
      <c r="A53" s="349" t="inlineStr">
        <is>
          <t>Ставропольский край</t>
        </is>
      </c>
      <c r="B53" s="336" t="n">
        <v>1</v>
      </c>
      <c r="C53" s="262" t="n">
        <v>0.9</v>
      </c>
      <c r="D53" s="262" t="n">
        <v>0.9</v>
      </c>
      <c r="E53" s="262" t="n">
        <v>0.9</v>
      </c>
      <c r="F53" s="262" t="n">
        <v>0.9</v>
      </c>
      <c r="G53" s="262" t="n">
        <v>0.8</v>
      </c>
      <c r="H53" s="262" t="n">
        <v>0.8</v>
      </c>
      <c r="I53" s="263" t="n">
        <v>0.8</v>
      </c>
    </row>
    <row r="54" ht="15.75" customHeight="1" s="226">
      <c r="A54" s="331" t="inlineStr">
        <is>
          <t>Приволжский федеральный округ</t>
        </is>
      </c>
      <c r="B54" s="348" t="n">
        <v>14.8</v>
      </c>
      <c r="C54" s="332" t="n">
        <v>14.8</v>
      </c>
      <c r="D54" s="332" t="n">
        <v>14.9</v>
      </c>
      <c r="E54" s="332" t="n">
        <v>15</v>
      </c>
      <c r="F54" s="332">
        <f>SUM(F55:F68)</f>
        <v/>
      </c>
      <c r="G54" s="332" t="n">
        <v>13.9</v>
      </c>
      <c r="H54" s="332" t="n">
        <v>13.9</v>
      </c>
      <c r="I54" s="332" t="n">
        <v>13.9</v>
      </c>
    </row>
    <row r="55" ht="15.75" customHeight="1" s="226">
      <c r="A55" s="351" t="inlineStr">
        <is>
          <t>Республика Башкортостан</t>
        </is>
      </c>
      <c r="B55" s="336" t="n">
        <v>1.9</v>
      </c>
      <c r="C55" s="262" t="n">
        <v>1.9</v>
      </c>
      <c r="D55" s="262" t="n">
        <v>1.9</v>
      </c>
      <c r="E55" s="273" t="n">
        <v>1.9</v>
      </c>
      <c r="F55" s="262" t="n">
        <v>1.8</v>
      </c>
      <c r="G55" s="262" t="n">
        <v>1.6</v>
      </c>
      <c r="H55" s="262" t="n">
        <v>1.6</v>
      </c>
      <c r="I55" s="274" t="n">
        <v>1.6</v>
      </c>
    </row>
    <row r="56" ht="15.75" customHeight="1" s="226">
      <c r="A56" s="351" t="inlineStr">
        <is>
          <t>Республика Марий Эл</t>
        </is>
      </c>
      <c r="B56" s="336" t="n">
        <v>0.2</v>
      </c>
      <c r="C56" s="262" t="n">
        <v>0.2</v>
      </c>
      <c r="D56" s="262" t="n">
        <v>0.2</v>
      </c>
      <c r="E56" s="262" t="n">
        <v>0.2</v>
      </c>
      <c r="F56" s="262" t="n">
        <v>0.2</v>
      </c>
      <c r="G56" s="262" t="n">
        <v>0.2</v>
      </c>
      <c r="H56" s="262" t="n">
        <v>0.2</v>
      </c>
      <c r="I56" s="263" t="n">
        <v>0.2</v>
      </c>
    </row>
    <row r="57" ht="15.75" customHeight="1" s="226">
      <c r="A57" s="351" t="inlineStr">
        <is>
          <t>Республика Мордовия</t>
        </is>
      </c>
      <c r="B57" s="336" t="n">
        <v>0.3</v>
      </c>
      <c r="C57" s="262" t="n">
        <v>0.3</v>
      </c>
      <c r="D57" s="262" t="n">
        <v>0.3</v>
      </c>
      <c r="E57" s="262" t="n">
        <v>0.3</v>
      </c>
      <c r="F57" s="262" t="n">
        <v>0.3</v>
      </c>
      <c r="G57" s="262" t="n">
        <v>0.2</v>
      </c>
      <c r="H57" s="262" t="n">
        <v>0.2</v>
      </c>
      <c r="I57" s="263" t="n">
        <v>0.2</v>
      </c>
    </row>
    <row r="58" ht="15.75" customHeight="1" s="226">
      <c r="A58" s="351" t="inlineStr">
        <is>
          <t>Республика Татарстан</t>
        </is>
      </c>
      <c r="B58" s="336" t="n">
        <v>2.8</v>
      </c>
      <c r="C58" s="262" t="n">
        <v>2.8</v>
      </c>
      <c r="D58" s="262" t="n">
        <v>2.9</v>
      </c>
      <c r="E58" s="262" t="n">
        <v>3</v>
      </c>
      <c r="F58" s="262" t="n">
        <v>2.8</v>
      </c>
      <c r="G58" s="262" t="n">
        <v>2.9</v>
      </c>
      <c r="H58" s="262" t="n">
        <v>3</v>
      </c>
      <c r="I58" s="263" t="n">
        <v>2.9</v>
      </c>
    </row>
    <row r="59" ht="15.75" customHeight="1" s="226">
      <c r="A59" s="351" t="inlineStr">
        <is>
          <t>Удмуртская Республика</t>
        </is>
      </c>
      <c r="B59" s="336" t="n">
        <v>0.8</v>
      </c>
      <c r="C59" s="262" t="n">
        <v>0.7</v>
      </c>
      <c r="D59" s="262" t="n">
        <v>0.8</v>
      </c>
      <c r="E59" s="262" t="n">
        <v>0.8</v>
      </c>
      <c r="F59" s="262" t="n">
        <v>0.7</v>
      </c>
      <c r="G59" s="262" t="n">
        <v>0.7</v>
      </c>
      <c r="H59" s="262" t="n">
        <v>0.7</v>
      </c>
      <c r="I59" s="263" t="n">
        <v>0.7</v>
      </c>
    </row>
    <row r="60" ht="15.75" customHeight="1" s="226">
      <c r="A60" s="351" t="inlineStr">
        <is>
          <t>Чувашская Республика</t>
        </is>
      </c>
      <c r="B60" s="336" t="n">
        <v>0.4</v>
      </c>
      <c r="C60" s="262" t="n">
        <v>0.4</v>
      </c>
      <c r="D60" s="262" t="n">
        <v>0.4</v>
      </c>
      <c r="E60" s="262" t="n">
        <v>0.4</v>
      </c>
      <c r="F60" s="262" t="n">
        <v>0.4</v>
      </c>
      <c r="G60" s="262" t="n">
        <v>0.3</v>
      </c>
      <c r="H60" s="262" t="n">
        <v>0.4</v>
      </c>
      <c r="I60" s="263" t="n">
        <v>0.4</v>
      </c>
    </row>
    <row r="61" ht="15.75" customHeight="1" s="226">
      <c r="A61" s="349" t="inlineStr">
        <is>
          <t>Пермский край</t>
        </is>
      </c>
      <c r="B61" s="336" t="n">
        <v>1.5</v>
      </c>
      <c r="C61" s="262" t="n">
        <v>1.6</v>
      </c>
      <c r="D61" s="262" t="n">
        <v>1.6</v>
      </c>
      <c r="E61" s="262" t="n">
        <v>1.6</v>
      </c>
      <c r="F61" s="262" t="n">
        <v>1.5</v>
      </c>
      <c r="G61" s="262" t="n">
        <v>1.4</v>
      </c>
      <c r="H61" s="262" t="n">
        <v>1.4</v>
      </c>
      <c r="I61" s="263" t="n">
        <v>1.4</v>
      </c>
    </row>
    <row r="62" ht="15.75" customHeight="1" s="226">
      <c r="A62" s="349" t="inlineStr">
        <is>
          <t>Кировская область</t>
        </is>
      </c>
      <c r="B62" s="336" t="n">
        <v>0.4</v>
      </c>
      <c r="C62" s="262" t="n">
        <v>0.4</v>
      </c>
      <c r="D62" s="262" t="n">
        <v>0.4</v>
      </c>
      <c r="E62" s="273" t="n">
        <v>0.4</v>
      </c>
      <c r="F62" s="262" t="n">
        <v>0.4</v>
      </c>
      <c r="G62" s="262" t="n">
        <v>0.4</v>
      </c>
      <c r="H62" s="262" t="n">
        <v>0.4</v>
      </c>
      <c r="I62" s="274" t="n">
        <v>0.4</v>
      </c>
    </row>
    <row r="63" ht="15.75" customHeight="1" s="226">
      <c r="A63" s="349" t="inlineStr">
        <is>
          <t>Нижегородская область</t>
        </is>
      </c>
      <c r="B63" s="336" t="n">
        <v>1.7</v>
      </c>
      <c r="C63" s="262" t="n">
        <v>1.7</v>
      </c>
      <c r="D63" s="262" t="n">
        <v>1.7</v>
      </c>
      <c r="E63" s="262" t="n">
        <v>1.7</v>
      </c>
      <c r="F63" s="262" t="n">
        <v>1.7</v>
      </c>
      <c r="G63" s="262" t="n">
        <v>1.6</v>
      </c>
      <c r="H63" s="262" t="n">
        <v>1.6</v>
      </c>
      <c r="I63" s="263" t="n">
        <v>1.7</v>
      </c>
    </row>
    <row r="64" ht="15.75" customHeight="1" s="226">
      <c r="A64" s="349" t="inlineStr">
        <is>
          <t>Оренбургская область</t>
        </is>
      </c>
      <c r="B64" s="336" t="n">
        <v>1.1</v>
      </c>
      <c r="C64" s="262" t="n">
        <v>1.1</v>
      </c>
      <c r="D64" s="262" t="n">
        <v>1.2</v>
      </c>
      <c r="E64" s="262" t="n">
        <v>1.2</v>
      </c>
      <c r="F64" s="262" t="n">
        <v>1.1</v>
      </c>
      <c r="G64" s="262" t="n">
        <v>1.2</v>
      </c>
      <c r="H64" s="262" t="n">
        <v>1.1</v>
      </c>
      <c r="I64" s="263" t="n">
        <v>1.1</v>
      </c>
    </row>
    <row r="65" ht="15.75" customHeight="1" s="226">
      <c r="A65" s="349" t="inlineStr">
        <is>
          <t>Пензенская область</t>
        </is>
      </c>
      <c r="B65" s="336" t="n">
        <v>0.5</v>
      </c>
      <c r="C65" s="262" t="n">
        <v>0.5</v>
      </c>
      <c r="D65" s="262" t="n">
        <v>0.5</v>
      </c>
      <c r="E65" s="262" t="n">
        <v>0.5</v>
      </c>
      <c r="F65" s="262" t="n">
        <v>0.5</v>
      </c>
      <c r="G65" s="262" t="n">
        <v>0.4</v>
      </c>
      <c r="H65" s="262" t="n">
        <v>0.4</v>
      </c>
      <c r="I65" s="263" t="n">
        <v>0.4</v>
      </c>
    </row>
    <row r="66" ht="15.75" customHeight="1" s="226">
      <c r="A66" s="349" t="inlineStr">
        <is>
          <t>Самарская область</t>
        </is>
      </c>
      <c r="B66" s="336" t="n">
        <v>1.8</v>
      </c>
      <c r="C66" s="262" t="n">
        <v>1.8</v>
      </c>
      <c r="D66" s="262" t="n">
        <v>1.8</v>
      </c>
      <c r="E66" s="262" t="n">
        <v>1.8</v>
      </c>
      <c r="F66" s="262" t="n">
        <v>1.7</v>
      </c>
      <c r="G66" s="262" t="n">
        <v>1.8</v>
      </c>
      <c r="H66" s="262" t="n">
        <v>1.7</v>
      </c>
      <c r="I66" s="263" t="n">
        <v>1.7</v>
      </c>
    </row>
    <row r="67" ht="15.75" customHeight="1" s="226">
      <c r="A67" s="351" t="inlineStr">
        <is>
          <t>Саратовская область</t>
        </is>
      </c>
      <c r="B67" s="336" t="n">
        <v>0.9</v>
      </c>
      <c r="C67" s="262" t="n">
        <v>0.9</v>
      </c>
      <c r="D67" s="262" t="n">
        <v>0.8</v>
      </c>
      <c r="E67" s="262" t="n">
        <v>0.8</v>
      </c>
      <c r="F67" s="262" t="n">
        <v>0.9</v>
      </c>
      <c r="G67" s="262" t="n">
        <v>0.8</v>
      </c>
      <c r="H67" s="262" t="n">
        <v>0.8</v>
      </c>
      <c r="I67" s="263" t="n">
        <v>0.8</v>
      </c>
    </row>
    <row r="68" ht="15.75" customHeight="1" s="226">
      <c r="A68" s="351" t="inlineStr">
        <is>
          <t>Ульяновская область</t>
        </is>
      </c>
      <c r="B68" s="336" t="n">
        <v>0.5</v>
      </c>
      <c r="C68" s="262" t="n">
        <v>0.5</v>
      </c>
      <c r="D68" s="262" t="n">
        <v>0.4</v>
      </c>
      <c r="E68" s="262" t="n">
        <v>0.4</v>
      </c>
      <c r="F68" s="262" t="n">
        <v>0.5</v>
      </c>
      <c r="G68" s="262" t="n">
        <v>0.4</v>
      </c>
      <c r="H68" s="262" t="n">
        <v>0.4</v>
      </c>
      <c r="I68" s="263" t="n">
        <v>0.4</v>
      </c>
    </row>
    <row r="69" ht="15.75" customHeight="1" s="226">
      <c r="A69" s="350" t="inlineStr">
        <is>
          <t>Уральский федеральный округ</t>
        </is>
      </c>
      <c r="B69" s="348" t="n">
        <v>13.2</v>
      </c>
      <c r="C69" s="332" t="n">
        <v>13.8</v>
      </c>
      <c r="D69" s="332" t="n">
        <v>14.4</v>
      </c>
      <c r="E69" s="332" t="n">
        <v>13.9</v>
      </c>
      <c r="F69" s="332">
        <f>SUM(F70:F76)-F73-F74-F75</f>
        <v/>
      </c>
      <c r="G69" s="332" t="n">
        <v>13.8</v>
      </c>
      <c r="H69" s="332" t="n">
        <v>14.2</v>
      </c>
      <c r="I69" s="332" t="n">
        <v>14.5</v>
      </c>
    </row>
    <row r="70" ht="15.75" customHeight="1" s="226">
      <c r="A70" s="352" t="inlineStr">
        <is>
          <t>Курганская область</t>
        </is>
      </c>
      <c r="B70" s="336" t="n">
        <v>0.3</v>
      </c>
      <c r="C70" s="262" t="n">
        <v>0.3</v>
      </c>
      <c r="D70" s="262" t="n">
        <v>0.2</v>
      </c>
      <c r="E70" s="273" t="n">
        <v>0.2</v>
      </c>
      <c r="F70" s="262" t="n">
        <v>0.3</v>
      </c>
      <c r="G70" s="262" t="n">
        <v>0.2</v>
      </c>
      <c r="H70" s="262" t="n">
        <v>0.2</v>
      </c>
      <c r="I70" s="274" t="n">
        <v>0.2</v>
      </c>
    </row>
    <row r="71" ht="15.75" customHeight="1" s="226">
      <c r="A71" s="352" t="inlineStr">
        <is>
          <t>Свердловская область</t>
        </is>
      </c>
      <c r="B71" s="336" t="n">
        <v>2.8</v>
      </c>
      <c r="C71" s="262" t="n">
        <v>2.8</v>
      </c>
      <c r="D71" s="262" t="n">
        <v>2.7</v>
      </c>
      <c r="E71" s="262" t="n">
        <v>2.7</v>
      </c>
      <c r="F71" s="262" t="n">
        <v>2.7</v>
      </c>
      <c r="G71" s="262" t="n">
        <v>2.5</v>
      </c>
      <c r="H71" s="262" t="n">
        <v>2.5</v>
      </c>
      <c r="I71" s="274" t="n">
        <v>2.6</v>
      </c>
    </row>
    <row r="72" ht="15.75" customHeight="1" s="226">
      <c r="A72" s="352" t="inlineStr">
        <is>
          <t>Тюменская область</t>
        </is>
      </c>
      <c r="B72" s="336" t="n">
        <v>8.300000000000001</v>
      </c>
      <c r="C72" s="262" t="n">
        <v>8.9</v>
      </c>
      <c r="D72" s="262" t="n">
        <v>9.800000000000001</v>
      </c>
      <c r="E72" s="262" t="n">
        <v>9.4</v>
      </c>
      <c r="F72" s="262" t="n">
        <v>7.7</v>
      </c>
      <c r="G72" s="262" t="n">
        <v>9.4</v>
      </c>
      <c r="H72" s="262" t="n">
        <v>9.9</v>
      </c>
      <c r="I72" s="274" t="n">
        <v>10.1</v>
      </c>
    </row>
    <row r="73" ht="15.75" customHeight="1" s="226">
      <c r="A73" s="352" t="inlineStr">
        <is>
          <t>Ханты-Мансийский автономный округ</t>
        </is>
      </c>
      <c r="B73" s="336" t="n">
        <v>4.3</v>
      </c>
      <c r="C73" s="262" t="n">
        <v>4.5</v>
      </c>
      <c r="D73" s="262" t="n">
        <v>5</v>
      </c>
      <c r="E73" s="262" t="n">
        <v>4.8</v>
      </c>
      <c r="F73" s="262" t="n">
        <v>3.5</v>
      </c>
      <c r="G73" s="262" t="n">
        <v>4.6</v>
      </c>
      <c r="H73" s="262" t="n">
        <v>4.9</v>
      </c>
      <c r="I73" s="274" t="n">
        <v>5.5</v>
      </c>
    </row>
    <row r="74" ht="15.75" customHeight="1" s="226">
      <c r="A74" s="352" t="inlineStr">
        <is>
          <t>Ямало-Ненецкий автономный округ</t>
        </is>
      </c>
      <c r="B74" s="336" t="n">
        <v>2.7</v>
      </c>
      <c r="C74" s="262" t="n">
        <v>3.1</v>
      </c>
      <c r="D74" s="262" t="n">
        <v>3.4</v>
      </c>
      <c r="E74" s="262" t="n">
        <v>3.3</v>
      </c>
      <c r="F74" s="262" t="n">
        <v>3</v>
      </c>
      <c r="G74" s="262" t="n">
        <v>3.5</v>
      </c>
      <c r="H74" s="262" t="n">
        <v>3.8</v>
      </c>
      <c r="I74" s="274" t="n">
        <v>3.4</v>
      </c>
    </row>
    <row r="75" ht="25.35" customHeight="1" s="226">
      <c r="A75" s="353" t="inlineStr">
        <is>
          <t>Тюменская область (без Ханты-Мансийского авт. округа-Югра и Ямало-Ненецкого авт. округа)</t>
        </is>
      </c>
      <c r="B75" s="336" t="n">
        <v>1.3</v>
      </c>
      <c r="C75" s="262" t="n">
        <v>1.3</v>
      </c>
      <c r="D75" s="262" t="n">
        <v>1.4</v>
      </c>
      <c r="E75" s="262" t="n">
        <v>1.3</v>
      </c>
      <c r="F75" s="262" t="n">
        <v>1.2</v>
      </c>
      <c r="G75" s="262" t="n">
        <v>1.3</v>
      </c>
      <c r="H75" s="262" t="n">
        <v>1.2</v>
      </c>
      <c r="I75" s="274" t="n">
        <v>1.2</v>
      </c>
    </row>
    <row r="76" ht="15.75" customHeight="1" s="226">
      <c r="A76" s="352" t="inlineStr">
        <is>
          <t>Челябинская область</t>
        </is>
      </c>
      <c r="B76" s="336" t="n">
        <v>1.8</v>
      </c>
      <c r="C76" s="262" t="n">
        <v>1.8</v>
      </c>
      <c r="D76" s="262" t="n">
        <v>1.7</v>
      </c>
      <c r="E76" s="262" t="n">
        <v>1.6</v>
      </c>
      <c r="F76" s="262" t="n">
        <v>1.7</v>
      </c>
      <c r="G76" s="262" t="n">
        <v>1.7</v>
      </c>
      <c r="H76" s="262" t="n">
        <v>1.6</v>
      </c>
      <c r="I76" s="274" t="n">
        <v>1.6</v>
      </c>
    </row>
    <row r="77" ht="15.75" customHeight="1" s="226">
      <c r="A77" s="354" t="inlineStr">
        <is>
          <t>Сибирский федеральный округ</t>
        </is>
      </c>
      <c r="B77" s="348" t="n">
        <v>9.5</v>
      </c>
      <c r="C77" s="332" t="n">
        <v>9.800000000000001</v>
      </c>
      <c r="D77" s="332" t="n">
        <v>9.6</v>
      </c>
      <c r="E77" s="332" t="n">
        <v>9.699999999999999</v>
      </c>
      <c r="F77" s="332">
        <f>SUM(F78:F87)</f>
        <v/>
      </c>
      <c r="G77" s="332" t="n">
        <v>9.5</v>
      </c>
      <c r="H77" s="332" t="n">
        <v>9.5</v>
      </c>
      <c r="I77" s="332" t="n">
        <v>9</v>
      </c>
    </row>
    <row r="78" ht="15.75" customHeight="1" s="226">
      <c r="A78" s="352" t="inlineStr">
        <is>
          <t>Республика Алтай</t>
        </is>
      </c>
      <c r="B78" s="336" t="n">
        <v>0.1</v>
      </c>
      <c r="C78" s="262" t="n">
        <v>0.1</v>
      </c>
      <c r="D78" s="262" t="n">
        <v>0.1</v>
      </c>
      <c r="E78" s="273" t="n">
        <v>0.1</v>
      </c>
      <c r="F78" s="262" t="n">
        <v>0.1</v>
      </c>
      <c r="G78" s="262" t="n">
        <v>0.1</v>
      </c>
      <c r="H78" s="262" t="n">
        <v>0.1</v>
      </c>
      <c r="I78" s="274" t="n">
        <v>0.1</v>
      </c>
    </row>
    <row r="79" ht="15.75" customHeight="1" s="226">
      <c r="A79" s="352" t="inlineStr">
        <is>
          <t>Республика Тыва</t>
        </is>
      </c>
      <c r="B79" s="336" t="n">
        <v>0.1</v>
      </c>
      <c r="C79" s="262" t="n">
        <v>0.1</v>
      </c>
      <c r="D79" s="262" t="n">
        <v>0.1</v>
      </c>
      <c r="E79" s="262" t="n">
        <v>0.1</v>
      </c>
      <c r="F79" s="262" t="n">
        <v>0.1</v>
      </c>
      <c r="G79" s="262" t="n">
        <v>0.1</v>
      </c>
      <c r="H79" s="262" t="n">
        <v>0.1</v>
      </c>
      <c r="I79" s="263" t="n">
        <v>0.1</v>
      </c>
    </row>
    <row r="80" ht="15.75" customHeight="1" s="226">
      <c r="A80" s="352" t="inlineStr">
        <is>
          <t>Республика Хакасия</t>
        </is>
      </c>
      <c r="B80" s="336" t="n">
        <v>0.3</v>
      </c>
      <c r="C80" s="262" t="n">
        <v>0.3</v>
      </c>
      <c r="D80" s="262" t="n">
        <v>0.3</v>
      </c>
      <c r="E80" s="262" t="n">
        <v>0.3</v>
      </c>
      <c r="F80" s="262" t="n">
        <v>0.3</v>
      </c>
      <c r="G80" s="262" t="n">
        <v>0.3</v>
      </c>
      <c r="H80" s="262" t="n">
        <v>0.2</v>
      </c>
      <c r="I80" s="263" t="n">
        <v>0.2</v>
      </c>
    </row>
    <row r="81" ht="15.75" customHeight="1" s="226">
      <c r="A81" s="352" t="inlineStr">
        <is>
          <t>Алтайский край</t>
        </is>
      </c>
      <c r="B81" s="336" t="n">
        <v>0.7</v>
      </c>
      <c r="C81" s="262" t="n">
        <v>0.7</v>
      </c>
      <c r="D81" s="262" t="n">
        <v>0.6</v>
      </c>
      <c r="E81" s="262" t="n">
        <v>0.7</v>
      </c>
      <c r="F81" s="262" t="n">
        <v>0.7</v>
      </c>
      <c r="G81" s="262" t="n">
        <v>0.7</v>
      </c>
      <c r="H81" s="262" t="n">
        <v>0.7</v>
      </c>
      <c r="I81" s="263" t="n">
        <v>0.7</v>
      </c>
    </row>
    <row r="82" ht="15.75" customHeight="1" s="226">
      <c r="A82" s="352" t="inlineStr">
        <is>
          <t>Красноярский край</t>
        </is>
      </c>
      <c r="B82" s="336" t="n">
        <v>2.5</v>
      </c>
      <c r="C82" s="262" t="n">
        <v>2.5</v>
      </c>
      <c r="D82" s="262" t="n">
        <v>2.6</v>
      </c>
      <c r="E82" s="262" t="n">
        <v>2.8</v>
      </c>
      <c r="F82" s="262" t="n">
        <v>2.9</v>
      </c>
      <c r="G82" s="262" t="n">
        <v>2.6</v>
      </c>
      <c r="H82" s="262" t="n">
        <v>2.4</v>
      </c>
      <c r="I82" s="263" t="n">
        <v>2.4</v>
      </c>
    </row>
    <row r="83" ht="15.75" customHeight="1" s="226">
      <c r="A83" s="352" t="inlineStr">
        <is>
          <t>Иркутская область</t>
        </is>
      </c>
      <c r="B83" s="336" t="n">
        <v>1.5</v>
      </c>
      <c r="C83" s="262" t="n">
        <v>1.6</v>
      </c>
      <c r="D83" s="262" t="n">
        <v>1.6</v>
      </c>
      <c r="E83" s="262" t="n">
        <v>1.6</v>
      </c>
      <c r="F83" s="262" t="n">
        <v>1.6</v>
      </c>
      <c r="G83" s="262" t="n">
        <v>1.6</v>
      </c>
      <c r="H83" s="262" t="n">
        <v>1.7</v>
      </c>
      <c r="I83" s="263" t="n">
        <v>1.6</v>
      </c>
    </row>
    <row r="84" ht="15.75" customHeight="1" s="226">
      <c r="A84" s="278" t="inlineStr">
        <is>
          <t>Кемеровская область-Кузбасс</t>
        </is>
      </c>
      <c r="B84" s="336" t="n">
        <v>1.2</v>
      </c>
      <c r="C84" s="262" t="n">
        <v>1.4</v>
      </c>
      <c r="D84" s="262" t="n">
        <v>1.4</v>
      </c>
      <c r="E84" s="262" t="n">
        <v>1.2</v>
      </c>
      <c r="F84" s="262" t="n">
        <v>1.1</v>
      </c>
      <c r="G84" s="262" t="n">
        <v>1.5</v>
      </c>
      <c r="H84" s="262" t="n">
        <v>1.6</v>
      </c>
      <c r="I84" s="263" t="n">
        <v>1.2</v>
      </c>
    </row>
    <row r="85" ht="15.75" customHeight="1" s="226">
      <c r="A85" s="352" t="inlineStr">
        <is>
          <t>Новосибирская область</t>
        </is>
      </c>
      <c r="B85" s="336" t="n">
        <v>1.5</v>
      </c>
      <c r="C85" s="262" t="n">
        <v>1.5</v>
      </c>
      <c r="D85" s="262" t="n">
        <v>1.4</v>
      </c>
      <c r="E85" s="273" t="n">
        <v>1.4</v>
      </c>
      <c r="F85" s="262" t="n">
        <v>1.4</v>
      </c>
      <c r="G85" s="262" t="n">
        <v>1.3</v>
      </c>
      <c r="H85" s="262" t="n">
        <v>1.4</v>
      </c>
      <c r="I85" s="274" t="n">
        <v>1.4</v>
      </c>
    </row>
    <row r="86" ht="15.75" customHeight="1" s="226">
      <c r="A86" s="352" t="inlineStr">
        <is>
          <t>Омская область</t>
        </is>
      </c>
      <c r="B86" s="336" t="n">
        <v>0.9</v>
      </c>
      <c r="C86" s="262" t="n">
        <v>0.9</v>
      </c>
      <c r="D86" s="262" t="n">
        <v>0.8</v>
      </c>
      <c r="E86" s="262" t="n">
        <v>0.8</v>
      </c>
      <c r="F86" s="262" t="n">
        <v>0.8</v>
      </c>
      <c r="G86" s="262" t="n">
        <v>0.7</v>
      </c>
      <c r="H86" s="262" t="n">
        <v>0.7</v>
      </c>
      <c r="I86" s="263" t="n">
        <v>0.7</v>
      </c>
    </row>
    <row r="87" ht="15.75" customHeight="1" s="226">
      <c r="A87" s="352" t="inlineStr">
        <is>
          <t>Томская область</t>
        </is>
      </c>
      <c r="B87" s="336" t="n">
        <v>0.7</v>
      </c>
      <c r="C87" s="262" t="n">
        <v>0.7</v>
      </c>
      <c r="D87" s="262" t="n">
        <v>0.7</v>
      </c>
      <c r="E87" s="262" t="n">
        <v>0.7</v>
      </c>
      <c r="F87" s="262" t="n">
        <v>0.6</v>
      </c>
      <c r="G87" s="262" t="n">
        <v>0.6</v>
      </c>
      <c r="H87" s="262" t="n">
        <v>0.6</v>
      </c>
      <c r="I87" s="263" t="n">
        <v>0.6</v>
      </c>
    </row>
    <row r="88" ht="15.75" customHeight="1" s="226">
      <c r="A88" s="354" t="inlineStr">
        <is>
          <t>Дальневосточный федеральный округ</t>
        </is>
      </c>
      <c r="B88" s="348" t="n">
        <v>6.1</v>
      </c>
      <c r="C88" s="332" t="n">
        <v>6</v>
      </c>
      <c r="D88" s="332" t="n">
        <v>6.3</v>
      </c>
      <c r="E88" s="332" t="n">
        <v>6.2</v>
      </c>
      <c r="F88" s="332">
        <f>SUM(F89:F99)</f>
        <v/>
      </c>
      <c r="G88" s="332" t="n">
        <v>6.2</v>
      </c>
      <c r="H88" s="332" t="n">
        <v>6.3</v>
      </c>
      <c r="I88" s="332" t="n">
        <v>6.5</v>
      </c>
    </row>
    <row r="89" ht="15.75" customHeight="1" s="226">
      <c r="A89" s="352" t="inlineStr">
        <is>
          <t>Республика Бурятия</t>
        </is>
      </c>
      <c r="B89" s="336" t="n">
        <v>0.3</v>
      </c>
      <c r="C89" s="262" t="n">
        <v>0.3</v>
      </c>
      <c r="D89" s="262" t="n">
        <v>0.3</v>
      </c>
      <c r="E89" s="273" t="n">
        <v>0.3</v>
      </c>
      <c r="F89" s="262" t="n">
        <v>0.3</v>
      </c>
      <c r="G89" s="262" t="n">
        <v>0.3</v>
      </c>
      <c r="H89" s="262" t="n">
        <v>0.3</v>
      </c>
      <c r="I89" s="274" t="n">
        <v>0.3</v>
      </c>
    </row>
    <row r="90" ht="15.75" customHeight="1" s="226">
      <c r="A90" s="352" t="inlineStr">
        <is>
          <t>Республика Саха (Якутия)</t>
        </is>
      </c>
      <c r="B90" s="336" t="n">
        <v>1.2</v>
      </c>
      <c r="C90" s="262" t="n">
        <v>1.2</v>
      </c>
      <c r="D90" s="262" t="n">
        <v>1.3</v>
      </c>
      <c r="E90" s="262" t="n">
        <v>1.3</v>
      </c>
      <c r="F90" s="262" t="n">
        <v>1.2</v>
      </c>
      <c r="G90" s="262" t="n">
        <v>1.4</v>
      </c>
      <c r="H90" s="262" t="n">
        <v>1.4</v>
      </c>
      <c r="I90" s="263" t="n">
        <v>1.4</v>
      </c>
    </row>
    <row r="91" ht="15.75" customHeight="1" s="226">
      <c r="A91" s="352" t="inlineStr">
        <is>
          <t>Забайкальский край</t>
        </is>
      </c>
      <c r="B91" s="336" t="n">
        <v>0.4</v>
      </c>
      <c r="C91" s="262" t="n">
        <v>0.4</v>
      </c>
      <c r="D91" s="262" t="n">
        <v>0.4</v>
      </c>
      <c r="E91" s="262" t="n">
        <v>0.4</v>
      </c>
      <c r="F91" s="262" t="n">
        <v>0.4</v>
      </c>
      <c r="G91" s="262" t="n">
        <v>0.4</v>
      </c>
      <c r="H91" s="262" t="n">
        <v>0.4</v>
      </c>
      <c r="I91" s="263" t="n">
        <v>0.5</v>
      </c>
    </row>
    <row r="92" ht="15.75" customHeight="1" s="226">
      <c r="A92" s="352" t="inlineStr">
        <is>
          <t>Камчатский край</t>
        </is>
      </c>
      <c r="B92" s="336" t="n">
        <v>0.3</v>
      </c>
      <c r="C92" s="262" t="n">
        <v>0.3</v>
      </c>
      <c r="D92" s="262" t="n">
        <v>0.3</v>
      </c>
      <c r="E92" s="262" t="n">
        <v>0.3</v>
      </c>
      <c r="F92" s="262" t="n">
        <v>0.3</v>
      </c>
      <c r="G92" s="262" t="n">
        <v>0.3</v>
      </c>
      <c r="H92" s="262" t="n">
        <v>0.3</v>
      </c>
      <c r="I92" s="263" t="n">
        <v>0.3</v>
      </c>
    </row>
    <row r="93" ht="15.75" customHeight="1" s="226">
      <c r="A93" s="352" t="inlineStr">
        <is>
          <t>Приморский край</t>
        </is>
      </c>
      <c r="B93" s="336" t="n">
        <v>1.2</v>
      </c>
      <c r="C93" s="262" t="n">
        <v>1.1</v>
      </c>
      <c r="D93" s="262" t="n">
        <v>1.1</v>
      </c>
      <c r="E93" s="262" t="n">
        <v>1.1</v>
      </c>
      <c r="F93" s="262" t="n">
        <v>1.2</v>
      </c>
      <c r="G93" s="262" t="n">
        <v>1.1</v>
      </c>
      <c r="H93" s="262" t="n">
        <v>1.1</v>
      </c>
      <c r="I93" s="263" t="n">
        <v>1.2</v>
      </c>
    </row>
    <row r="94" ht="15.75" customHeight="1" s="226">
      <c r="A94" s="352" t="inlineStr">
        <is>
          <t>Хабаровский край</t>
        </is>
      </c>
      <c r="B94" s="336" t="n">
        <v>0.9</v>
      </c>
      <c r="C94" s="262" t="n">
        <v>0.9</v>
      </c>
      <c r="D94" s="262" t="n">
        <v>0.8</v>
      </c>
      <c r="E94" s="262" t="n">
        <v>0.8</v>
      </c>
      <c r="F94" s="262" t="n">
        <v>0.9</v>
      </c>
      <c r="G94" s="262" t="n">
        <v>0.8</v>
      </c>
      <c r="H94" s="262" t="n">
        <v>0.8</v>
      </c>
      <c r="I94" s="263" t="n">
        <v>0.8</v>
      </c>
    </row>
    <row r="95" ht="15.75" customHeight="1" s="226">
      <c r="A95" s="352" t="inlineStr">
        <is>
          <t>Амурская область</t>
        </is>
      </c>
      <c r="B95" s="336" t="n">
        <v>0.4</v>
      </c>
      <c r="C95" s="262" t="n">
        <v>0.4</v>
      </c>
      <c r="D95" s="262" t="n">
        <v>0.4</v>
      </c>
      <c r="E95" s="262" t="n">
        <v>0.4</v>
      </c>
      <c r="F95" s="262" t="n">
        <v>0.5</v>
      </c>
      <c r="G95" s="262" t="n">
        <v>0.4</v>
      </c>
      <c r="H95" s="262" t="n">
        <v>0.4</v>
      </c>
      <c r="I95" s="263" t="n">
        <v>0.5</v>
      </c>
    </row>
    <row r="96" ht="15.75" customHeight="1" s="226">
      <c r="A96" s="352" t="inlineStr">
        <is>
          <t>Магаданская область</t>
        </is>
      </c>
      <c r="B96" s="336" t="n">
        <v>0.2</v>
      </c>
      <c r="C96" s="262" t="n">
        <v>0.2</v>
      </c>
      <c r="D96" s="262" t="n">
        <v>0.2</v>
      </c>
      <c r="E96" s="273" t="n">
        <v>0.2</v>
      </c>
      <c r="F96" s="262" t="n">
        <v>0.3</v>
      </c>
      <c r="G96" s="262" t="n">
        <v>0.3</v>
      </c>
      <c r="H96" s="262" t="n">
        <v>0.2</v>
      </c>
      <c r="I96" s="274" t="n">
        <v>0.3</v>
      </c>
    </row>
    <row r="97" ht="15.75" customHeight="1" s="226">
      <c r="A97" s="352" t="inlineStr">
        <is>
          <t>Сахалинская область</t>
        </is>
      </c>
      <c r="B97" s="336" t="n">
        <v>1</v>
      </c>
      <c r="C97" s="262" t="n">
        <v>1</v>
      </c>
      <c r="D97" s="262" t="n">
        <v>1.2</v>
      </c>
      <c r="E97" s="262" t="n">
        <v>1.2</v>
      </c>
      <c r="F97" s="262" t="n">
        <v>1.1</v>
      </c>
      <c r="G97" s="262" t="n">
        <v>1</v>
      </c>
      <c r="H97" s="262" t="n">
        <v>1.2</v>
      </c>
      <c r="I97" s="263" t="n">
        <v>1</v>
      </c>
    </row>
    <row r="98" ht="15.75" customHeight="1" s="226">
      <c r="A98" s="352" t="inlineStr">
        <is>
          <t>Еврейская автономная область</t>
        </is>
      </c>
      <c r="B98" s="336" t="n">
        <v>0.1</v>
      </c>
      <c r="C98" s="262" t="n">
        <v>0.1</v>
      </c>
      <c r="D98" s="262" t="n">
        <v>0.1</v>
      </c>
      <c r="E98" s="262" t="n">
        <v>0.1</v>
      </c>
      <c r="F98" s="262" t="n">
        <v>0.1</v>
      </c>
      <c r="G98" s="262" t="n">
        <v>0.1</v>
      </c>
      <c r="H98" s="262" t="n">
        <v>0.1</v>
      </c>
      <c r="I98" s="263" t="n">
        <v>0.1</v>
      </c>
    </row>
    <row r="99" ht="15.75" customHeight="1" s="226">
      <c r="A99" s="352" t="inlineStr">
        <is>
          <t>Чукотский автономный округ</t>
        </is>
      </c>
      <c r="B99" s="344" t="n">
        <v>0.1</v>
      </c>
      <c r="C99" s="265" t="n">
        <v>0.1</v>
      </c>
      <c r="D99" s="265" t="n">
        <v>0.1</v>
      </c>
      <c r="E99" s="273" t="n">
        <v>0.1</v>
      </c>
      <c r="F99" s="265" t="n">
        <v>0.1</v>
      </c>
      <c r="G99" s="265" t="n">
        <v>0.1</v>
      </c>
      <c r="H99" s="265" t="n">
        <v>0.1</v>
      </c>
      <c r="I99" s="266" t="n">
        <v>0.1</v>
      </c>
    </row>
    <row r="100" ht="15.75" customFormat="1" customHeight="1" s="345">
      <c r="A100" s="355" t="n"/>
      <c r="B100" s="356" t="n"/>
      <c r="C100" s="356" t="n"/>
      <c r="D100" s="356" t="n"/>
      <c r="E100" s="356" t="n"/>
      <c r="F100" s="345" t="n"/>
      <c r="G100" s="345" t="n"/>
      <c r="H100" s="345" t="n"/>
      <c r="I100" s="345" t="n"/>
      <c r="J100" s="345" t="n"/>
      <c r="K100" s="345" t="n"/>
      <c r="L100" s="345" t="n"/>
      <c r="M100" s="345" t="n"/>
      <c r="N100" s="345" t="n"/>
      <c r="O100" s="345" t="n"/>
      <c r="P100" s="345" t="n"/>
      <c r="Q100" s="345" t="n"/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4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316" t="n"/>
      <c r="G102" s="316" t="n"/>
      <c r="H102" s="316" t="n"/>
      <c r="I102" s="316" t="n"/>
      <c r="J102" s="316" t="n"/>
      <c r="K102" s="316" t="n"/>
    </row>
  </sheetData>
  <mergeCells count="4">
    <mergeCell ref="A2:E2"/>
    <mergeCell ref="A102:E102"/>
    <mergeCell ref="A100:E100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1484375" defaultRowHeight="15.75" customHeight="0" zeroHeight="0" outlineLevelRow="0"/>
  <cols>
    <col width="41.29" customWidth="1" style="225" min="1" max="1"/>
    <col width="8.15" customWidth="1" style="225" min="2" max="2"/>
    <col width="8.15" customWidth="1" style="248" min="3" max="3"/>
    <col width="8.15" customWidth="1" style="225" min="4" max="4"/>
    <col width="8.15" customWidth="1" style="225" min="5" max="5"/>
    <col width="8.15" customWidth="1" style="225" min="6" max="6"/>
    <col width="8.15" customWidth="1" style="225" min="7" max="7"/>
    <col width="8.15" customWidth="1" style="225" min="8" max="9"/>
    <col width="8.15" customWidth="1" style="248" min="10" max="10"/>
    <col width="8.15" customWidth="1" style="225" min="11" max="11"/>
    <col width="8.15" customWidth="1" style="225" min="12" max="12"/>
    <col width="8.15" customWidth="1" style="225" min="13" max="16384"/>
  </cols>
  <sheetData>
    <row r="1" ht="33" customFormat="1" customHeight="1" s="225">
      <c r="A1" s="244" t="inlineStr">
        <is>
          <t xml:space="preserve">          К содержанию</t>
        </is>
      </c>
      <c r="G1" s="225" t="n"/>
    </row>
    <row r="2" ht="45.75" customHeight="1" s="226">
      <c r="A2" s="292" t="inlineStr">
        <is>
          <t>Индексы физического объема валового регионального продукта на душу населения в 2005-2016 гг.
( в процентах к предыдущему году)</t>
        </is>
      </c>
    </row>
    <row r="3" ht="15.75" customHeight="1" s="226">
      <c r="A3" s="319" t="n"/>
      <c r="B3" s="251" t="n">
        <v>2005</v>
      </c>
      <c r="C3" s="251" t="n">
        <v>2006</v>
      </c>
      <c r="D3" s="251" t="n">
        <v>2007</v>
      </c>
      <c r="E3" s="251" t="n">
        <v>2008</v>
      </c>
      <c r="F3" s="251" t="n">
        <v>2009</v>
      </c>
      <c r="G3" s="251" t="n">
        <v>2010</v>
      </c>
      <c r="H3" s="251" t="n">
        <v>2011</v>
      </c>
      <c r="I3" s="251" t="inlineStr">
        <is>
          <t>20121)</t>
        </is>
      </c>
      <c r="J3" s="251" t="inlineStr">
        <is>
          <t>20131)</t>
        </is>
      </c>
      <c r="K3" s="251" t="inlineStr">
        <is>
          <t>20141)</t>
        </is>
      </c>
      <c r="L3" s="251" t="inlineStr">
        <is>
          <t>20151)</t>
        </is>
      </c>
      <c r="M3" s="251" t="inlineStr">
        <is>
          <t>20161)</t>
        </is>
      </c>
    </row>
    <row r="4" ht="52.2" customHeight="1" s="226">
      <c r="A4" s="319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108</v>
      </c>
      <c r="C4" s="252" t="n">
        <v>108.6</v>
      </c>
      <c r="D4" s="252" t="n">
        <v>108.5</v>
      </c>
      <c r="E4" s="252" t="n">
        <v>105.7</v>
      </c>
      <c r="F4" s="252" t="n">
        <v>92.40000000000001</v>
      </c>
      <c r="G4" s="252" t="n">
        <v>104.6</v>
      </c>
      <c r="H4" s="252" t="n">
        <v>105.3</v>
      </c>
      <c r="I4" s="252" t="n">
        <v>102.840951433237</v>
      </c>
      <c r="J4" s="252" t="n">
        <v>101.497591524193</v>
      </c>
      <c r="K4" s="252" t="n">
        <v>99.4313916338686</v>
      </c>
      <c r="L4" s="252" t="n">
        <v>99.0922629704769</v>
      </c>
      <c r="M4" s="252" t="n">
        <v>100.514107254966</v>
      </c>
      <c r="N4" s="243" t="n"/>
    </row>
    <row r="5" ht="15" customHeight="1" s="226">
      <c r="A5" s="253" t="inlineStr">
        <is>
          <t>Центральный федеральный округ</t>
        </is>
      </c>
      <c r="B5" s="254" t="n">
        <v>109.6</v>
      </c>
      <c r="C5" s="254" t="n">
        <v>109.7</v>
      </c>
      <c r="D5" s="254" t="n">
        <v>108.8</v>
      </c>
      <c r="E5" s="254" t="n">
        <v>107.4</v>
      </c>
      <c r="F5" s="254" t="n">
        <v>89</v>
      </c>
      <c r="G5" s="254" t="n">
        <v>102.8</v>
      </c>
      <c r="H5" s="254" t="n">
        <v>104.5</v>
      </c>
      <c r="I5" s="254" t="n">
        <v>103.103551557385</v>
      </c>
      <c r="J5" s="254" t="n">
        <v>100.947036438742</v>
      </c>
      <c r="K5" s="254" t="n">
        <v>100.169375482503</v>
      </c>
      <c r="L5" s="254" t="n">
        <v>98.6617827357318</v>
      </c>
      <c r="M5" s="254" t="n">
        <v>100.683526242048</v>
      </c>
      <c r="N5" s="243" t="n"/>
    </row>
    <row r="6" ht="15" customHeight="1" s="226">
      <c r="A6" s="255" t="inlineStr">
        <is>
          <t>Белгородская область</t>
        </is>
      </c>
      <c r="B6" s="262" t="n">
        <v>107.5</v>
      </c>
      <c r="C6" s="262" t="n">
        <v>111.2</v>
      </c>
      <c r="D6" s="262" t="n">
        <v>112.9</v>
      </c>
      <c r="E6" s="262" t="n">
        <v>111.9</v>
      </c>
      <c r="F6" s="262" t="n">
        <v>101.1</v>
      </c>
      <c r="G6" s="262" t="n">
        <v>109.6</v>
      </c>
      <c r="H6" s="262" t="n">
        <v>110.9</v>
      </c>
      <c r="I6" s="262" t="n">
        <v>105.171766171821</v>
      </c>
      <c r="J6" s="262" t="n">
        <v>102.702554535296</v>
      </c>
      <c r="K6" s="262" t="n">
        <v>102.538692308835</v>
      </c>
      <c r="L6" s="262" t="n">
        <v>102.771104618253</v>
      </c>
      <c r="M6" s="263" t="n">
        <v>103.209763669066</v>
      </c>
      <c r="N6" s="243" t="n"/>
    </row>
    <row r="7" ht="15" customHeight="1" s="226">
      <c r="A7" s="260" t="inlineStr">
        <is>
          <t>Брянская область</t>
        </is>
      </c>
      <c r="B7" s="262" t="n">
        <v>107.2</v>
      </c>
      <c r="C7" s="262" t="n">
        <v>108.2</v>
      </c>
      <c r="D7" s="262" t="n">
        <v>112.4</v>
      </c>
      <c r="E7" s="262" t="n">
        <v>106.9</v>
      </c>
      <c r="F7" s="262" t="n">
        <v>91.8</v>
      </c>
      <c r="G7" s="262" t="n">
        <v>105.2</v>
      </c>
      <c r="H7" s="262" t="n">
        <v>109.2</v>
      </c>
      <c r="I7" s="262" t="n">
        <v>109.293837835174</v>
      </c>
      <c r="J7" s="262" t="n">
        <v>101.936495214255</v>
      </c>
      <c r="K7" s="262" t="n">
        <v>104.422570701911</v>
      </c>
      <c r="L7" s="262" t="n">
        <v>102.220525968256</v>
      </c>
      <c r="M7" s="263" t="n">
        <v>100.804726237723</v>
      </c>
      <c r="N7" s="243" t="n"/>
    </row>
    <row r="8" ht="15" customHeight="1" s="226">
      <c r="A8" s="260" t="inlineStr">
        <is>
          <t>Владимирская область</t>
        </is>
      </c>
      <c r="B8" s="262" t="n">
        <v>101</v>
      </c>
      <c r="C8" s="262" t="n">
        <v>108</v>
      </c>
      <c r="D8" s="262" t="n">
        <v>114.8</v>
      </c>
      <c r="E8" s="262" t="n">
        <v>101.8</v>
      </c>
      <c r="F8" s="262" t="n">
        <v>95.40000000000001</v>
      </c>
      <c r="G8" s="262" t="n">
        <v>107.3</v>
      </c>
      <c r="H8" s="262" t="n">
        <v>103.5</v>
      </c>
      <c r="I8" s="262" t="n">
        <v>102.777770376828</v>
      </c>
      <c r="J8" s="262" t="n">
        <v>101.947310760686</v>
      </c>
      <c r="K8" s="262" t="n">
        <v>101.258077563948</v>
      </c>
      <c r="L8" s="262" t="n">
        <v>98.8421958658756</v>
      </c>
      <c r="M8" s="263" t="n">
        <v>101.041443233409</v>
      </c>
      <c r="N8" s="243" t="n"/>
    </row>
    <row r="9" ht="15" customHeight="1" s="226">
      <c r="A9" s="260" t="inlineStr">
        <is>
          <t>Воронежская область</t>
        </is>
      </c>
      <c r="B9" s="262" t="n">
        <v>106.4</v>
      </c>
      <c r="C9" s="262" t="n">
        <v>107.8</v>
      </c>
      <c r="D9" s="262" t="n">
        <v>113.2</v>
      </c>
      <c r="E9" s="262" t="n">
        <v>108.3</v>
      </c>
      <c r="F9" s="262" t="n">
        <v>96.5</v>
      </c>
      <c r="G9" s="262" t="n">
        <v>101.3</v>
      </c>
      <c r="H9" s="262" t="n">
        <v>111.5</v>
      </c>
      <c r="I9" s="262" t="n">
        <v>109.344276487511</v>
      </c>
      <c r="J9" s="262" t="n">
        <v>102.196407715926</v>
      </c>
      <c r="K9" s="262" t="n">
        <v>105.820936704371</v>
      </c>
      <c r="L9" s="262" t="n">
        <v>100.344194842569</v>
      </c>
      <c r="M9" s="263" t="n">
        <v>101.248317419377</v>
      </c>
      <c r="N9" s="243" t="n"/>
    </row>
    <row r="10" ht="15" customHeight="1" s="226">
      <c r="A10" s="260" t="inlineStr">
        <is>
          <t>Ивановская область</t>
        </is>
      </c>
      <c r="B10" s="262" t="n">
        <v>106.2</v>
      </c>
      <c r="C10" s="262" t="n">
        <v>108.3</v>
      </c>
      <c r="D10" s="262" t="n">
        <v>113.3</v>
      </c>
      <c r="E10" s="262" t="n">
        <v>100.6</v>
      </c>
      <c r="F10" s="262" t="n">
        <v>93.8</v>
      </c>
      <c r="G10" s="262" t="n">
        <v>102.5</v>
      </c>
      <c r="H10" s="262" t="n">
        <v>101.2</v>
      </c>
      <c r="I10" s="262" t="n">
        <v>97.3669285758068</v>
      </c>
      <c r="J10" s="262" t="n">
        <v>106.145465660196</v>
      </c>
      <c r="K10" s="262" t="n">
        <v>90.8578424059945</v>
      </c>
      <c r="L10" s="262" t="n">
        <v>102.465039048209</v>
      </c>
      <c r="M10" s="263" t="n">
        <v>97.53446257369561</v>
      </c>
      <c r="N10" s="243" t="n"/>
    </row>
    <row r="11" ht="15" customHeight="1" s="226">
      <c r="A11" s="260" t="inlineStr">
        <is>
          <t>Калужская область</t>
        </is>
      </c>
      <c r="B11" s="262" t="n">
        <v>106</v>
      </c>
      <c r="C11" s="262" t="n">
        <v>107.1</v>
      </c>
      <c r="D11" s="262" t="n">
        <v>112.9</v>
      </c>
      <c r="E11" s="262" t="n">
        <v>116</v>
      </c>
      <c r="F11" s="262" t="n">
        <v>93.7</v>
      </c>
      <c r="G11" s="262" t="n">
        <v>110.4</v>
      </c>
      <c r="H11" s="262" t="n">
        <v>113.2</v>
      </c>
      <c r="I11" s="262" t="n">
        <v>109.196885376538</v>
      </c>
      <c r="J11" s="262" t="n">
        <v>96.8587274290628</v>
      </c>
      <c r="K11" s="262" t="n">
        <v>102.325419191427</v>
      </c>
      <c r="L11" s="262" t="n">
        <v>93.8667148694224</v>
      </c>
      <c r="M11" s="263" t="n">
        <v>101.945841281478</v>
      </c>
      <c r="N11" s="243" t="n"/>
    </row>
    <row r="12" ht="15" customHeight="1" s="226">
      <c r="A12" s="260" t="inlineStr">
        <is>
          <t>Костромская область</t>
        </is>
      </c>
      <c r="B12" s="262" t="n">
        <v>105.3</v>
      </c>
      <c r="C12" s="262" t="n">
        <v>108.1</v>
      </c>
      <c r="D12" s="262" t="n">
        <v>107.8</v>
      </c>
      <c r="E12" s="262" t="n">
        <v>104.8</v>
      </c>
      <c r="F12" s="262" t="n">
        <v>90.90000000000001</v>
      </c>
      <c r="G12" s="262" t="n">
        <v>107.2</v>
      </c>
      <c r="H12" s="262" t="n">
        <v>104.7</v>
      </c>
      <c r="I12" s="262" t="n">
        <v>105.318997868293</v>
      </c>
      <c r="J12" s="262" t="n">
        <v>103.335717902094</v>
      </c>
      <c r="K12" s="262" t="n">
        <v>101.365706573743</v>
      </c>
      <c r="L12" s="262" t="n">
        <v>99.59694105164731</v>
      </c>
      <c r="M12" s="263" t="n">
        <v>97.8984956768022</v>
      </c>
      <c r="N12" s="243" t="n"/>
    </row>
    <row r="13" ht="15" customHeight="1" s="226">
      <c r="A13" s="260" t="inlineStr">
        <is>
          <t>Курская область</t>
        </is>
      </c>
      <c r="B13" s="262" t="n">
        <v>106.1</v>
      </c>
      <c r="C13" s="262" t="n">
        <v>106.7</v>
      </c>
      <c r="D13" s="262" t="n">
        <v>110.5</v>
      </c>
      <c r="E13" s="262" t="n">
        <v>104.9</v>
      </c>
      <c r="F13" s="262" t="n">
        <v>96.7</v>
      </c>
      <c r="G13" s="262" t="n">
        <v>103.8</v>
      </c>
      <c r="H13" s="262" t="n">
        <v>109.1</v>
      </c>
      <c r="I13" s="262" t="n">
        <v>105.049187966742</v>
      </c>
      <c r="J13" s="262" t="n">
        <v>104.372743132596</v>
      </c>
      <c r="K13" s="262" t="n">
        <v>104.63780153941</v>
      </c>
      <c r="L13" s="262" t="n">
        <v>102.890966973315</v>
      </c>
      <c r="M13" s="263" t="n">
        <v>103.678131751342</v>
      </c>
      <c r="N13" s="243" t="n"/>
    </row>
    <row r="14" ht="15" customHeight="1" s="226">
      <c r="A14" s="260" t="inlineStr">
        <is>
          <t>Липецкая область</t>
        </is>
      </c>
      <c r="B14" s="262" t="n">
        <v>102.2</v>
      </c>
      <c r="C14" s="262" t="n">
        <v>108.5</v>
      </c>
      <c r="D14" s="262" t="n">
        <v>108.3</v>
      </c>
      <c r="E14" s="262" t="n">
        <v>104</v>
      </c>
      <c r="F14" s="262" t="n">
        <v>93.90000000000001</v>
      </c>
      <c r="G14" s="262" t="n">
        <v>104.4</v>
      </c>
      <c r="H14" s="262" t="n">
        <v>105.3</v>
      </c>
      <c r="I14" s="262" t="n">
        <v>102.042363717517</v>
      </c>
      <c r="J14" s="262" t="n">
        <v>103.485109958561</v>
      </c>
      <c r="K14" s="262" t="n">
        <v>105.113248399014</v>
      </c>
      <c r="L14" s="262" t="n">
        <v>100.962425530821</v>
      </c>
      <c r="M14" s="263" t="n">
        <v>101.453896787558</v>
      </c>
      <c r="N14" s="243" t="n"/>
    </row>
    <row r="15" ht="15" customHeight="1" s="226">
      <c r="A15" s="260" t="inlineStr">
        <is>
          <t>Московская область</t>
        </is>
      </c>
      <c r="B15" s="262" t="n">
        <v>106.7</v>
      </c>
      <c r="C15" s="262" t="n">
        <v>107.8</v>
      </c>
      <c r="D15" s="262" t="n">
        <v>109.6</v>
      </c>
      <c r="E15" s="262" t="n">
        <v>107.3</v>
      </c>
      <c r="F15" s="262" t="n">
        <v>89.59999999999999</v>
      </c>
      <c r="G15" s="262" t="n">
        <v>106.5</v>
      </c>
      <c r="H15" s="262" t="n">
        <v>106.8</v>
      </c>
      <c r="I15" s="262" t="n">
        <v>102.799340170601</v>
      </c>
      <c r="J15" s="262" t="n">
        <v>100.30764510483</v>
      </c>
      <c r="K15" s="262" t="n">
        <v>98.2491599769577</v>
      </c>
      <c r="L15" s="262" t="n">
        <v>100.70327071327</v>
      </c>
      <c r="M15" s="263" t="n">
        <v>101.375238056456</v>
      </c>
      <c r="N15" s="243" t="n"/>
    </row>
    <row r="16" ht="15" customHeight="1" s="226">
      <c r="A16" s="260" t="inlineStr">
        <is>
          <t>Орловская область</t>
        </is>
      </c>
      <c r="B16" s="262" t="n">
        <v>109.5</v>
      </c>
      <c r="C16" s="262" t="n">
        <v>105.4</v>
      </c>
      <c r="D16" s="262" t="n">
        <v>107.1</v>
      </c>
      <c r="E16" s="262" t="n">
        <v>107.2</v>
      </c>
      <c r="F16" s="262" t="n">
        <v>86.5</v>
      </c>
      <c r="G16" s="262" t="n">
        <v>104.2</v>
      </c>
      <c r="H16" s="262" t="n">
        <v>114.2</v>
      </c>
      <c r="I16" s="262" t="n">
        <v>104.599901159861</v>
      </c>
      <c r="J16" s="262" t="n">
        <v>102.594223582612</v>
      </c>
      <c r="K16" s="262" t="n">
        <v>102.150514204735</v>
      </c>
      <c r="L16" s="262" t="n">
        <v>103.140380743085</v>
      </c>
      <c r="M16" s="263" t="n">
        <v>98.623445309945</v>
      </c>
      <c r="N16" s="243" t="n"/>
    </row>
    <row r="17" ht="15" customHeight="1" s="226">
      <c r="A17" s="260" t="inlineStr">
        <is>
          <t>Рязанская область</t>
        </is>
      </c>
      <c r="B17" s="262" t="n">
        <v>106.7</v>
      </c>
      <c r="C17" s="262" t="n">
        <v>108.8</v>
      </c>
      <c r="D17" s="262" t="n">
        <v>105</v>
      </c>
      <c r="E17" s="262" t="n">
        <v>104.4</v>
      </c>
      <c r="F17" s="262" t="n">
        <v>94.09999999999999</v>
      </c>
      <c r="G17" s="262" t="n">
        <v>105.2</v>
      </c>
      <c r="H17" s="262" t="n">
        <v>109.3</v>
      </c>
      <c r="I17" s="262" t="n">
        <v>105.221009510589</v>
      </c>
      <c r="J17" s="262" t="n">
        <v>102.731802082206</v>
      </c>
      <c r="K17" s="262" t="n">
        <v>99.2937973488994</v>
      </c>
      <c r="L17" s="262" t="n">
        <v>98.4580392632345</v>
      </c>
      <c r="M17" s="263" t="n">
        <v>99.37336835140481</v>
      </c>
      <c r="N17" s="243" t="n"/>
    </row>
    <row r="18" ht="15" customHeight="1" s="226">
      <c r="A18" s="260" t="inlineStr">
        <is>
          <t>Смоленская область</t>
        </is>
      </c>
      <c r="B18" s="262" t="n">
        <v>105.7</v>
      </c>
      <c r="C18" s="262" t="n">
        <v>106.9</v>
      </c>
      <c r="D18" s="262" t="n">
        <v>109.9</v>
      </c>
      <c r="E18" s="262" t="n">
        <v>108.5</v>
      </c>
      <c r="F18" s="262" t="n">
        <v>96.2</v>
      </c>
      <c r="G18" s="262" t="n">
        <v>108.4</v>
      </c>
      <c r="H18" s="262" t="n">
        <v>105.3</v>
      </c>
      <c r="I18" s="262" t="n">
        <v>104.844193937976</v>
      </c>
      <c r="J18" s="262" t="n">
        <v>105.413019424128</v>
      </c>
      <c r="K18" s="262" t="n">
        <v>101.16925316968</v>
      </c>
      <c r="L18" s="262" t="n">
        <v>99.7992815533573</v>
      </c>
      <c r="M18" s="263" t="n">
        <v>98.5044418016285</v>
      </c>
      <c r="N18" s="243" t="n"/>
    </row>
    <row r="19" ht="15" customHeight="1" s="226">
      <c r="A19" s="260" t="inlineStr">
        <is>
          <t>Тамбовская область</t>
        </is>
      </c>
      <c r="B19" s="262" t="n">
        <v>105.6</v>
      </c>
      <c r="C19" s="262" t="n">
        <v>108.3</v>
      </c>
      <c r="D19" s="262" t="n">
        <v>111.6</v>
      </c>
      <c r="E19" s="262" t="n">
        <v>106.8</v>
      </c>
      <c r="F19" s="262" t="n">
        <v>100.4</v>
      </c>
      <c r="G19" s="262" t="n">
        <v>97.8</v>
      </c>
      <c r="H19" s="262" t="n">
        <v>113.7</v>
      </c>
      <c r="I19" s="262" t="n">
        <v>109.621913999066</v>
      </c>
      <c r="J19" s="262" t="n">
        <v>109.897355474587</v>
      </c>
      <c r="K19" s="262" t="n">
        <v>106.367359617009</v>
      </c>
      <c r="L19" s="262" t="n">
        <v>107.852274944265</v>
      </c>
      <c r="M19" s="263" t="n">
        <v>96.1133880380297</v>
      </c>
      <c r="N19" s="243" t="n"/>
    </row>
    <row r="20" ht="15" customHeight="1" s="226">
      <c r="A20" s="260" t="inlineStr">
        <is>
          <t>Тверская область</t>
        </is>
      </c>
      <c r="B20" s="262" t="n">
        <v>103.1</v>
      </c>
      <c r="C20" s="262" t="n">
        <v>112</v>
      </c>
      <c r="D20" s="262" t="n">
        <v>108.8</v>
      </c>
      <c r="E20" s="262" t="n">
        <v>108.3</v>
      </c>
      <c r="F20" s="262" t="n">
        <v>92.2</v>
      </c>
      <c r="G20" s="262" t="n">
        <v>104.3</v>
      </c>
      <c r="H20" s="262" t="n">
        <v>106.7</v>
      </c>
      <c r="I20" s="262" t="n">
        <v>100.627941020346</v>
      </c>
      <c r="J20" s="262" t="n">
        <v>101.672880286958</v>
      </c>
      <c r="K20" s="262" t="n">
        <v>99.64023724184371</v>
      </c>
      <c r="L20" s="262" t="n">
        <v>100.207542606416</v>
      </c>
      <c r="M20" s="263" t="n">
        <v>102.2434208348</v>
      </c>
      <c r="N20" s="243" t="n"/>
    </row>
    <row r="21" ht="15" customHeight="1" s="226">
      <c r="A21" s="260" t="inlineStr">
        <is>
          <t>Тульская область</t>
        </is>
      </c>
      <c r="B21" s="262" t="n">
        <v>107.6</v>
      </c>
      <c r="C21" s="262" t="n">
        <v>110.2</v>
      </c>
      <c r="D21" s="262" t="n">
        <v>113</v>
      </c>
      <c r="E21" s="262" t="n">
        <v>108.2</v>
      </c>
      <c r="F21" s="262" t="n">
        <v>93.8</v>
      </c>
      <c r="G21" s="262" t="n">
        <v>104.4</v>
      </c>
      <c r="H21" s="262" t="n">
        <v>105.9</v>
      </c>
      <c r="I21" s="262" t="n">
        <v>102.721645905696</v>
      </c>
      <c r="J21" s="262" t="n">
        <v>104.801076462728</v>
      </c>
      <c r="K21" s="262" t="n">
        <v>106.063546030821</v>
      </c>
      <c r="L21" s="262" t="n">
        <v>105.705007433494</v>
      </c>
      <c r="M21" s="263" t="n">
        <v>104.15046046155</v>
      </c>
      <c r="N21" s="243" t="n"/>
    </row>
    <row r="22" ht="15" customHeight="1" s="226">
      <c r="A22" s="260" t="inlineStr">
        <is>
          <t>Ярославская область</t>
        </is>
      </c>
      <c r="B22" s="262" t="n">
        <v>107.3</v>
      </c>
      <c r="C22" s="262" t="n">
        <v>111.7</v>
      </c>
      <c r="D22" s="262" t="n">
        <v>107.4</v>
      </c>
      <c r="E22" s="262" t="n">
        <v>101.6</v>
      </c>
      <c r="F22" s="262" t="n">
        <v>92.40000000000001</v>
      </c>
      <c r="G22" s="262" t="n">
        <v>103.6</v>
      </c>
      <c r="H22" s="262" t="n">
        <v>107.4</v>
      </c>
      <c r="I22" s="262" t="n">
        <v>104.732516439187</v>
      </c>
      <c r="J22" s="262" t="n">
        <v>102.731039551011</v>
      </c>
      <c r="K22" s="262" t="n">
        <v>102.061610608149</v>
      </c>
      <c r="L22" s="262" t="n">
        <v>100.551999917652</v>
      </c>
      <c r="M22" s="263" t="n">
        <v>101.395174915271</v>
      </c>
      <c r="N22" s="243" t="n"/>
    </row>
    <row r="23" ht="15" customHeight="1" s="226">
      <c r="A23" s="260" t="inlineStr">
        <is>
          <t>г.Москва</t>
        </is>
      </c>
      <c r="B23" s="262" t="n">
        <v>110.5</v>
      </c>
      <c r="C23" s="262" t="n">
        <v>108.8</v>
      </c>
      <c r="D23" s="262" t="n">
        <v>107</v>
      </c>
      <c r="E23" s="262" t="n">
        <v>106.7</v>
      </c>
      <c r="F23" s="262" t="n">
        <v>86.40000000000001</v>
      </c>
      <c r="G23" s="262" t="n">
        <v>100.3</v>
      </c>
      <c r="H23" s="262" t="n">
        <v>101.8</v>
      </c>
      <c r="I23" s="262" t="n">
        <v>101.649215536804</v>
      </c>
      <c r="J23" s="262" t="n">
        <v>99.4454486728357</v>
      </c>
      <c r="K23" s="262" t="n">
        <v>98.8196381103853</v>
      </c>
      <c r="L23" s="262" t="n">
        <v>96.5581825554915</v>
      </c>
      <c r="M23" s="263" t="n">
        <v>99.7931325212006</v>
      </c>
      <c r="N23" s="243" t="n"/>
    </row>
    <row r="24" ht="15" customFormat="1" customHeight="1" s="318">
      <c r="A24" s="253" t="inlineStr">
        <is>
          <t>Северо-Западный федеральный округ</t>
        </is>
      </c>
      <c r="B24" s="254" t="n">
        <v>107.1</v>
      </c>
      <c r="C24" s="254" t="n">
        <v>108.2</v>
      </c>
      <c r="D24" s="254" t="n">
        <v>109.3</v>
      </c>
      <c r="E24" s="254" t="n">
        <v>104.9</v>
      </c>
      <c r="F24" s="254" t="n">
        <v>95</v>
      </c>
      <c r="G24" s="254" t="n">
        <v>104.3</v>
      </c>
      <c r="H24" s="254" t="n">
        <v>105.9</v>
      </c>
      <c r="I24" s="254" t="n">
        <v>103.442133278407</v>
      </c>
      <c r="J24" s="254" t="n">
        <v>99.7938307834107</v>
      </c>
      <c r="K24" s="254" t="n">
        <v>100.45192422324</v>
      </c>
      <c r="L24" s="254" t="n">
        <v>101.312260407601</v>
      </c>
      <c r="M24" s="254" t="n">
        <v>101.515376950059</v>
      </c>
      <c r="N24" s="243" t="n"/>
    </row>
    <row r="25" ht="15" customHeight="1" s="226">
      <c r="A25" s="260" t="inlineStr">
        <is>
          <t>Республика Карелия</t>
        </is>
      </c>
      <c r="B25" s="262" t="n">
        <v>109</v>
      </c>
      <c r="C25" s="262" t="n">
        <v>107</v>
      </c>
      <c r="D25" s="262" t="n">
        <v>109.8</v>
      </c>
      <c r="E25" s="262" t="n">
        <v>96.3</v>
      </c>
      <c r="F25" s="262" t="n">
        <v>88.3</v>
      </c>
      <c r="G25" s="262" t="n">
        <v>105.3</v>
      </c>
      <c r="H25" s="262" t="n">
        <v>102.9</v>
      </c>
      <c r="I25" s="262" t="n">
        <v>102.858002776125</v>
      </c>
      <c r="J25" s="262" t="n">
        <v>102.250690624421</v>
      </c>
      <c r="K25" s="262" t="n">
        <v>101.586119270989</v>
      </c>
      <c r="L25" s="262" t="n">
        <v>102.040364247158</v>
      </c>
      <c r="M25" s="263" t="n">
        <v>101.943419202558</v>
      </c>
      <c r="N25" s="243" t="n"/>
    </row>
    <row r="26" ht="15" customHeight="1" s="226">
      <c r="A26" s="260" t="inlineStr">
        <is>
          <t>Республика Коми</t>
        </is>
      </c>
      <c r="B26" s="262" t="n">
        <v>106</v>
      </c>
      <c r="C26" s="262" t="n">
        <v>110.8</v>
      </c>
      <c r="D26" s="262" t="n">
        <v>101.1</v>
      </c>
      <c r="E26" s="262" t="n">
        <v>104.6</v>
      </c>
      <c r="F26" s="262" t="n">
        <v>99.7</v>
      </c>
      <c r="G26" s="262" t="n">
        <v>104</v>
      </c>
      <c r="H26" s="262" t="n">
        <v>107</v>
      </c>
      <c r="I26" s="262" t="n">
        <v>103.663190984633</v>
      </c>
      <c r="J26" s="262" t="n">
        <v>98.44177077953201</v>
      </c>
      <c r="K26" s="262" t="n">
        <v>97.3484751274129</v>
      </c>
      <c r="L26" s="262" t="n">
        <v>99.9572266555646</v>
      </c>
      <c r="M26" s="263" t="n">
        <v>100.100497928559</v>
      </c>
      <c r="N26" s="243" t="n"/>
    </row>
    <row r="27" ht="15" customHeight="1" s="226">
      <c r="A27" s="260" t="inlineStr">
        <is>
          <t>Архангельская область</t>
        </is>
      </c>
      <c r="B27" s="262" t="n">
        <v>110.4</v>
      </c>
      <c r="C27" s="262" t="n">
        <v>108.6</v>
      </c>
      <c r="D27" s="262" t="n">
        <v>113.3</v>
      </c>
      <c r="E27" s="262" t="n">
        <v>100.8</v>
      </c>
      <c r="F27" s="262" t="n">
        <v>103</v>
      </c>
      <c r="G27" s="262" t="n">
        <v>101.7</v>
      </c>
      <c r="H27" s="262" t="n">
        <v>102.7</v>
      </c>
      <c r="I27" s="262" t="n">
        <v>102.340927625385</v>
      </c>
      <c r="J27" s="262" t="n">
        <v>102.840505811412</v>
      </c>
      <c r="K27" s="262" t="n">
        <v>103.65447750726</v>
      </c>
      <c r="L27" s="262" t="n">
        <v>104.932537922033</v>
      </c>
      <c r="M27" s="263" t="n">
        <v>104.227113382994</v>
      </c>
      <c r="N27" s="243" t="n"/>
    </row>
    <row r="28" ht="15" customHeight="1" s="226">
      <c r="A28" s="260" t="inlineStr">
        <is>
          <t xml:space="preserve">  в т.ч. Ненецкий авт. округ</t>
        </is>
      </c>
      <c r="B28" s="262" t="n"/>
      <c r="C28" s="262" t="n"/>
      <c r="D28" s="262" t="n"/>
      <c r="E28" s="262" t="n"/>
      <c r="F28" s="262" t="n"/>
      <c r="G28" s="262" t="n"/>
      <c r="H28" s="262" t="n"/>
      <c r="I28" s="262" t="n">
        <v>94.7268740523124</v>
      </c>
      <c r="J28" s="262" t="n">
        <v>99.3129411764706</v>
      </c>
      <c r="K28" s="262" t="n">
        <v>103.582836315441</v>
      </c>
      <c r="L28" s="262" t="n">
        <v>108.946745617967</v>
      </c>
      <c r="M28" s="263" t="n">
        <v>108.569264875828</v>
      </c>
      <c r="N28" s="243" t="n"/>
    </row>
    <row r="29" ht="15" customHeight="1" s="226">
      <c r="A29" s="260" t="inlineStr">
        <is>
          <t xml:space="preserve">  Архангельская область без Ненецкого авт.округа</t>
        </is>
      </c>
      <c r="B29" s="269" t="n"/>
      <c r="C29" s="269" t="n"/>
      <c r="D29" s="269" t="n"/>
      <c r="E29" s="269" t="n"/>
      <c r="F29" s="269" t="n"/>
      <c r="G29" s="269" t="n"/>
      <c r="H29" s="262" t="n"/>
      <c r="I29" s="262" t="n">
        <v>105.872681993269</v>
      </c>
      <c r="J29" s="262" t="n">
        <v>103.824902730614</v>
      </c>
      <c r="K29" s="262" t="n">
        <v>102.802788108433</v>
      </c>
      <c r="L29" s="262" t="n">
        <v>101.755760043634</v>
      </c>
      <c r="M29" s="263" t="n">
        <v>100.836247060703</v>
      </c>
      <c r="N29" s="243" t="n"/>
    </row>
    <row r="30" ht="15" customHeight="1" s="226">
      <c r="A30" s="260" t="inlineStr">
        <is>
          <t>Вологодская область</t>
        </is>
      </c>
      <c r="B30" s="262" t="n">
        <v>105.3</v>
      </c>
      <c r="C30" s="262" t="n">
        <v>105.6</v>
      </c>
      <c r="D30" s="262" t="n">
        <v>105.7</v>
      </c>
      <c r="E30" s="262" t="n">
        <v>97.2</v>
      </c>
      <c r="F30" s="262" t="n">
        <v>87.5</v>
      </c>
      <c r="G30" s="262" t="n">
        <v>106.2</v>
      </c>
      <c r="H30" s="262" t="n">
        <v>107.3</v>
      </c>
      <c r="I30" s="262" t="n">
        <v>105.030407591331</v>
      </c>
      <c r="J30" s="262" t="n">
        <v>95.9157624939094</v>
      </c>
      <c r="K30" s="262" t="n">
        <v>103.233351961214</v>
      </c>
      <c r="L30" s="262" t="n">
        <v>101.547699761535</v>
      </c>
      <c r="M30" s="263" t="n">
        <v>100.405052381664</v>
      </c>
      <c r="N30" s="243" t="n"/>
    </row>
    <row r="31" ht="15" customHeight="1" s="226">
      <c r="A31" s="260" t="inlineStr">
        <is>
          <t>Калининградская область</t>
        </is>
      </c>
      <c r="B31" s="262" t="n">
        <v>104.2</v>
      </c>
      <c r="C31" s="262" t="n">
        <v>115.8</v>
      </c>
      <c r="D31" s="262" t="n">
        <v>120</v>
      </c>
      <c r="E31" s="262" t="n">
        <v>104.6</v>
      </c>
      <c r="F31" s="262" t="n">
        <v>91.3</v>
      </c>
      <c r="G31" s="262" t="n">
        <v>107.3</v>
      </c>
      <c r="H31" s="262" t="n">
        <v>104.2</v>
      </c>
      <c r="I31" s="262" t="n">
        <v>103.958643583468</v>
      </c>
      <c r="J31" s="262" t="n">
        <v>100.108862223658</v>
      </c>
      <c r="K31" s="262" t="n">
        <v>103.797427240436</v>
      </c>
      <c r="L31" s="262" t="n">
        <v>97.7997651900092</v>
      </c>
      <c r="M31" s="263" t="n">
        <v>101.275709250886</v>
      </c>
      <c r="N31" s="243" t="n"/>
    </row>
    <row r="32" ht="15" customHeight="1" s="226">
      <c r="A32" s="260" t="inlineStr">
        <is>
          <t>Ленинградская область</t>
        </is>
      </c>
      <c r="B32" s="262" t="n">
        <v>109.2</v>
      </c>
      <c r="C32" s="262" t="n">
        <v>110.9</v>
      </c>
      <c r="D32" s="262" t="n">
        <v>106.1</v>
      </c>
      <c r="E32" s="262" t="n">
        <v>105.1</v>
      </c>
      <c r="F32" s="262" t="n">
        <v>99.2</v>
      </c>
      <c r="G32" s="262" t="n">
        <v>104.8</v>
      </c>
      <c r="H32" s="262" t="n">
        <v>105.7</v>
      </c>
      <c r="I32" s="262" t="n">
        <v>104.688691307223</v>
      </c>
      <c r="J32" s="262" t="n">
        <v>97.2992667914538</v>
      </c>
      <c r="K32" s="262" t="n">
        <v>99.07819092438579</v>
      </c>
      <c r="L32" s="262" t="n">
        <v>103.682678058566</v>
      </c>
      <c r="M32" s="263" t="n">
        <v>100.881386248996</v>
      </c>
      <c r="N32" s="243" t="n"/>
    </row>
    <row r="33" ht="15" customHeight="1" s="226">
      <c r="A33" s="260" t="inlineStr">
        <is>
          <t>Мурманская область</t>
        </is>
      </c>
      <c r="B33" s="262" t="n">
        <v>104.4</v>
      </c>
      <c r="C33" s="262" t="n">
        <v>104.7</v>
      </c>
      <c r="D33" s="262" t="n">
        <v>103.8</v>
      </c>
      <c r="E33" s="262" t="n">
        <v>100.9</v>
      </c>
      <c r="F33" s="262" t="n">
        <v>92</v>
      </c>
      <c r="G33" s="262" t="n">
        <v>100.1</v>
      </c>
      <c r="H33" s="262" t="n">
        <v>100.5</v>
      </c>
      <c r="I33" s="262" t="n">
        <v>102.11314818539</v>
      </c>
      <c r="J33" s="262" t="n">
        <v>102.661718377652</v>
      </c>
      <c r="K33" s="262" t="n">
        <v>103.009803937276</v>
      </c>
      <c r="L33" s="262" t="n">
        <v>102.568594629777</v>
      </c>
      <c r="M33" s="263" t="n">
        <v>101.963466320313</v>
      </c>
      <c r="N33" s="243" t="n"/>
    </row>
    <row r="34" ht="15" customHeight="1" s="226">
      <c r="A34" s="260" t="inlineStr">
        <is>
          <t>Новгородская область</t>
        </is>
      </c>
      <c r="B34" s="262" t="n">
        <v>105.2</v>
      </c>
      <c r="C34" s="262" t="n">
        <v>105.4</v>
      </c>
      <c r="D34" s="262" t="n">
        <v>106.6</v>
      </c>
      <c r="E34" s="262" t="n">
        <v>109.2</v>
      </c>
      <c r="F34" s="262" t="n">
        <v>99.90000000000001</v>
      </c>
      <c r="G34" s="262" t="n">
        <v>103.3</v>
      </c>
      <c r="H34" s="262" t="n">
        <v>104.5</v>
      </c>
      <c r="I34" s="262" t="n">
        <v>109.081783837659</v>
      </c>
      <c r="J34" s="262" t="n">
        <v>102.569813637677</v>
      </c>
      <c r="K34" s="262" t="n">
        <v>105.881880808055</v>
      </c>
      <c r="L34" s="262" t="n">
        <v>102.818437533015</v>
      </c>
      <c r="M34" s="263" t="n">
        <v>102.171934991934</v>
      </c>
      <c r="N34" s="243" t="n"/>
    </row>
    <row r="35" ht="15" customHeight="1" s="226">
      <c r="A35" s="260" t="inlineStr">
        <is>
          <t>Псковская область</t>
        </is>
      </c>
      <c r="B35" s="262" t="n">
        <v>102.1</v>
      </c>
      <c r="C35" s="262" t="n">
        <v>106.8</v>
      </c>
      <c r="D35" s="262" t="n">
        <v>107.2</v>
      </c>
      <c r="E35" s="262" t="n">
        <v>104.5</v>
      </c>
      <c r="F35" s="262" t="n">
        <v>95</v>
      </c>
      <c r="G35" s="262" t="n">
        <v>107.1</v>
      </c>
      <c r="H35" s="262" t="n">
        <v>107.7</v>
      </c>
      <c r="I35" s="262" t="n">
        <v>101.079138028722</v>
      </c>
      <c r="J35" s="262" t="n">
        <v>101.545441430384</v>
      </c>
      <c r="K35" s="262" t="n">
        <v>100.545919099328</v>
      </c>
      <c r="L35" s="262" t="n">
        <v>99.0037418862161</v>
      </c>
      <c r="M35" s="263" t="n">
        <v>101.639962341971</v>
      </c>
      <c r="N35" s="243" t="n"/>
    </row>
    <row r="36" ht="15" customHeight="1" s="226">
      <c r="A36" s="260" t="inlineStr">
        <is>
          <t>г.Санкт-Петербург</t>
        </is>
      </c>
      <c r="B36" s="270" t="n">
        <v>107.8</v>
      </c>
      <c r="C36" s="270" t="n">
        <v>107.7</v>
      </c>
      <c r="D36" s="270" t="n">
        <v>112.5</v>
      </c>
      <c r="E36" s="270" t="n">
        <v>108.8</v>
      </c>
      <c r="F36" s="270" t="n">
        <v>93.59999999999999</v>
      </c>
      <c r="G36" s="270" t="n">
        <v>104.5</v>
      </c>
      <c r="H36" s="270" t="n">
        <v>107</v>
      </c>
      <c r="I36" s="270" t="n">
        <v>102.512323321405</v>
      </c>
      <c r="J36" s="270" t="n">
        <v>99.61025693470469</v>
      </c>
      <c r="K36" s="270" t="n">
        <v>99.0255649540285</v>
      </c>
      <c r="L36" s="270" t="n">
        <v>100.104141626932</v>
      </c>
      <c r="M36" s="271" t="n">
        <v>101.069723806265</v>
      </c>
      <c r="N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106.3</v>
      </c>
      <c r="C37" s="254" t="n">
        <v>109</v>
      </c>
      <c r="D37" s="254" t="n">
        <v>110.1</v>
      </c>
      <c r="E37" s="254" t="n">
        <v>108.4</v>
      </c>
      <c r="F37" s="254" t="n">
        <v>92.7</v>
      </c>
      <c r="G37" s="254" t="n">
        <v>105.4</v>
      </c>
      <c r="H37" s="254" t="n">
        <v>106.4</v>
      </c>
      <c r="I37" s="254" t="n">
        <v>103.336569117758</v>
      </c>
      <c r="J37" s="254" t="n">
        <v>103.55287915799</v>
      </c>
      <c r="K37" s="254" t="n">
        <v>87.4761632286656</v>
      </c>
      <c r="L37" s="254" t="n">
        <v>98.8166341667357</v>
      </c>
      <c r="M37" s="254" t="n">
        <v>100.647920802493</v>
      </c>
      <c r="N37" s="243" t="n"/>
    </row>
    <row r="38" ht="15" customHeight="1" s="226">
      <c r="A38" s="260" t="inlineStr">
        <is>
          <t>Республика Адыгея</t>
        </is>
      </c>
      <c r="B38" s="273" t="n">
        <v>108.3</v>
      </c>
      <c r="C38" s="273" t="n">
        <v>107.5</v>
      </c>
      <c r="D38" s="273" t="n">
        <v>116.5</v>
      </c>
      <c r="E38" s="273" t="n">
        <v>113.9</v>
      </c>
      <c r="F38" s="273" t="n">
        <v>105.9</v>
      </c>
      <c r="G38" s="273" t="n">
        <v>104.3</v>
      </c>
      <c r="H38" s="273" t="n">
        <v>105.3</v>
      </c>
      <c r="I38" s="273" t="n">
        <v>104.738479935805</v>
      </c>
      <c r="J38" s="273" t="n">
        <v>101.632986422937</v>
      </c>
      <c r="K38" s="273" t="n">
        <v>102.645458263976</v>
      </c>
      <c r="L38" s="273" t="n">
        <v>99.61702723735409</v>
      </c>
      <c r="M38" s="274" t="n">
        <v>100.818155375521</v>
      </c>
      <c r="N38" s="243" t="n"/>
    </row>
    <row r="39" ht="15" customHeight="1" s="226">
      <c r="A39" s="260" t="inlineStr">
        <is>
          <t>Республика Калмыкия</t>
        </is>
      </c>
      <c r="B39" s="262" t="n">
        <v>106.6</v>
      </c>
      <c r="C39" s="262" t="n">
        <v>103.1</v>
      </c>
      <c r="D39" s="262" t="n">
        <v>103.7</v>
      </c>
      <c r="E39" s="262" t="n">
        <v>102.7</v>
      </c>
      <c r="F39" s="262" t="n">
        <v>101.7</v>
      </c>
      <c r="G39" s="262" t="n">
        <v>96.59999999999999</v>
      </c>
      <c r="H39" s="262" t="n">
        <v>102.7</v>
      </c>
      <c r="I39" s="262" t="n">
        <v>100.936242187747</v>
      </c>
      <c r="J39" s="262" t="n">
        <v>103.525656378244</v>
      </c>
      <c r="K39" s="262" t="n">
        <v>105.417412183288</v>
      </c>
      <c r="L39" s="262" t="n">
        <v>96.4961799502092</v>
      </c>
      <c r="M39" s="263" t="n">
        <v>98.6029789719626</v>
      </c>
      <c r="N39" s="243" t="n"/>
    </row>
    <row r="40" ht="15" customHeight="1" s="226">
      <c r="A40" s="260" t="inlineStr">
        <is>
          <t>Республика Крым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>
        <v>107.372811481229</v>
      </c>
      <c r="M40" s="263" t="n">
        <v>105.255736366239</v>
      </c>
      <c r="N40" s="243" t="n"/>
    </row>
    <row r="41" ht="15" customHeight="1" s="226">
      <c r="A41" s="260" t="inlineStr">
        <is>
          <t>Краснодарский край</t>
        </is>
      </c>
      <c r="B41" s="262" t="n">
        <v>106</v>
      </c>
      <c r="C41" s="262" t="n">
        <v>110.5</v>
      </c>
      <c r="D41" s="262" t="n">
        <v>109.9</v>
      </c>
      <c r="E41" s="262" t="n">
        <v>108.3</v>
      </c>
      <c r="F41" s="262" t="n">
        <v>97.8</v>
      </c>
      <c r="G41" s="262" t="n">
        <v>105.9</v>
      </c>
      <c r="H41" s="262" t="n">
        <v>106.9</v>
      </c>
      <c r="I41" s="262" t="n">
        <v>102.472703307365</v>
      </c>
      <c r="J41" s="262" t="n">
        <v>102.492956213545</v>
      </c>
      <c r="K41" s="262" t="n">
        <v>99.32286205748311</v>
      </c>
      <c r="L41" s="262" t="n">
        <v>97.190441141714</v>
      </c>
      <c r="M41" s="263" t="n">
        <v>98.812738930867</v>
      </c>
      <c r="N41" s="243" t="n"/>
    </row>
    <row r="42" ht="15" customHeight="1" s="226">
      <c r="A42" s="260" t="inlineStr">
        <is>
          <t>Астраханская область</t>
        </is>
      </c>
      <c r="B42" s="262" t="n">
        <v>105.6</v>
      </c>
      <c r="C42" s="262" t="n">
        <v>108.1</v>
      </c>
      <c r="D42" s="262" t="n">
        <v>108.3</v>
      </c>
      <c r="E42" s="262" t="n">
        <v>107.6</v>
      </c>
      <c r="F42" s="262" t="n">
        <v>89.09999999999999</v>
      </c>
      <c r="G42" s="262" t="n">
        <v>102.1</v>
      </c>
      <c r="H42" s="262" t="n">
        <v>107.6</v>
      </c>
      <c r="I42" s="262" t="n">
        <v>111.427674028815</v>
      </c>
      <c r="J42" s="262" t="n">
        <v>116.438416114018</v>
      </c>
      <c r="K42" s="262" t="n">
        <v>100.413682314658</v>
      </c>
      <c r="L42" s="262" t="n">
        <v>99.2689454593864</v>
      </c>
      <c r="M42" s="263" t="n">
        <v>103.194088520604</v>
      </c>
      <c r="N42" s="243" t="n"/>
    </row>
    <row r="43" ht="15" customHeight="1" s="226">
      <c r="A43" s="260" t="inlineStr">
        <is>
          <t>Волгоградская область</t>
        </is>
      </c>
      <c r="B43" s="262" t="n">
        <v>105.8</v>
      </c>
      <c r="C43" s="262" t="n">
        <v>102.2</v>
      </c>
      <c r="D43" s="262" t="n">
        <v>107.3</v>
      </c>
      <c r="E43" s="262" t="n">
        <v>105.9</v>
      </c>
      <c r="F43" s="262" t="n">
        <v>87.2</v>
      </c>
      <c r="G43" s="262" t="n">
        <v>103.9</v>
      </c>
      <c r="H43" s="262" t="n">
        <v>103.7</v>
      </c>
      <c r="I43" s="262" t="n">
        <v>103.133204606717</v>
      </c>
      <c r="J43" s="262" t="n">
        <v>101.750548070605</v>
      </c>
      <c r="K43" s="262" t="n">
        <v>105.061132698882</v>
      </c>
      <c r="L43" s="262" t="n">
        <v>94.08076519318421</v>
      </c>
      <c r="M43" s="263" t="n">
        <v>98.8766791572012</v>
      </c>
      <c r="N43" s="243" t="n"/>
    </row>
    <row r="44" ht="15" customHeight="1" s="226">
      <c r="A44" s="260" t="inlineStr">
        <is>
          <t>Ростовская область</t>
        </is>
      </c>
      <c r="B44" s="262" t="n">
        <v>107.4</v>
      </c>
      <c r="C44" s="262" t="n">
        <v>112.7</v>
      </c>
      <c r="D44" s="262" t="n">
        <v>112.9</v>
      </c>
      <c r="E44" s="262" t="n">
        <v>110.5</v>
      </c>
      <c r="F44" s="262" t="n">
        <v>89.3</v>
      </c>
      <c r="G44" s="262" t="n">
        <v>106.6</v>
      </c>
      <c r="H44" s="262" t="n">
        <v>107.1</v>
      </c>
      <c r="I44" s="262" t="n">
        <v>102.666083665907</v>
      </c>
      <c r="J44" s="262" t="n">
        <v>103.000010660838</v>
      </c>
      <c r="K44" s="262" t="n">
        <v>103.269160107855</v>
      </c>
      <c r="L44" s="262" t="n">
        <v>104.025201342329</v>
      </c>
      <c r="M44" s="263" t="n">
        <v>103.236080632803</v>
      </c>
      <c r="N44" s="243" t="n"/>
    </row>
    <row r="45" ht="15" customHeight="1" s="226">
      <c r="A45" s="260" t="inlineStr">
        <is>
          <t>г.Севастополь</t>
        </is>
      </c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>
        <v>96.5750643251361</v>
      </c>
      <c r="M45" s="263" t="n">
        <v>100.536283723152</v>
      </c>
      <c r="N45" s="243" t="n"/>
    </row>
    <row r="46" ht="15" customHeight="1" s="226">
      <c r="A46" s="253" t="inlineStr">
        <is>
          <t>Северо-Кавказский федеральный округ</t>
        </is>
      </c>
      <c r="B46" s="275" t="n">
        <v>108.2</v>
      </c>
      <c r="C46" s="275" t="n">
        <v>109.8</v>
      </c>
      <c r="D46" s="275" t="n">
        <v>109.2</v>
      </c>
      <c r="E46" s="275" t="n">
        <v>107.3</v>
      </c>
      <c r="F46" s="275" t="n">
        <v>100.3</v>
      </c>
      <c r="G46" s="275" t="n">
        <v>102.6</v>
      </c>
      <c r="H46" s="275" t="n">
        <v>105.8</v>
      </c>
      <c r="I46" s="275" t="n">
        <v>102.661540257563</v>
      </c>
      <c r="J46" s="275" t="n">
        <v>102.890667447664</v>
      </c>
      <c r="K46" s="275" t="n">
        <v>103.787939223038</v>
      </c>
      <c r="L46" s="254" t="n">
        <v>98.96889239265749</v>
      </c>
      <c r="M46" s="254" t="n">
        <v>100.120015860506</v>
      </c>
      <c r="N46" s="243" t="n"/>
    </row>
    <row r="47" ht="15" customHeight="1" s="226">
      <c r="A47" s="260" t="inlineStr">
        <is>
          <t>Республика Дагестан</t>
        </is>
      </c>
      <c r="B47" s="262" t="n">
        <v>107.3</v>
      </c>
      <c r="C47" s="262" t="n">
        <v>113.4</v>
      </c>
      <c r="D47" s="262" t="n">
        <v>114.9</v>
      </c>
      <c r="E47" s="262" t="n">
        <v>110.9</v>
      </c>
      <c r="F47" s="262" t="n">
        <v>107.4</v>
      </c>
      <c r="G47" s="262" t="n">
        <v>102.1</v>
      </c>
      <c r="H47" s="262" t="n">
        <v>106.8</v>
      </c>
      <c r="I47" s="262" t="n">
        <v>103.899098682941</v>
      </c>
      <c r="J47" s="262" t="n">
        <v>105.575492959647</v>
      </c>
      <c r="K47" s="262" t="n">
        <v>105.388691469789</v>
      </c>
      <c r="L47" s="262" t="n">
        <v>97.6616557254263</v>
      </c>
      <c r="M47" s="263" t="n">
        <v>100.461347150191</v>
      </c>
      <c r="N47" s="243" t="n"/>
    </row>
    <row r="48" ht="15" customHeight="1" s="226">
      <c r="A48" s="260" t="inlineStr">
        <is>
          <t>Республика Ингушетия</t>
        </is>
      </c>
      <c r="B48" s="262" t="n">
        <v>106.1</v>
      </c>
      <c r="C48" s="262" t="n">
        <v>103.2</v>
      </c>
      <c r="D48" s="262" t="n">
        <v>128</v>
      </c>
      <c r="E48" s="262" t="n">
        <v>98.09999999999999</v>
      </c>
      <c r="F48" s="262" t="n">
        <v>87.40000000000001</v>
      </c>
      <c r="G48" s="262" t="n">
        <v>101.3</v>
      </c>
      <c r="H48" s="262" t="n">
        <v>106.9</v>
      </c>
      <c r="I48" s="262" t="n">
        <v>111.911827214856</v>
      </c>
      <c r="J48" s="262" t="n">
        <v>111.584609367097</v>
      </c>
      <c r="K48" s="262" t="n">
        <v>103.264125266509</v>
      </c>
      <c r="L48" s="262" t="n">
        <v>95.75748480243161</v>
      </c>
      <c r="M48" s="263" t="n">
        <v>95.7221129970407</v>
      </c>
      <c r="N48" s="243" t="n"/>
    </row>
    <row r="49" ht="15" customHeight="1" s="226">
      <c r="A49" s="260" t="inlineStr">
        <is>
          <t>Кабардино-Балкарская Республика</t>
        </is>
      </c>
      <c r="B49" s="262" t="n">
        <v>109.2</v>
      </c>
      <c r="C49" s="262" t="n">
        <v>106</v>
      </c>
      <c r="D49" s="262" t="n">
        <v>105.3</v>
      </c>
      <c r="E49" s="262" t="n">
        <v>107.9</v>
      </c>
      <c r="F49" s="262" t="n">
        <v>104.1</v>
      </c>
      <c r="G49" s="262" t="n">
        <v>105.4</v>
      </c>
      <c r="H49" s="262" t="n">
        <v>104.1</v>
      </c>
      <c r="I49" s="262" t="n">
        <v>105.483210784314</v>
      </c>
      <c r="J49" s="262" t="n">
        <v>98.47309771252171</v>
      </c>
      <c r="K49" s="262" t="n">
        <v>101.143206000188</v>
      </c>
      <c r="L49" s="262" t="n">
        <v>101.256922314397</v>
      </c>
      <c r="M49" s="263" t="n">
        <v>101.850141678743</v>
      </c>
      <c r="N49" s="243" t="n"/>
    </row>
    <row r="50" ht="15" customHeight="1" s="226">
      <c r="A50" s="260" t="inlineStr">
        <is>
          <t>Карачаево-Черкесская Республика</t>
        </is>
      </c>
      <c r="B50" s="262" t="n">
        <v>106</v>
      </c>
      <c r="C50" s="262" t="n">
        <v>112</v>
      </c>
      <c r="D50" s="262" t="n">
        <v>102.4</v>
      </c>
      <c r="E50" s="262" t="n">
        <v>106.8</v>
      </c>
      <c r="F50" s="262" t="n">
        <v>100.2</v>
      </c>
      <c r="G50" s="262" t="n">
        <v>101.1</v>
      </c>
      <c r="H50" s="262" t="n">
        <v>105.1</v>
      </c>
      <c r="I50" s="262" t="n">
        <v>105.258907025361</v>
      </c>
      <c r="J50" s="262" t="n">
        <v>99.54943024656789</v>
      </c>
      <c r="K50" s="262" t="n">
        <v>98.247164250201</v>
      </c>
      <c r="L50" s="262" t="n">
        <v>95.1673918363612</v>
      </c>
      <c r="M50" s="263" t="n">
        <v>104.379076235686</v>
      </c>
      <c r="N50" s="243" t="n"/>
    </row>
    <row r="51" ht="15" customHeight="1" s="226">
      <c r="A51" s="260" t="inlineStr">
        <is>
          <t>Республика Северная Осетия-Алания</t>
        </is>
      </c>
      <c r="B51" s="262" t="n">
        <v>105.6</v>
      </c>
      <c r="C51" s="262" t="n">
        <v>112.2</v>
      </c>
      <c r="D51" s="262" t="n">
        <v>105.8</v>
      </c>
      <c r="E51" s="262" t="n">
        <v>100.2</v>
      </c>
      <c r="F51" s="262" t="n">
        <v>102.5</v>
      </c>
      <c r="G51" s="262" t="n">
        <v>106.1</v>
      </c>
      <c r="H51" s="262" t="n">
        <v>103.1</v>
      </c>
      <c r="I51" s="262" t="n">
        <v>102.051885499139</v>
      </c>
      <c r="J51" s="262" t="n">
        <v>103.97147468902</v>
      </c>
      <c r="K51" s="262" t="n">
        <v>101.598568033325</v>
      </c>
      <c r="L51" s="262" t="n">
        <v>97.4319541552161</v>
      </c>
      <c r="M51" s="263" t="n">
        <v>95.75407905181071</v>
      </c>
      <c r="N51" s="243" t="n"/>
    </row>
    <row r="52" ht="15" customHeight="1" s="226">
      <c r="A52" s="260" t="inlineStr">
        <is>
          <t>Чеченская Республика</t>
        </is>
      </c>
      <c r="B52" s="262" t="inlineStr">
        <is>
          <t>…</t>
        </is>
      </c>
      <c r="C52" s="262" t="inlineStr">
        <is>
          <t>…</t>
        </is>
      </c>
      <c r="D52" s="262" t="n">
        <v>124</v>
      </c>
      <c r="E52" s="262" t="n">
        <v>108.1</v>
      </c>
      <c r="F52" s="262" t="n">
        <v>88.40000000000001</v>
      </c>
      <c r="G52" s="262" t="n">
        <v>94.3</v>
      </c>
      <c r="H52" s="262" t="n">
        <v>104.6</v>
      </c>
      <c r="I52" s="262" t="n">
        <v>105.057873524899</v>
      </c>
      <c r="J52" s="262" t="n">
        <v>98.5262341079852</v>
      </c>
      <c r="K52" s="262" t="n">
        <v>106.693097357507</v>
      </c>
      <c r="L52" s="262" t="n">
        <v>101.127091385935</v>
      </c>
      <c r="M52" s="263" t="n">
        <v>102.744584055829</v>
      </c>
      <c r="N52" s="243" t="n"/>
    </row>
    <row r="53" ht="15" customFormat="1" customHeight="1" s="318">
      <c r="A53" s="260" t="inlineStr">
        <is>
          <t>Ставропольский край</t>
        </is>
      </c>
      <c r="B53" s="262" t="n">
        <v>108.2</v>
      </c>
      <c r="C53" s="262" t="n">
        <v>108.1</v>
      </c>
      <c r="D53" s="262" t="n">
        <v>104.5</v>
      </c>
      <c r="E53" s="262" t="n">
        <v>107.3</v>
      </c>
      <c r="F53" s="262" t="n">
        <v>97.40000000000001</v>
      </c>
      <c r="G53" s="262" t="n">
        <v>104.2</v>
      </c>
      <c r="H53" s="262" t="n">
        <v>106.5</v>
      </c>
      <c r="I53" s="262" t="n">
        <v>100.109152142173</v>
      </c>
      <c r="J53" s="262" t="n">
        <v>102.257796486908</v>
      </c>
      <c r="K53" s="262" t="n">
        <v>103.739342435337</v>
      </c>
      <c r="L53" s="262" t="n">
        <v>100.366856173622</v>
      </c>
      <c r="M53" s="263" t="n">
        <v>99.89742105821639</v>
      </c>
      <c r="N53" s="243" t="n"/>
    </row>
    <row r="54" ht="15" customHeight="1" s="226">
      <c r="A54" s="253" t="inlineStr">
        <is>
          <t>Приволжский федеральный округ</t>
        </is>
      </c>
      <c r="B54" s="275" t="n">
        <v>105.2</v>
      </c>
      <c r="C54" s="275" t="n">
        <v>108.7</v>
      </c>
      <c r="D54" s="275" t="n">
        <v>109.6</v>
      </c>
      <c r="E54" s="275" t="n">
        <v>105.5</v>
      </c>
      <c r="F54" s="275" t="n">
        <v>92.8</v>
      </c>
      <c r="G54" s="275" t="n">
        <v>105.8</v>
      </c>
      <c r="H54" s="275" t="n">
        <v>107.1</v>
      </c>
      <c r="I54" s="275" t="n">
        <v>104.285974496277</v>
      </c>
      <c r="J54" s="275" t="n">
        <v>102.522084201102</v>
      </c>
      <c r="K54" s="275" t="n">
        <v>102.095965176522</v>
      </c>
      <c r="L54" s="254" t="n">
        <v>98.8008583412509</v>
      </c>
      <c r="M54" s="254" t="n">
        <v>100.119539082595</v>
      </c>
      <c r="N54" s="243" t="n"/>
    </row>
    <row r="55" ht="15" customHeight="1" s="226">
      <c r="A55" s="322" t="inlineStr">
        <is>
          <t>Республика Башкортостан</t>
        </is>
      </c>
      <c r="B55" s="262" t="n">
        <v>107.2</v>
      </c>
      <c r="C55" s="262" t="n">
        <v>108.8</v>
      </c>
      <c r="D55" s="262" t="n">
        <v>109.6</v>
      </c>
      <c r="E55" s="262" t="n">
        <v>107.6</v>
      </c>
      <c r="F55" s="262" t="n">
        <v>98.8</v>
      </c>
      <c r="G55" s="262" t="n">
        <v>105</v>
      </c>
      <c r="H55" s="262" t="n">
        <v>108.3</v>
      </c>
      <c r="I55" s="262" t="n">
        <v>104.324452840874</v>
      </c>
      <c r="J55" s="262" t="n">
        <v>102.314593070844</v>
      </c>
      <c r="K55" s="262" t="n">
        <v>101.555100153054</v>
      </c>
      <c r="L55" s="262" t="n">
        <v>98.0769870807874</v>
      </c>
      <c r="M55" s="263" t="n">
        <v>100.34040159023</v>
      </c>
      <c r="N55" s="243" t="n"/>
    </row>
    <row r="56" ht="15" customHeight="1" s="226">
      <c r="A56" s="322" t="inlineStr">
        <is>
          <t>Республика Марий Эл</t>
        </is>
      </c>
      <c r="B56" s="262" t="n">
        <v>102.1</v>
      </c>
      <c r="C56" s="262" t="n">
        <v>113.1</v>
      </c>
      <c r="D56" s="262" t="n">
        <v>108</v>
      </c>
      <c r="E56" s="262" t="n">
        <v>105.9</v>
      </c>
      <c r="F56" s="262" t="n">
        <v>100.4</v>
      </c>
      <c r="G56" s="262" t="n">
        <v>106</v>
      </c>
      <c r="H56" s="262" t="n">
        <v>106.5</v>
      </c>
      <c r="I56" s="262" t="n">
        <v>110.132836881892</v>
      </c>
      <c r="J56" s="262" t="n">
        <v>102.112453957885</v>
      </c>
      <c r="K56" s="262" t="n">
        <v>106.157236507267</v>
      </c>
      <c r="L56" s="262" t="n">
        <v>103.345806736404</v>
      </c>
      <c r="M56" s="263" t="n">
        <v>94.8290226379484</v>
      </c>
      <c r="N56" s="243" t="n"/>
    </row>
    <row r="57" ht="15" customHeight="1" s="226">
      <c r="A57" s="322" t="inlineStr">
        <is>
          <t>Республика Мордовия</t>
        </is>
      </c>
      <c r="B57" s="262" t="n">
        <v>106.9</v>
      </c>
      <c r="C57" s="262" t="n">
        <v>113.1</v>
      </c>
      <c r="D57" s="262" t="n">
        <v>111.9</v>
      </c>
      <c r="E57" s="262" t="n">
        <v>105</v>
      </c>
      <c r="F57" s="262" t="n">
        <v>93.7</v>
      </c>
      <c r="G57" s="262" t="n">
        <v>105.5</v>
      </c>
      <c r="H57" s="262" t="n">
        <v>110.3</v>
      </c>
      <c r="I57" s="262" t="n">
        <v>102.898368331493</v>
      </c>
      <c r="J57" s="262" t="n">
        <v>103.208380927456</v>
      </c>
      <c r="K57" s="262" t="n">
        <v>108.610991471202</v>
      </c>
      <c r="L57" s="262" t="n">
        <v>101.261504578891</v>
      </c>
      <c r="M57" s="263" t="n">
        <v>103.493771938129</v>
      </c>
      <c r="N57" s="243" t="n"/>
    </row>
    <row r="58" ht="15" customHeight="1" s="226">
      <c r="A58" s="322" t="inlineStr">
        <is>
          <t>Республика Татарстан</t>
        </is>
      </c>
      <c r="B58" s="262" t="n">
        <v>105.7</v>
      </c>
      <c r="C58" s="262" t="n">
        <v>108.6</v>
      </c>
      <c r="D58" s="262" t="n">
        <v>110.6</v>
      </c>
      <c r="E58" s="262" t="n">
        <v>107.6</v>
      </c>
      <c r="F58" s="262" t="n">
        <v>96.40000000000001</v>
      </c>
      <c r="G58" s="262" t="n">
        <v>104.1</v>
      </c>
      <c r="H58" s="262" t="n">
        <v>105.5</v>
      </c>
      <c r="I58" s="262" t="n">
        <v>104.757455385537</v>
      </c>
      <c r="J58" s="262" t="n">
        <v>101.667216727751</v>
      </c>
      <c r="K58" s="262" t="n">
        <v>101.401223872036</v>
      </c>
      <c r="L58" s="262" t="n">
        <v>99.3407899105073</v>
      </c>
      <c r="M58" s="263" t="n">
        <v>100.329118484709</v>
      </c>
      <c r="N58" s="243" t="n"/>
    </row>
    <row r="59" ht="15" customHeight="1" s="226">
      <c r="A59" s="322" t="inlineStr">
        <is>
          <t>Удмуртская Республика</t>
        </is>
      </c>
      <c r="B59" s="262" t="n">
        <v>104.9</v>
      </c>
      <c r="C59" s="262" t="n">
        <v>104.7</v>
      </c>
      <c r="D59" s="262" t="n">
        <v>104.4</v>
      </c>
      <c r="E59" s="262" t="n">
        <v>103</v>
      </c>
      <c r="F59" s="262" t="n">
        <v>94.3</v>
      </c>
      <c r="G59" s="262" t="n">
        <v>105</v>
      </c>
      <c r="H59" s="262" t="n">
        <v>105</v>
      </c>
      <c r="I59" s="262" t="n">
        <v>103.619956507514</v>
      </c>
      <c r="J59" s="262" t="n">
        <v>102.955124254882</v>
      </c>
      <c r="K59" s="262" t="n">
        <v>101.221739217053</v>
      </c>
      <c r="L59" s="262" t="n">
        <v>100.017922637829</v>
      </c>
      <c r="M59" s="263" t="n">
        <v>101.944111860736</v>
      </c>
      <c r="N59" s="243" t="n"/>
    </row>
    <row r="60" ht="15" customHeight="1" s="226">
      <c r="A60" s="322" t="inlineStr">
        <is>
          <t>Чувашская Республика</t>
        </is>
      </c>
      <c r="B60" s="262" t="n">
        <v>104.4</v>
      </c>
      <c r="C60" s="262" t="n">
        <v>111.7</v>
      </c>
      <c r="D60" s="262" t="n">
        <v>112.1</v>
      </c>
      <c r="E60" s="262" t="n">
        <v>105.2</v>
      </c>
      <c r="F60" s="262" t="n">
        <v>82.5</v>
      </c>
      <c r="G60" s="262" t="n">
        <v>103.6</v>
      </c>
      <c r="H60" s="262" t="n">
        <v>107.1</v>
      </c>
      <c r="I60" s="262" t="n">
        <v>106.628823542189</v>
      </c>
      <c r="J60" s="262" t="n">
        <v>98.50560015316771</v>
      </c>
      <c r="K60" s="262" t="n">
        <v>100.552135021289</v>
      </c>
      <c r="L60" s="262" t="n">
        <v>97.5498207442507</v>
      </c>
      <c r="M60" s="263" t="n">
        <v>100.804252397644</v>
      </c>
      <c r="N60" s="243" t="n"/>
    </row>
    <row r="61" ht="15" customHeight="1" s="226">
      <c r="A61" s="260" t="inlineStr">
        <is>
          <t>Пермский край</t>
        </is>
      </c>
      <c r="B61" s="262" t="n">
        <v>104.8</v>
      </c>
      <c r="C61" s="262" t="n">
        <v>110.5</v>
      </c>
      <c r="D61" s="262" t="n">
        <v>109</v>
      </c>
      <c r="E61" s="262" t="n">
        <v>105.5</v>
      </c>
      <c r="F61" s="262" t="n">
        <v>92.09999999999999</v>
      </c>
      <c r="G61" s="262" t="n">
        <v>107.9</v>
      </c>
      <c r="H61" s="262" t="n">
        <v>108.6</v>
      </c>
      <c r="I61" s="262" t="n">
        <v>100.676834581739</v>
      </c>
      <c r="J61" s="262" t="n">
        <v>100.807285184623</v>
      </c>
      <c r="K61" s="262" t="n">
        <v>103.369597320571</v>
      </c>
      <c r="L61" s="262" t="n">
        <v>99.7411951171911</v>
      </c>
      <c r="M61" s="263" t="n">
        <v>96.8865412928795</v>
      </c>
      <c r="N61" s="243" t="n"/>
    </row>
    <row r="62" ht="15" customHeight="1" s="226">
      <c r="A62" s="260" t="inlineStr">
        <is>
          <t>Кировская область</t>
        </is>
      </c>
      <c r="B62" s="262" t="n">
        <v>102.7</v>
      </c>
      <c r="C62" s="262" t="n">
        <v>107.5</v>
      </c>
      <c r="D62" s="262" t="n">
        <v>106.3</v>
      </c>
      <c r="E62" s="262" t="n">
        <v>105</v>
      </c>
      <c r="F62" s="262" t="n">
        <v>91.7</v>
      </c>
      <c r="G62" s="262" t="n">
        <v>105.7</v>
      </c>
      <c r="H62" s="262" t="n">
        <v>105.8</v>
      </c>
      <c r="I62" s="262" t="n">
        <v>103.207536074478</v>
      </c>
      <c r="J62" s="262" t="n">
        <v>101.911449002693</v>
      </c>
      <c r="K62" s="262" t="n">
        <v>103.458786472771</v>
      </c>
      <c r="L62" s="262" t="n">
        <v>100.336715390141</v>
      </c>
      <c r="M62" s="263" t="n">
        <v>100.69408879682</v>
      </c>
      <c r="N62" s="243" t="n"/>
    </row>
    <row r="63" ht="15" customHeight="1" s="226">
      <c r="A63" s="260" t="inlineStr">
        <is>
          <t>Нижегородская область</t>
        </is>
      </c>
      <c r="B63" s="262" t="n">
        <v>107.1</v>
      </c>
      <c r="C63" s="262" t="n">
        <v>109.1</v>
      </c>
      <c r="D63" s="262" t="n">
        <v>109.9</v>
      </c>
      <c r="E63" s="262" t="n">
        <v>102.8</v>
      </c>
      <c r="F63" s="262" t="n">
        <v>88.59999999999999</v>
      </c>
      <c r="G63" s="262" t="n">
        <v>108</v>
      </c>
      <c r="H63" s="262" t="n">
        <v>107.4</v>
      </c>
      <c r="I63" s="262" t="n">
        <v>104.185825494914</v>
      </c>
      <c r="J63" s="262" t="n">
        <v>102.342688349801</v>
      </c>
      <c r="K63" s="262" t="n">
        <v>103.313140845761</v>
      </c>
      <c r="L63" s="262" t="n">
        <v>96.9072188417822</v>
      </c>
      <c r="M63" s="263" t="n">
        <v>103.453397488565</v>
      </c>
      <c r="N63" s="243" t="n"/>
    </row>
    <row r="64" ht="15" customHeight="1" s="226">
      <c r="A64" s="260" t="inlineStr">
        <is>
          <t>Оренбургская область</t>
        </is>
      </c>
      <c r="B64" s="262" t="n">
        <v>106.6</v>
      </c>
      <c r="C64" s="262" t="n">
        <v>109.1</v>
      </c>
      <c r="D64" s="262" t="n">
        <v>110.7</v>
      </c>
      <c r="E64" s="262" t="n">
        <v>103.2</v>
      </c>
      <c r="F64" s="262" t="n">
        <v>96.2</v>
      </c>
      <c r="G64" s="262" t="n">
        <v>104.8</v>
      </c>
      <c r="H64" s="262" t="n">
        <v>105.6</v>
      </c>
      <c r="I64" s="262" t="n">
        <v>103.234689886996</v>
      </c>
      <c r="J64" s="262" t="n">
        <v>102.938395564667</v>
      </c>
      <c r="K64" s="262" t="n">
        <v>100.022563321043</v>
      </c>
      <c r="L64" s="262" t="n">
        <v>96.7733534224738</v>
      </c>
      <c r="M64" s="263" t="n">
        <v>99.73524926050111</v>
      </c>
      <c r="N64" s="243" t="n"/>
    </row>
    <row r="65" ht="15" customHeight="1" s="226">
      <c r="A65" s="260" t="inlineStr">
        <is>
          <t>Пензенская область</t>
        </is>
      </c>
      <c r="B65" s="262" t="n">
        <v>101.4</v>
      </c>
      <c r="C65" s="262" t="n">
        <v>108.8</v>
      </c>
      <c r="D65" s="262" t="n">
        <v>116.8</v>
      </c>
      <c r="E65" s="262" t="n">
        <v>108.2</v>
      </c>
      <c r="F65" s="262" t="n">
        <v>95.8</v>
      </c>
      <c r="G65" s="262" t="n">
        <v>102.3</v>
      </c>
      <c r="H65" s="262" t="n">
        <v>108.6</v>
      </c>
      <c r="I65" s="262" t="n">
        <v>107.406825139945</v>
      </c>
      <c r="J65" s="262" t="n">
        <v>105.313624178971</v>
      </c>
      <c r="K65" s="262" t="n">
        <v>104.075790895888</v>
      </c>
      <c r="L65" s="262" t="n">
        <v>104.440596534817</v>
      </c>
      <c r="M65" s="263" t="n">
        <v>97.59788817156419</v>
      </c>
      <c r="N65" s="243" t="n"/>
    </row>
    <row r="66" ht="15" customHeight="1" s="226">
      <c r="A66" s="260" t="inlineStr">
        <is>
          <t>Самарская область</t>
        </is>
      </c>
      <c r="B66" s="262" t="n">
        <v>101.8</v>
      </c>
      <c r="C66" s="262" t="n">
        <v>106.4</v>
      </c>
      <c r="D66" s="262" t="n">
        <v>108.2</v>
      </c>
      <c r="E66" s="262" t="n">
        <v>103.8</v>
      </c>
      <c r="F66" s="262" t="n">
        <v>80.40000000000001</v>
      </c>
      <c r="G66" s="262" t="n">
        <v>108.6</v>
      </c>
      <c r="H66" s="262" t="n">
        <v>106</v>
      </c>
      <c r="I66" s="262" t="n">
        <v>104.936375876716</v>
      </c>
      <c r="J66" s="262" t="n">
        <v>104.150774558646</v>
      </c>
      <c r="K66" s="262" t="n">
        <v>101.81610300491</v>
      </c>
      <c r="L66" s="262" t="n">
        <v>96.98847200277039</v>
      </c>
      <c r="M66" s="263" t="n">
        <v>97.8458765074127</v>
      </c>
      <c r="N66" s="243" t="n"/>
    </row>
    <row r="67" ht="15" customHeight="1" s="226">
      <c r="A67" s="322" t="inlineStr">
        <is>
          <t>Саратовская область</t>
        </is>
      </c>
      <c r="B67" s="262" t="n">
        <v>106.6</v>
      </c>
      <c r="C67" s="262" t="n">
        <v>106.5</v>
      </c>
      <c r="D67" s="262" t="n">
        <v>108.9</v>
      </c>
      <c r="E67" s="262" t="n">
        <v>108.9</v>
      </c>
      <c r="F67" s="262" t="n">
        <v>98.2</v>
      </c>
      <c r="G67" s="262" t="n">
        <v>102.6</v>
      </c>
      <c r="H67" s="262" t="n">
        <v>108.5</v>
      </c>
      <c r="I67" s="262" t="n">
        <v>105.974730840165</v>
      </c>
      <c r="J67" s="262" t="n">
        <v>104.293656121297</v>
      </c>
      <c r="K67" s="262" t="n">
        <v>100.256318108414</v>
      </c>
      <c r="L67" s="262" t="n">
        <v>98.9329721345632</v>
      </c>
      <c r="M67" s="263" t="n">
        <v>100.926491249672</v>
      </c>
      <c r="N67" s="243" t="n"/>
    </row>
    <row r="68" ht="15" customFormat="1" customHeight="1" s="318">
      <c r="A68" s="322" t="inlineStr">
        <is>
          <t>Ульяновская область</t>
        </is>
      </c>
      <c r="B68" s="262" t="n">
        <v>105.6</v>
      </c>
      <c r="C68" s="262" t="n">
        <v>110.5</v>
      </c>
      <c r="D68" s="262" t="n">
        <v>111</v>
      </c>
      <c r="E68" s="262" t="n">
        <v>102.3</v>
      </c>
      <c r="F68" s="262" t="n">
        <v>93.2</v>
      </c>
      <c r="G68" s="262" t="n">
        <v>105.8</v>
      </c>
      <c r="H68" s="262" t="n">
        <v>108.8</v>
      </c>
      <c r="I68" s="262" t="n">
        <v>103.238614596725</v>
      </c>
      <c r="J68" s="262" t="n">
        <v>102.673018051054</v>
      </c>
      <c r="K68" s="262" t="n">
        <v>101.064270929984</v>
      </c>
      <c r="L68" s="262" t="n">
        <v>98.5762340843638</v>
      </c>
      <c r="M68" s="263" t="n">
        <v>102.284402880808</v>
      </c>
      <c r="N68" s="243" t="n"/>
    </row>
    <row r="69" ht="15" customHeight="1" s="226">
      <c r="A69" s="272" t="inlineStr">
        <is>
          <t>Уральский федеральный округ</t>
        </is>
      </c>
      <c r="B69" s="275" t="n">
        <v>110.9</v>
      </c>
      <c r="C69" s="275" t="n">
        <v>108</v>
      </c>
      <c r="D69" s="275" t="n">
        <v>105.7</v>
      </c>
      <c r="E69" s="275" t="n">
        <v>103.4</v>
      </c>
      <c r="F69" s="275" t="n">
        <v>91.90000000000001</v>
      </c>
      <c r="G69" s="275" t="n">
        <v>106.8</v>
      </c>
      <c r="H69" s="275" t="n">
        <v>104.4</v>
      </c>
      <c r="I69" s="275" t="n">
        <v>101.049011299737</v>
      </c>
      <c r="J69" s="275" t="n">
        <v>101.830155906943</v>
      </c>
      <c r="K69" s="275" t="n">
        <v>98.69428750917911</v>
      </c>
      <c r="L69" s="254" t="n">
        <v>98.5128397411825</v>
      </c>
      <c r="M69" s="254" t="n">
        <v>100.023335542691</v>
      </c>
      <c r="N69" s="243" t="n"/>
    </row>
    <row r="70" ht="15" customHeight="1" s="226">
      <c r="A70" s="323" t="inlineStr">
        <is>
          <t>Курганская область</t>
        </is>
      </c>
      <c r="B70" s="262" t="n">
        <v>109.6</v>
      </c>
      <c r="C70" s="262" t="n">
        <v>113.8</v>
      </c>
      <c r="D70" s="262" t="n">
        <v>105.9</v>
      </c>
      <c r="E70" s="262" t="n">
        <v>110.5</v>
      </c>
      <c r="F70" s="262" t="n">
        <v>93.7</v>
      </c>
      <c r="G70" s="262" t="n">
        <v>98.40000000000001</v>
      </c>
      <c r="H70" s="262" t="n">
        <v>108.1</v>
      </c>
      <c r="I70" s="262" t="n">
        <v>97.57926728835319</v>
      </c>
      <c r="J70" s="262" t="n">
        <v>104.278285269615</v>
      </c>
      <c r="K70" s="262" t="n">
        <v>98.33560948473681</v>
      </c>
      <c r="L70" s="262" t="n">
        <v>98.6154642259967</v>
      </c>
      <c r="M70" s="263" t="n">
        <v>103.113993332264</v>
      </c>
      <c r="N70" s="243" t="n"/>
    </row>
    <row r="71" ht="15" customHeight="1" s="226">
      <c r="A71" s="323" t="inlineStr">
        <is>
          <t>Свердловская область</t>
        </is>
      </c>
      <c r="B71" s="262" t="n">
        <v>110.5</v>
      </c>
      <c r="C71" s="262" t="n">
        <v>112.3</v>
      </c>
      <c r="D71" s="262" t="n">
        <v>109.8</v>
      </c>
      <c r="E71" s="262" t="n">
        <v>102.7</v>
      </c>
      <c r="F71" s="262" t="n">
        <v>88.5</v>
      </c>
      <c r="G71" s="262" t="n">
        <v>111.6</v>
      </c>
      <c r="H71" s="262" t="n">
        <v>108.9</v>
      </c>
      <c r="I71" s="262" t="n">
        <v>106.87092503105</v>
      </c>
      <c r="J71" s="262" t="n">
        <v>101.846884265575</v>
      </c>
      <c r="K71" s="262" t="n">
        <v>99.9665821042918</v>
      </c>
      <c r="L71" s="262" t="n">
        <v>97.19650547981099</v>
      </c>
      <c r="M71" s="263" t="n">
        <v>101.879404911962</v>
      </c>
      <c r="N71" s="243" t="n"/>
    </row>
    <row r="72" ht="15" customHeight="1" s="226">
      <c r="A72" s="323" t="inlineStr">
        <is>
          <t>Тюменская область</t>
        </is>
      </c>
      <c r="B72" s="262" t="n">
        <v>110.6</v>
      </c>
      <c r="C72" s="262" t="n">
        <v>105.7</v>
      </c>
      <c r="D72" s="262" t="n">
        <v>102.5</v>
      </c>
      <c r="E72" s="262" t="n">
        <v>103.1</v>
      </c>
      <c r="F72" s="262" t="n">
        <v>93.59999999999999</v>
      </c>
      <c r="G72" s="262" t="n">
        <v>105.2</v>
      </c>
      <c r="H72" s="262" t="n">
        <v>101.9</v>
      </c>
      <c r="I72" s="262" t="n">
        <v>98.24384204630201</v>
      </c>
      <c r="J72" s="262" t="n">
        <v>101.093853518574</v>
      </c>
      <c r="K72" s="262" t="n">
        <v>97.0892397804011</v>
      </c>
      <c r="L72" s="262" t="n">
        <v>98.2058129811505</v>
      </c>
      <c r="M72" s="263" t="n">
        <v>99.36558652529369</v>
      </c>
      <c r="N72" s="243" t="n"/>
    </row>
    <row r="73" ht="15" customHeight="1" s="226">
      <c r="A73" s="260" t="inlineStr">
        <is>
          <t xml:space="preserve">   в т.ч. Ханты-Мансийский авт.округ-Югра</t>
        </is>
      </c>
      <c r="B73" s="262" t="n"/>
      <c r="C73" s="262" t="n"/>
      <c r="D73" s="262" t="n"/>
      <c r="E73" s="262" t="n"/>
      <c r="F73" s="262" t="n"/>
      <c r="G73" s="262" t="n"/>
      <c r="H73" s="262" t="n"/>
      <c r="I73" s="262" t="n">
        <v>96.5784533040249</v>
      </c>
      <c r="J73" s="262" t="n">
        <v>98.80422944985141</v>
      </c>
      <c r="K73" s="262" t="n">
        <v>97.7718786025451</v>
      </c>
      <c r="L73" s="262" t="n">
        <v>97.24049683918609</v>
      </c>
      <c r="M73" s="263" t="n">
        <v>96.5233364774455</v>
      </c>
      <c r="N73" s="243" t="n"/>
    </row>
    <row r="74" ht="15" customHeight="1" s="226">
      <c r="A74" s="260" t="inlineStr">
        <is>
          <t xml:space="preserve">           Ямало-Ненецкий авт. округ</t>
        </is>
      </c>
      <c r="B74" s="262" t="n"/>
      <c r="C74" s="262" t="n"/>
      <c r="D74" s="262" t="n"/>
      <c r="E74" s="262" t="n"/>
      <c r="F74" s="262" t="n"/>
      <c r="G74" s="262" t="n"/>
      <c r="H74" s="262" t="n"/>
      <c r="I74" s="262" t="n">
        <v>101.320323002695</v>
      </c>
      <c r="J74" s="262" t="n">
        <v>104.366966731751</v>
      </c>
      <c r="K74" s="262" t="n">
        <v>106.69724751636</v>
      </c>
      <c r="L74" s="262" t="n">
        <v>99.403226415276</v>
      </c>
      <c r="M74" s="263" t="n">
        <v>106.803700089405</v>
      </c>
      <c r="N74" s="243" t="n"/>
    </row>
    <row r="75" ht="15" customHeight="1" s="226">
      <c r="A75" s="260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/>
      <c r="C75" s="262" t="n"/>
      <c r="D75" s="262" t="n"/>
      <c r="E75" s="262" t="n"/>
      <c r="F75" s="262" t="n"/>
      <c r="G75" s="262" t="n"/>
      <c r="H75" s="262" t="n"/>
      <c r="I75" s="262" t="n">
        <v>100.222644961667</v>
      </c>
      <c r="J75" s="262" t="n">
        <v>106.704319814373</v>
      </c>
      <c r="K75" s="262" t="n">
        <v>81.9511855111548</v>
      </c>
      <c r="L75" s="262" t="n">
        <v>103.343789388449</v>
      </c>
      <c r="M75" s="263" t="n">
        <v>98.65026939879201</v>
      </c>
      <c r="N75" s="243" t="n"/>
    </row>
    <row r="76" ht="15" customFormat="1" customHeight="1" s="318">
      <c r="A76" s="323" t="inlineStr">
        <is>
          <t>Челябинская область</t>
        </is>
      </c>
      <c r="B76" s="262" t="n">
        <v>109.1</v>
      </c>
      <c r="C76" s="262" t="n">
        <v>111.3</v>
      </c>
      <c r="D76" s="262" t="n">
        <v>113.9</v>
      </c>
      <c r="E76" s="262" t="n">
        <v>101.7</v>
      </c>
      <c r="F76" s="262" t="n">
        <v>86</v>
      </c>
      <c r="G76" s="262" t="n">
        <v>106.1</v>
      </c>
      <c r="H76" s="262" t="n">
        <v>105.3</v>
      </c>
      <c r="I76" s="262" t="n">
        <v>102.251619853048</v>
      </c>
      <c r="J76" s="262" t="n">
        <v>101.348110170939</v>
      </c>
      <c r="K76" s="262" t="n">
        <v>102.615552456101</v>
      </c>
      <c r="L76" s="262" t="n">
        <v>99.3406352567677</v>
      </c>
      <c r="M76" s="263" t="n">
        <v>96.822378954328</v>
      </c>
      <c r="N76" s="243" t="n"/>
    </row>
    <row r="77" ht="15" customFormat="1" customHeight="1" s="225">
      <c r="A77" s="324" t="inlineStr">
        <is>
          <t>Сибирский федеральный округ</t>
        </is>
      </c>
      <c r="B77" s="254" t="n">
        <v>105.8</v>
      </c>
      <c r="C77" s="254" t="n">
        <v>107.1</v>
      </c>
      <c r="D77" s="254" t="n">
        <v>108</v>
      </c>
      <c r="E77" s="254" t="n">
        <v>104.3</v>
      </c>
      <c r="F77" s="254" t="n">
        <v>96</v>
      </c>
      <c r="G77" s="254" t="n">
        <v>104.5</v>
      </c>
      <c r="H77" s="254" t="n">
        <v>105.1</v>
      </c>
      <c r="I77" s="254" t="n">
        <v>103.062047706666</v>
      </c>
      <c r="J77" s="254" t="n">
        <v>102.357299236166</v>
      </c>
      <c r="K77" s="254" t="n">
        <v>102.068428459102</v>
      </c>
      <c r="L77" s="254" t="n">
        <v>98.78209892651989</v>
      </c>
      <c r="M77" s="254" t="n">
        <v>100.520129865145</v>
      </c>
      <c r="N77" s="243" t="n"/>
    </row>
    <row r="78" ht="15" customHeight="1" s="226">
      <c r="A78" s="323" t="inlineStr">
        <is>
          <t>Республика Алтай</t>
        </is>
      </c>
      <c r="B78" s="262" t="n">
        <v>101.7</v>
      </c>
      <c r="C78" s="262" t="n">
        <v>104.1</v>
      </c>
      <c r="D78" s="262" t="n">
        <v>107.1</v>
      </c>
      <c r="E78" s="262" t="n">
        <v>106.3</v>
      </c>
      <c r="F78" s="262" t="n">
        <v>95.59999999999999</v>
      </c>
      <c r="G78" s="262" t="n">
        <v>100.4</v>
      </c>
      <c r="H78" s="262" t="n">
        <v>102</v>
      </c>
      <c r="I78" s="262" t="n">
        <v>98.37084391595469</v>
      </c>
      <c r="J78" s="262" t="n">
        <v>100.014228566495</v>
      </c>
      <c r="K78" s="262" t="n">
        <v>108.052750152999</v>
      </c>
      <c r="L78" s="262" t="n">
        <v>99.838170644562</v>
      </c>
      <c r="M78" s="263" t="n">
        <v>102.774896236003</v>
      </c>
      <c r="N78" s="243" t="n"/>
    </row>
    <row r="79" ht="15" customHeight="1" s="226">
      <c r="A79" s="323" t="inlineStr">
        <is>
          <t>Республика Тыва</t>
        </is>
      </c>
      <c r="B79" s="262" t="n">
        <v>100.2</v>
      </c>
      <c r="C79" s="262" t="n">
        <v>104.2</v>
      </c>
      <c r="D79" s="262" t="n">
        <v>106.1</v>
      </c>
      <c r="E79" s="262" t="n">
        <v>99.59999999999999</v>
      </c>
      <c r="F79" s="262" t="n">
        <v>99.09999999999999</v>
      </c>
      <c r="G79" s="262" t="n">
        <v>103.7</v>
      </c>
      <c r="H79" s="262" t="n">
        <v>100.6</v>
      </c>
      <c r="I79" s="262" t="n">
        <v>101.603639210431</v>
      </c>
      <c r="J79" s="262" t="n">
        <v>100.499118431513</v>
      </c>
      <c r="K79" s="262" t="n">
        <v>103.942909568165</v>
      </c>
      <c r="L79" s="262" t="n">
        <v>97.8989309345783</v>
      </c>
      <c r="M79" s="263" t="n">
        <v>100.25336193756</v>
      </c>
      <c r="N79" s="243" t="n"/>
    </row>
    <row r="80" ht="15" customHeight="1" s="226">
      <c r="A80" s="323" t="inlineStr">
        <is>
          <t>Республика Хакасия</t>
        </is>
      </c>
      <c r="B80" s="262" t="n">
        <v>103.8</v>
      </c>
      <c r="C80" s="262" t="n">
        <v>103.3</v>
      </c>
      <c r="D80" s="262" t="n">
        <v>103.8</v>
      </c>
      <c r="E80" s="262" t="n">
        <v>102.7</v>
      </c>
      <c r="F80" s="262" t="n">
        <v>99.40000000000001</v>
      </c>
      <c r="G80" s="262" t="n">
        <v>102.2</v>
      </c>
      <c r="H80" s="262" t="n">
        <v>105.2</v>
      </c>
      <c r="I80" s="262" t="n">
        <v>105.259224131462</v>
      </c>
      <c r="J80" s="262" t="n">
        <v>103.734184557467</v>
      </c>
      <c r="K80" s="262" t="n">
        <v>101.561553968748</v>
      </c>
      <c r="L80" s="262" t="n">
        <v>98.1631646244799</v>
      </c>
      <c r="M80" s="263" t="n">
        <v>101.228335474161</v>
      </c>
      <c r="N80" s="243" t="n"/>
    </row>
    <row r="81" ht="15" customHeight="1" s="226">
      <c r="A81" s="323" t="inlineStr">
        <is>
          <t>Алтайский край</t>
        </is>
      </c>
      <c r="B81" s="262" t="n">
        <v>102.9</v>
      </c>
      <c r="C81" s="262" t="n">
        <v>111.7</v>
      </c>
      <c r="D81" s="262" t="n">
        <v>110.6</v>
      </c>
      <c r="E81" s="262" t="n">
        <v>104</v>
      </c>
      <c r="F81" s="262" t="n">
        <v>95.2</v>
      </c>
      <c r="G81" s="262" t="n">
        <v>103.6</v>
      </c>
      <c r="H81" s="262" t="n">
        <v>104.4</v>
      </c>
      <c r="I81" s="262" t="n">
        <v>102.437948849409</v>
      </c>
      <c r="J81" s="262" t="n">
        <v>105.724715684458</v>
      </c>
      <c r="K81" s="262" t="n">
        <v>101.138441243413</v>
      </c>
      <c r="L81" s="262" t="n">
        <v>101.243048814029</v>
      </c>
      <c r="M81" s="263" t="n">
        <v>99.8508820104437</v>
      </c>
      <c r="N81" s="243" t="n"/>
    </row>
    <row r="82" ht="15" customHeight="1" s="226">
      <c r="A82" s="323" t="inlineStr">
        <is>
          <t>Красноярский край</t>
        </is>
      </c>
      <c r="B82" s="262" t="n">
        <v>104.4</v>
      </c>
      <c r="C82" s="262" t="n">
        <v>105.5</v>
      </c>
      <c r="D82" s="262" t="n">
        <v>106.6</v>
      </c>
      <c r="E82" s="262" t="n">
        <v>104.8</v>
      </c>
      <c r="F82" s="262" t="n">
        <v>98.59999999999999</v>
      </c>
      <c r="G82" s="262" t="n">
        <v>105.9</v>
      </c>
      <c r="H82" s="262" t="n">
        <v>105.6</v>
      </c>
      <c r="I82" s="262" t="n">
        <v>105.453727309783</v>
      </c>
      <c r="J82" s="262" t="n">
        <v>102.616333165101</v>
      </c>
      <c r="K82" s="262" t="n">
        <v>100.759622506966</v>
      </c>
      <c r="L82" s="262" t="n">
        <v>97.5442631772539</v>
      </c>
      <c r="M82" s="263" t="n">
        <v>101.185092735101</v>
      </c>
      <c r="N82" s="243" t="n"/>
    </row>
    <row r="83" ht="15" customHeight="1" s="226">
      <c r="A83" s="323" t="inlineStr">
        <is>
          <t>Иркутская область</t>
        </is>
      </c>
      <c r="B83" s="262" t="n">
        <v>109.6</v>
      </c>
      <c r="C83" s="262" t="n">
        <v>113.2</v>
      </c>
      <c r="D83" s="262" t="n">
        <v>109.9</v>
      </c>
      <c r="E83" s="262" t="n">
        <v>104.1</v>
      </c>
      <c r="F83" s="262" t="n">
        <v>100.4</v>
      </c>
      <c r="G83" s="262" t="n">
        <v>107.2</v>
      </c>
      <c r="H83" s="262" t="n">
        <v>104.8</v>
      </c>
      <c r="I83" s="262" t="n">
        <v>109.507003897953</v>
      </c>
      <c r="J83" s="262" t="n">
        <v>102.102604126018</v>
      </c>
      <c r="K83" s="262" t="n">
        <v>104.929468893842</v>
      </c>
      <c r="L83" s="262" t="n">
        <v>100.491655614011</v>
      </c>
      <c r="M83" s="263" t="n">
        <v>102.903820962915</v>
      </c>
      <c r="N83" s="243" t="n"/>
    </row>
    <row r="84" ht="15" customHeight="1" s="226">
      <c r="A84" s="278" t="inlineStr">
        <is>
          <t>Кемеровская область-Кузбасс</t>
        </is>
      </c>
      <c r="B84" s="262" t="n">
        <v>107.9</v>
      </c>
      <c r="C84" s="262" t="n">
        <v>108.1</v>
      </c>
      <c r="D84" s="262" t="n">
        <v>107.3</v>
      </c>
      <c r="E84" s="262" t="n">
        <v>102.3</v>
      </c>
      <c r="F84" s="262" t="n">
        <v>93</v>
      </c>
      <c r="G84" s="262" t="n">
        <v>103</v>
      </c>
      <c r="H84" s="262" t="n">
        <v>102.7</v>
      </c>
      <c r="I84" s="262" t="n">
        <v>96.16743451839039</v>
      </c>
      <c r="J84" s="262" t="n">
        <v>96.3318531516464</v>
      </c>
      <c r="K84" s="262" t="n">
        <v>102.473109669182</v>
      </c>
      <c r="L84" s="262" t="n">
        <v>99.3431703545525</v>
      </c>
      <c r="M84" s="263" t="n">
        <v>97.3275186925555</v>
      </c>
      <c r="N84" s="243" t="n"/>
    </row>
    <row r="85" ht="15" customHeight="1" s="226">
      <c r="A85" s="323" t="inlineStr">
        <is>
          <t>Новосибирская область</t>
        </is>
      </c>
      <c r="B85" s="262" t="n">
        <v>109.3</v>
      </c>
      <c r="C85" s="262" t="n">
        <v>108.9</v>
      </c>
      <c r="D85" s="262" t="n">
        <v>111.9</v>
      </c>
      <c r="E85" s="262" t="n">
        <v>105.7</v>
      </c>
      <c r="F85" s="262" t="n">
        <v>89</v>
      </c>
      <c r="G85" s="262" t="n">
        <v>104.3</v>
      </c>
      <c r="H85" s="262" t="n">
        <v>107.9</v>
      </c>
      <c r="I85" s="262" t="n">
        <v>100.634418678197</v>
      </c>
      <c r="J85" s="262" t="n">
        <v>104.085695627228</v>
      </c>
      <c r="K85" s="262" t="n">
        <v>101.743354314148</v>
      </c>
      <c r="L85" s="262" t="n">
        <v>97.3929469226708</v>
      </c>
      <c r="M85" s="263" t="n">
        <v>100.448715362865</v>
      </c>
      <c r="N85" s="243" t="n"/>
    </row>
    <row r="86" ht="15" customHeight="1" s="226">
      <c r="A86" s="323" t="inlineStr">
        <is>
          <t>Омская область</t>
        </is>
      </c>
      <c r="B86" s="262" t="n">
        <v>107.1</v>
      </c>
      <c r="C86" s="262" t="n">
        <v>101.4</v>
      </c>
      <c r="D86" s="262" t="n">
        <v>105.8</v>
      </c>
      <c r="E86" s="262" t="n">
        <v>104.5</v>
      </c>
      <c r="F86" s="262" t="n">
        <v>97</v>
      </c>
      <c r="G86" s="262" t="n">
        <v>103</v>
      </c>
      <c r="H86" s="262" t="n">
        <v>106.3</v>
      </c>
      <c r="I86" s="262" t="n">
        <v>102.000083327582</v>
      </c>
      <c r="J86" s="262" t="n">
        <v>105.264370744193</v>
      </c>
      <c r="K86" s="262" t="n">
        <v>102.026395180355</v>
      </c>
      <c r="L86" s="262" t="n">
        <v>97.01524070737869</v>
      </c>
      <c r="M86" s="263" t="n">
        <v>98.7680331554925</v>
      </c>
      <c r="N86" s="243" t="n"/>
    </row>
    <row r="87" ht="15" customFormat="1" customHeight="1" s="318">
      <c r="A87" s="323" t="inlineStr">
        <is>
          <t>Томская область</t>
        </is>
      </c>
      <c r="B87" s="270" t="n">
        <v>96.90000000000001</v>
      </c>
      <c r="C87" s="270" t="n">
        <v>103</v>
      </c>
      <c r="D87" s="270" t="n">
        <v>103.9</v>
      </c>
      <c r="E87" s="270" t="n">
        <v>102</v>
      </c>
      <c r="F87" s="270" t="n">
        <v>95.8</v>
      </c>
      <c r="G87" s="270" t="n">
        <v>103.9</v>
      </c>
      <c r="H87" s="270" t="n">
        <v>102.8</v>
      </c>
      <c r="I87" s="270" t="n">
        <v>102.883930183314</v>
      </c>
      <c r="J87" s="270" t="n">
        <v>101.258277456029</v>
      </c>
      <c r="K87" s="270" t="n">
        <v>99.7708236256869</v>
      </c>
      <c r="L87" s="270" t="n">
        <v>100.132565001523</v>
      </c>
      <c r="M87" s="271" t="n">
        <v>100.734724328005</v>
      </c>
      <c r="N87" s="243" t="n"/>
    </row>
    <row r="88" ht="15" customFormat="1" customHeight="1" s="225">
      <c r="A88" s="324" t="inlineStr">
        <is>
          <t>Дальневосточный федеральный округ</t>
        </is>
      </c>
      <c r="B88" s="275" t="n">
        <v>105.7</v>
      </c>
      <c r="C88" s="275" t="n">
        <v>106.3</v>
      </c>
      <c r="D88" s="275" t="n">
        <v>110.1</v>
      </c>
      <c r="E88" s="275" t="n">
        <v>103.8</v>
      </c>
      <c r="F88" s="275" t="n">
        <v>101.8</v>
      </c>
      <c r="G88" s="275" t="n">
        <v>107.1</v>
      </c>
      <c r="H88" s="275" t="n">
        <v>105.7</v>
      </c>
      <c r="I88" s="275" t="n">
        <v>99.3052007037173</v>
      </c>
      <c r="J88" s="275" t="n">
        <v>99.5168778787781</v>
      </c>
      <c r="K88" s="275" t="n">
        <v>101.504101428869</v>
      </c>
      <c r="L88" s="254" t="n">
        <v>100.833852128425</v>
      </c>
      <c r="M88" s="254" t="n">
        <v>100.226709506984</v>
      </c>
      <c r="N88" s="243" t="n"/>
    </row>
    <row r="89" ht="15" customFormat="1" customHeight="1" s="225">
      <c r="A89" s="323" t="inlineStr">
        <is>
          <t>Республика Бурятия</t>
        </is>
      </c>
      <c r="B89" s="273" t="n">
        <v>105.2</v>
      </c>
      <c r="C89" s="273" t="n">
        <v>106.1</v>
      </c>
      <c r="D89" s="273" t="n">
        <v>107.8</v>
      </c>
      <c r="E89" s="273" t="n">
        <v>105.3</v>
      </c>
      <c r="F89" s="273" t="n">
        <v>92.40000000000001</v>
      </c>
      <c r="G89" s="273" t="n">
        <v>103.2</v>
      </c>
      <c r="H89" s="273" t="n">
        <v>103.7</v>
      </c>
      <c r="I89" s="273" t="n">
        <v>100.51427902212</v>
      </c>
      <c r="J89" s="273" t="n">
        <v>100.72067074739</v>
      </c>
      <c r="K89" s="273" t="n">
        <v>98.01303421082871</v>
      </c>
      <c r="L89" s="273" t="n">
        <v>99.2277797932253</v>
      </c>
      <c r="M89" s="274" t="n">
        <v>93.27980105274639</v>
      </c>
      <c r="N89" s="243" t="n"/>
    </row>
    <row r="90" ht="15" customHeight="1" s="226">
      <c r="A90" s="323" t="inlineStr">
        <is>
          <t>Республика Саха (Якутия)</t>
        </is>
      </c>
      <c r="B90" s="262" t="n">
        <v>104.7</v>
      </c>
      <c r="C90" s="262" t="n">
        <v>103.2</v>
      </c>
      <c r="D90" s="262" t="n">
        <v>104.3</v>
      </c>
      <c r="E90" s="262" t="n">
        <v>107.1</v>
      </c>
      <c r="F90" s="262" t="n">
        <v>97.59999999999999</v>
      </c>
      <c r="G90" s="262" t="n">
        <v>101.6</v>
      </c>
      <c r="H90" s="262" t="n">
        <v>107.2</v>
      </c>
      <c r="I90" s="262" t="n">
        <v>103.299815133923</v>
      </c>
      <c r="J90" s="262" t="n">
        <v>100.90569750103</v>
      </c>
      <c r="K90" s="262" t="n">
        <v>103.062700033835</v>
      </c>
      <c r="L90" s="262" t="n">
        <v>101.366236686058</v>
      </c>
      <c r="M90" s="263" t="n">
        <v>103.606491149846</v>
      </c>
      <c r="N90" s="243" t="n"/>
    </row>
    <row r="91" ht="15" customFormat="1" customHeight="1" s="225">
      <c r="A91" s="323" t="inlineStr">
        <is>
          <t>Забайкальский край</t>
        </is>
      </c>
      <c r="B91" s="262" t="n">
        <v>104.6</v>
      </c>
      <c r="C91" s="262" t="n">
        <v>106.6</v>
      </c>
      <c r="D91" s="262" t="n">
        <v>112.4</v>
      </c>
      <c r="E91" s="262" t="n">
        <v>109.4</v>
      </c>
      <c r="F91" s="262" t="n">
        <v>100.8</v>
      </c>
      <c r="G91" s="262" t="n">
        <v>103.8</v>
      </c>
      <c r="H91" s="262" t="n">
        <v>108.2</v>
      </c>
      <c r="I91" s="262" t="n">
        <v>103.077940425984</v>
      </c>
      <c r="J91" s="262" t="n">
        <v>98.8581136740718</v>
      </c>
      <c r="K91" s="262" t="n">
        <v>94.86867464165999</v>
      </c>
      <c r="L91" s="262" t="n">
        <v>99.7878336042366</v>
      </c>
      <c r="M91" s="263" t="n">
        <v>100.860872379066</v>
      </c>
      <c r="N91" s="243" t="n"/>
    </row>
    <row r="92" ht="15" customHeight="1" s="226">
      <c r="A92" s="323" t="inlineStr">
        <is>
          <t>Камчатский край</t>
        </is>
      </c>
      <c r="B92" s="262" t="n">
        <v>107</v>
      </c>
      <c r="C92" s="262" t="n">
        <v>107.7</v>
      </c>
      <c r="D92" s="262" t="n">
        <v>107.2</v>
      </c>
      <c r="E92" s="262" t="n">
        <v>105.1</v>
      </c>
      <c r="F92" s="262" t="n">
        <v>105.9</v>
      </c>
      <c r="G92" s="262" t="n">
        <v>100</v>
      </c>
      <c r="H92" s="262" t="n">
        <v>104</v>
      </c>
      <c r="I92" s="262" t="n">
        <v>102.986342019564</v>
      </c>
      <c r="J92" s="262" t="n">
        <v>100.127543388142</v>
      </c>
      <c r="K92" s="262" t="n">
        <v>102.029515016136</v>
      </c>
      <c r="L92" s="262" t="n">
        <v>103.136523727659</v>
      </c>
      <c r="M92" s="263" t="n">
        <v>104.256463695169</v>
      </c>
      <c r="N92" s="243" t="n"/>
    </row>
    <row r="93" ht="15" customHeight="1" s="226">
      <c r="A93" s="323" t="inlineStr">
        <is>
          <t>Приморский край</t>
        </is>
      </c>
      <c r="B93" s="262" t="n">
        <v>106.6</v>
      </c>
      <c r="C93" s="262" t="n">
        <v>105.2</v>
      </c>
      <c r="D93" s="262" t="n">
        <v>107.4</v>
      </c>
      <c r="E93" s="262" t="n">
        <v>107.7</v>
      </c>
      <c r="F93" s="262" t="n">
        <v>102.7</v>
      </c>
      <c r="G93" s="262" t="n">
        <v>112.1</v>
      </c>
      <c r="H93" s="262" t="n">
        <v>107.7</v>
      </c>
      <c r="I93" s="262" t="n">
        <v>93.34468233048609</v>
      </c>
      <c r="J93" s="262" t="n">
        <v>97.7968984687912</v>
      </c>
      <c r="K93" s="262" t="n">
        <v>101.7812422652</v>
      </c>
      <c r="L93" s="262" t="n">
        <v>99.863567061669</v>
      </c>
      <c r="M93" s="263" t="n">
        <v>98.07120638583601</v>
      </c>
      <c r="N93" s="243" t="n"/>
    </row>
    <row r="94" ht="15" customHeight="1" s="226">
      <c r="A94" s="323" t="inlineStr">
        <is>
          <t>Хабаровский край</t>
        </is>
      </c>
      <c r="B94" s="262" t="n">
        <v>105.7</v>
      </c>
      <c r="C94" s="262" t="n">
        <v>106.7</v>
      </c>
      <c r="D94" s="262" t="n">
        <v>105.9</v>
      </c>
      <c r="E94" s="262" t="n">
        <v>102.9</v>
      </c>
      <c r="F94" s="262" t="n">
        <v>93.2</v>
      </c>
      <c r="G94" s="262" t="n">
        <v>111.3</v>
      </c>
      <c r="H94" s="262" t="n">
        <v>102.8</v>
      </c>
      <c r="I94" s="262" t="n">
        <v>100.590756052491</v>
      </c>
      <c r="J94" s="262" t="n">
        <v>101.454032541139</v>
      </c>
      <c r="K94" s="262" t="n">
        <v>101.200741435847</v>
      </c>
      <c r="L94" s="262" t="n">
        <v>95.9348250447281</v>
      </c>
      <c r="M94" s="263" t="n">
        <v>100.328646551134</v>
      </c>
      <c r="N94" s="243" t="n"/>
    </row>
    <row r="95" ht="15" customHeight="1" s="226">
      <c r="A95" s="323" t="inlineStr">
        <is>
          <t>Амурская область</t>
        </is>
      </c>
      <c r="B95" s="262" t="n">
        <v>104.7</v>
      </c>
      <c r="C95" s="262" t="n">
        <v>104.7</v>
      </c>
      <c r="D95" s="262" t="n">
        <v>110.1</v>
      </c>
      <c r="E95" s="262" t="n">
        <v>105.7</v>
      </c>
      <c r="F95" s="262" t="n">
        <v>98.90000000000001</v>
      </c>
      <c r="G95" s="262" t="n">
        <v>106.6</v>
      </c>
      <c r="H95" s="262" t="n">
        <v>109</v>
      </c>
      <c r="I95" s="262" t="n">
        <v>98.10288753446351</v>
      </c>
      <c r="J95" s="262" t="n">
        <v>90.0552414944873</v>
      </c>
      <c r="K95" s="262" t="n">
        <v>103.651356013001</v>
      </c>
      <c r="L95" s="262" t="n">
        <v>104.163407053451</v>
      </c>
      <c r="M95" s="263" t="n">
        <v>99.1998638587535</v>
      </c>
      <c r="N95" s="243" t="n"/>
    </row>
    <row r="96" ht="15" customHeight="1" s="226">
      <c r="A96" s="323" t="inlineStr">
        <is>
          <t>Магаданская область</t>
        </is>
      </c>
      <c r="B96" s="262" t="n">
        <v>100.1</v>
      </c>
      <c r="C96" s="262" t="n">
        <v>102.4</v>
      </c>
      <c r="D96" s="262" t="n">
        <v>101.2</v>
      </c>
      <c r="E96" s="262" t="n">
        <v>107.2</v>
      </c>
      <c r="F96" s="262" t="n">
        <v>100.8</v>
      </c>
      <c r="G96" s="262" t="n">
        <v>105.9</v>
      </c>
      <c r="H96" s="262" t="n">
        <v>103.9</v>
      </c>
      <c r="I96" s="262" t="n">
        <v>105.123847700624</v>
      </c>
      <c r="J96" s="262" t="n">
        <v>105.45107508001</v>
      </c>
      <c r="K96" s="262" t="n">
        <v>104.60245479688</v>
      </c>
      <c r="L96" s="262" t="n">
        <v>103.703136159724</v>
      </c>
      <c r="M96" s="263" t="n">
        <v>99.5646937959375</v>
      </c>
      <c r="N96" s="243" t="n"/>
    </row>
    <row r="97" ht="15" customHeight="1" s="226">
      <c r="A97" s="323" t="inlineStr">
        <is>
          <t>Сахалинская область</t>
        </is>
      </c>
      <c r="B97" s="262" t="n">
        <v>110.5</v>
      </c>
      <c r="C97" s="262" t="n">
        <v>114</v>
      </c>
      <c r="D97" s="262" t="n">
        <v>127.7</v>
      </c>
      <c r="E97" s="262" t="n">
        <v>96.5</v>
      </c>
      <c r="F97" s="262" t="n">
        <v>111.8</v>
      </c>
      <c r="G97" s="262" t="n">
        <v>108.9</v>
      </c>
      <c r="H97" s="262" t="n">
        <v>104.9</v>
      </c>
      <c r="I97" s="262" t="n">
        <v>98.2019723970176</v>
      </c>
      <c r="J97" s="262" t="n">
        <v>102.262297247405</v>
      </c>
      <c r="K97" s="262" t="n">
        <v>101.646538302277</v>
      </c>
      <c r="L97" s="262" t="n">
        <v>103.954232607076</v>
      </c>
      <c r="M97" s="263" t="n">
        <v>100.421154579873</v>
      </c>
      <c r="N97" s="243" t="n"/>
    </row>
    <row r="98" ht="15" customHeight="1" s="226">
      <c r="A98" s="323" t="inlineStr">
        <is>
          <t>Еврейская автономная область</t>
        </is>
      </c>
      <c r="B98" s="262" t="n">
        <v>106.3</v>
      </c>
      <c r="C98" s="262" t="n">
        <v>107.1</v>
      </c>
      <c r="D98" s="262" t="n">
        <v>120.4</v>
      </c>
      <c r="E98" s="262" t="n">
        <v>101.2</v>
      </c>
      <c r="F98" s="262" t="n">
        <v>95.8</v>
      </c>
      <c r="G98" s="262" t="n">
        <v>117.6</v>
      </c>
      <c r="H98" s="262" t="n">
        <v>105.8</v>
      </c>
      <c r="I98" s="262" t="n">
        <v>102.849112340435</v>
      </c>
      <c r="J98" s="262" t="n">
        <v>83.7026436761365</v>
      </c>
      <c r="K98" s="262" t="n">
        <v>102.181332776767</v>
      </c>
      <c r="L98" s="262" t="n">
        <v>99.8154303083882</v>
      </c>
      <c r="M98" s="263" t="n">
        <v>99.75327172290049</v>
      </c>
      <c r="N98" s="243" t="n"/>
    </row>
    <row r="99" ht="15" customHeight="1" s="226">
      <c r="A99" s="323" t="inlineStr">
        <is>
          <t>Чукотский автономный округ</t>
        </is>
      </c>
      <c r="B99" s="265" t="n">
        <v>85.3</v>
      </c>
      <c r="C99" s="265" t="n">
        <v>104.4</v>
      </c>
      <c r="D99" s="265" t="n">
        <v>113.1</v>
      </c>
      <c r="E99" s="265" t="n">
        <v>118.2</v>
      </c>
      <c r="F99" s="265" t="n">
        <v>115.2</v>
      </c>
      <c r="G99" s="265" t="n">
        <v>84.09999999999999</v>
      </c>
      <c r="H99" s="265" t="n">
        <v>96</v>
      </c>
      <c r="I99" s="265" t="n">
        <v>99.698027422195</v>
      </c>
      <c r="J99" s="265" t="n">
        <v>101.188801371912</v>
      </c>
      <c r="K99" s="265" t="n">
        <v>115.614681273701</v>
      </c>
      <c r="L99" s="265" t="n">
        <v>101.592946410516</v>
      </c>
      <c r="M99" s="266" t="n">
        <v>96.8715620718565</v>
      </c>
      <c r="N99" s="243" t="n"/>
    </row>
    <row r="101" ht="21" customFormat="1" customHeight="1" s="225">
      <c r="A101" s="296" t="inlineStr">
        <is>
          <t>1) Данные содержат изменения, связанные с учетом итогов ВПН-2020.</t>
        </is>
      </c>
      <c r="N101" s="243" t="n"/>
      <c r="P101" s="225" t="n"/>
      <c r="Q101" s="225" t="n"/>
      <c r="R101" s="225" t="n"/>
      <c r="S101" s="225" t="n"/>
    </row>
    <row r="102" ht="15.75" customHeight="1" s="226">
      <c r="A102" s="280" t="n"/>
    </row>
  </sheetData>
  <mergeCells count="1">
    <mergeCell ref="A101:L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86" activeCellId="0" sqref="K86"/>
    </sheetView>
  </sheetViews>
  <sheetFormatPr baseColWidth="8" defaultColWidth="8.1484375" defaultRowHeight="15.75" customHeight="0" zeroHeight="0" outlineLevelRow="0"/>
  <cols>
    <col width="46" customWidth="1" style="225" min="1" max="1"/>
    <col width="8.15" customWidth="1" style="248" min="2" max="2"/>
    <col width="8.15" customWidth="1" style="225" min="3" max="3"/>
    <col width="8.15" customWidth="1" style="225" min="4" max="4"/>
    <col width="8.15" customWidth="1" style="225" min="5" max="6"/>
    <col width="8.15" customWidth="1" style="225" min="7" max="8"/>
    <col width="17.15" customWidth="1" style="225" min="9" max="9"/>
    <col width="17.71" customWidth="1" style="225" min="10" max="10"/>
    <col width="23.29" customWidth="1" style="225" min="11" max="11"/>
    <col width="8.15" customWidth="1" style="225" min="12" max="16384"/>
  </cols>
  <sheetData>
    <row r="1" ht="33" customHeight="1" s="226">
      <c r="A1" s="244" t="inlineStr">
        <is>
          <t xml:space="preserve">          К содержанию</t>
        </is>
      </c>
      <c r="B1" s="225" t="n"/>
      <c r="D1" s="225" t="n"/>
    </row>
    <row r="2" ht="51" customHeight="1" s="226">
      <c r="A2" s="297" t="inlineStr">
        <is>
          <t>Индексы физического объема валового регионального продукта на душу населения в 2017-2023 гг.1)2)
(в процентах к предыдущему году)</t>
        </is>
      </c>
      <c r="B2" s="298" t="n"/>
      <c r="C2" s="298" t="n"/>
      <c r="D2" s="298" t="n"/>
    </row>
    <row r="3" ht="15.75" customHeight="1" s="226">
      <c r="A3" s="250" t="n"/>
      <c r="B3" s="284" t="n">
        <v>2017</v>
      </c>
      <c r="C3" s="284" t="n">
        <v>2018</v>
      </c>
      <c r="D3" s="284" t="n">
        <v>2019</v>
      </c>
      <c r="E3" s="284" t="n">
        <v>2020</v>
      </c>
      <c r="F3" s="284" t="n">
        <v>2021</v>
      </c>
      <c r="G3" s="284" t="inlineStr">
        <is>
          <t>20222)</t>
        </is>
      </c>
      <c r="H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101.687919786196</v>
      </c>
      <c r="C4" s="252" t="n">
        <v>102.709353529977</v>
      </c>
      <c r="D4" s="252" t="n">
        <v>101.544284178943</v>
      </c>
      <c r="E4" s="252" t="n">
        <v>97.927442739424</v>
      </c>
      <c r="F4" s="252" t="n">
        <v>107.65685593348</v>
      </c>
      <c r="G4" s="252" t="n">
        <v>100.6</v>
      </c>
      <c r="H4" s="252" t="n">
        <v>105.015045135406</v>
      </c>
      <c r="K4" s="243" t="n"/>
    </row>
    <row r="5" ht="15" customHeight="1" s="226">
      <c r="A5" s="253" t="inlineStr">
        <is>
          <t>Центральный федеральный округ</t>
        </is>
      </c>
      <c r="B5" s="254" t="n">
        <v>101.354656752093</v>
      </c>
      <c r="C5" s="254" t="n">
        <v>102.304577326507</v>
      </c>
      <c r="D5" s="254" t="n">
        <v>101.370739025564</v>
      </c>
      <c r="E5" s="254" t="n">
        <v>99.0931344109178</v>
      </c>
      <c r="F5" s="254" t="n">
        <v>109.563247211383</v>
      </c>
      <c r="G5" s="254" t="n">
        <v>98.90000000000001</v>
      </c>
      <c r="H5" s="254" t="n">
        <v>107.807807807808</v>
      </c>
      <c r="K5" s="243" t="n"/>
    </row>
    <row r="6" ht="15" customHeight="1" s="226">
      <c r="A6" s="255" t="inlineStr">
        <is>
          <t>Белгородская область</t>
        </is>
      </c>
      <c r="B6" s="262" t="n">
        <v>103.982669164805</v>
      </c>
      <c r="C6" s="262" t="n">
        <v>102.552685142824</v>
      </c>
      <c r="D6" s="262" t="n">
        <v>101.999342749626</v>
      </c>
      <c r="E6" s="262" t="n">
        <v>100.276203158677</v>
      </c>
      <c r="F6" s="262" t="n">
        <v>103.350108991419</v>
      </c>
      <c r="G6" s="262" t="n">
        <v>100.2</v>
      </c>
      <c r="H6" s="263" t="n">
        <v>104.352226720648</v>
      </c>
      <c r="K6" s="243" t="n"/>
    </row>
    <row r="7" ht="15" customHeight="1" s="226">
      <c r="A7" s="260" t="inlineStr">
        <is>
          <t>Брянская область</t>
        </is>
      </c>
      <c r="B7" s="262" t="n">
        <v>104.540063227748</v>
      </c>
      <c r="C7" s="262" t="n">
        <v>103.891026723019</v>
      </c>
      <c r="D7" s="262" t="n">
        <v>103.11373246283</v>
      </c>
      <c r="E7" s="262" t="n">
        <v>100.360962831033</v>
      </c>
      <c r="F7" s="262" t="n">
        <v>104.888449752314</v>
      </c>
      <c r="G7" s="262" t="n">
        <v>101</v>
      </c>
      <c r="H7" s="263" t="n">
        <v>107.171717171717</v>
      </c>
      <c r="K7" s="243" t="n"/>
    </row>
    <row r="8" ht="15" customHeight="1" s="226">
      <c r="A8" s="260" t="inlineStr">
        <is>
          <t>Владимирская область</t>
        </is>
      </c>
      <c r="B8" s="262" t="n">
        <v>101.252949255768</v>
      </c>
      <c r="C8" s="262" t="n">
        <v>101.238571972222</v>
      </c>
      <c r="D8" s="262" t="n">
        <v>107.036661528336</v>
      </c>
      <c r="E8" s="262" t="n">
        <v>100.544856789892</v>
      </c>
      <c r="F8" s="262" t="n">
        <v>114.216125552424</v>
      </c>
      <c r="G8" s="262" t="n">
        <v>94.5</v>
      </c>
      <c r="H8" s="263" t="n">
        <v>107.793522267206</v>
      </c>
      <c r="K8" s="243" t="n"/>
    </row>
    <row r="9" ht="15" customHeight="1" s="226">
      <c r="A9" s="260" t="inlineStr">
        <is>
          <t>Воронежская область</t>
        </is>
      </c>
      <c r="B9" s="262" t="n">
        <v>102.333576866614</v>
      </c>
      <c r="C9" s="262" t="n">
        <v>102.806128172497</v>
      </c>
      <c r="D9" s="262" t="n">
        <v>101.447521515904</v>
      </c>
      <c r="E9" s="262" t="n">
        <v>97.8066320150154</v>
      </c>
      <c r="F9" s="262" t="n">
        <v>104.758866871755</v>
      </c>
      <c r="G9" s="262" t="n">
        <v>98.3</v>
      </c>
      <c r="H9" s="263" t="n">
        <v>103.722334004024</v>
      </c>
      <c r="K9" s="243" t="n"/>
    </row>
    <row r="10" ht="15" customHeight="1" s="226">
      <c r="A10" s="260" t="inlineStr">
        <is>
          <t>Ивановская область</t>
        </is>
      </c>
      <c r="B10" s="262" t="n">
        <v>100.74455253884</v>
      </c>
      <c r="C10" s="262" t="n">
        <v>102.988487925709</v>
      </c>
      <c r="D10" s="262" t="n">
        <v>103.939655055609</v>
      </c>
      <c r="E10" s="262" t="n">
        <v>102.717117864518</v>
      </c>
      <c r="F10" s="262" t="n">
        <v>103.513490782878</v>
      </c>
      <c r="G10" s="262" t="n">
        <v>101.3</v>
      </c>
      <c r="H10" s="263" t="n">
        <v>107.373737373737</v>
      </c>
      <c r="K10" s="243" t="n"/>
    </row>
    <row r="11" ht="15" customHeight="1" s="226">
      <c r="A11" s="260" t="inlineStr">
        <is>
          <t>Калужская область</t>
        </is>
      </c>
      <c r="B11" s="262" t="n">
        <v>104.718238021196</v>
      </c>
      <c r="C11" s="262" t="n">
        <v>102.407506704197</v>
      </c>
      <c r="D11" s="262" t="n">
        <v>102.219542240979</v>
      </c>
      <c r="E11" s="262" t="n">
        <v>98.57696384102</v>
      </c>
      <c r="F11" s="262" t="n">
        <v>106.436238411467</v>
      </c>
      <c r="G11" s="262" t="n">
        <v>87.90000000000001</v>
      </c>
      <c r="H11" s="263" t="n">
        <v>106.412825651303</v>
      </c>
      <c r="K11" s="243" t="n"/>
    </row>
    <row r="12" ht="15" customHeight="1" s="226">
      <c r="A12" s="260" t="inlineStr">
        <is>
          <t>Костромская область</t>
        </is>
      </c>
      <c r="B12" s="262" t="n">
        <v>103.624918399205</v>
      </c>
      <c r="C12" s="262" t="n">
        <v>101.84418870458</v>
      </c>
      <c r="D12" s="262" t="n">
        <v>102.996826267208</v>
      </c>
      <c r="E12" s="262" t="n">
        <v>97.6356838650768</v>
      </c>
      <c r="F12" s="262" t="n">
        <v>106.898382099946</v>
      </c>
      <c r="G12" s="262" t="n">
        <v>99.8</v>
      </c>
      <c r="H12" s="263" t="n">
        <v>106.868686868687</v>
      </c>
      <c r="K12" s="243" t="n"/>
    </row>
    <row r="13" ht="15" customHeight="1" s="226">
      <c r="A13" s="260" t="inlineStr">
        <is>
          <t>Курская область</t>
        </is>
      </c>
      <c r="B13" s="262" t="n">
        <v>103.060978236908</v>
      </c>
      <c r="C13" s="262" t="n">
        <v>103.682127262286</v>
      </c>
      <c r="D13" s="262" t="n">
        <v>103.269258936102</v>
      </c>
      <c r="E13" s="262" t="n">
        <v>102.64041232051</v>
      </c>
      <c r="F13" s="262" t="n">
        <v>106.847011064941</v>
      </c>
      <c r="G13" s="262" t="n">
        <v>95.7</v>
      </c>
      <c r="H13" s="263" t="n">
        <v>106.149193548387</v>
      </c>
      <c r="K13" s="243" t="n"/>
    </row>
    <row r="14" ht="15" customHeight="1" s="226">
      <c r="A14" s="260" t="inlineStr">
        <is>
          <t>Липецкая область</t>
        </is>
      </c>
      <c r="B14" s="262" t="n">
        <v>101.253821996165</v>
      </c>
      <c r="C14" s="262" t="n">
        <v>102.430455063314</v>
      </c>
      <c r="D14" s="262" t="n">
        <v>98.4576739522207</v>
      </c>
      <c r="E14" s="262" t="n">
        <v>103.307086079758</v>
      </c>
      <c r="F14" s="262" t="n">
        <v>105.482928657939</v>
      </c>
      <c r="G14" s="262" t="n">
        <v>93.09999999999999</v>
      </c>
      <c r="H14" s="263" t="n">
        <v>114.444444444444</v>
      </c>
      <c r="K14" s="243" t="n"/>
    </row>
    <row r="15" ht="15" customHeight="1" s="226">
      <c r="A15" s="260" t="inlineStr">
        <is>
          <t>Московская область</t>
        </is>
      </c>
      <c r="B15" s="262" t="n">
        <v>100.105831111508</v>
      </c>
      <c r="C15" s="262" t="n">
        <v>100.292970860424</v>
      </c>
      <c r="D15" s="262" t="n">
        <v>104.380230426668</v>
      </c>
      <c r="E15" s="262" t="n">
        <v>97.7017432762743</v>
      </c>
      <c r="F15" s="262" t="n">
        <v>110.486649882126</v>
      </c>
      <c r="G15" s="262" t="n">
        <v>94.2</v>
      </c>
      <c r="H15" s="263" t="n">
        <v>108.250497017893</v>
      </c>
      <c r="K15" s="243" t="n"/>
    </row>
    <row r="16" ht="15" customHeight="1" s="226">
      <c r="A16" s="260" t="inlineStr">
        <is>
          <t>Орловская область</t>
        </is>
      </c>
      <c r="B16" s="262" t="n">
        <v>99.47057679489519</v>
      </c>
      <c r="C16" s="262" t="n">
        <v>102.198794336392</v>
      </c>
      <c r="D16" s="262" t="n">
        <v>103.816028581558</v>
      </c>
      <c r="E16" s="262" t="n">
        <v>101.069767826478</v>
      </c>
      <c r="F16" s="262" t="n">
        <v>103.435973193758</v>
      </c>
      <c r="G16" s="262" t="n">
        <v>98.5</v>
      </c>
      <c r="H16" s="263" t="n">
        <v>106.072874493927</v>
      </c>
      <c r="K16" s="243" t="n"/>
    </row>
    <row r="17" ht="15" customHeight="1" s="226">
      <c r="A17" s="260" t="inlineStr">
        <is>
          <t>Рязанская область</t>
        </is>
      </c>
      <c r="B17" s="262" t="n">
        <v>102.178619942082</v>
      </c>
      <c r="C17" s="262" t="n">
        <v>100.752252859058</v>
      </c>
      <c r="D17" s="262" t="n">
        <v>101.75638155719</v>
      </c>
      <c r="E17" s="262" t="n">
        <v>101.705261642844</v>
      </c>
      <c r="F17" s="262" t="n">
        <v>104.898539173861</v>
      </c>
      <c r="G17" s="262" t="n">
        <v>102.8</v>
      </c>
      <c r="H17" s="263" t="n">
        <v>105.337361530715</v>
      </c>
      <c r="K17" s="243" t="n"/>
    </row>
    <row r="18" ht="15" customHeight="1" s="226">
      <c r="A18" s="260" t="inlineStr">
        <is>
          <t>Смоленская область</t>
        </is>
      </c>
      <c r="B18" s="262" t="n">
        <v>103.725424054177</v>
      </c>
      <c r="C18" s="262" t="n">
        <v>102.814909652639</v>
      </c>
      <c r="D18" s="262" t="n">
        <v>101.007202212457</v>
      </c>
      <c r="E18" s="262" t="n">
        <v>100.38538981808</v>
      </c>
      <c r="F18" s="262" t="n">
        <v>106.721513732003</v>
      </c>
      <c r="G18" s="262" t="n">
        <v>101.6</v>
      </c>
      <c r="H18" s="263" t="n">
        <v>108.611955420466</v>
      </c>
      <c r="K18" s="243" t="n"/>
    </row>
    <row r="19" ht="15" customHeight="1" s="226">
      <c r="A19" s="260" t="inlineStr">
        <is>
          <t>Тамбовская область</t>
        </is>
      </c>
      <c r="B19" s="262" t="n">
        <v>101.920034254671</v>
      </c>
      <c r="C19" s="262" t="n">
        <v>104.527270410579</v>
      </c>
      <c r="D19" s="262" t="n">
        <v>99.0143103250372</v>
      </c>
      <c r="E19" s="262" t="n">
        <v>101.319678534836</v>
      </c>
      <c r="F19" s="262" t="n">
        <v>101.656368948442</v>
      </c>
      <c r="G19" s="262" t="n">
        <v>99.5</v>
      </c>
      <c r="H19" s="263" t="n">
        <v>109.514170040486</v>
      </c>
      <c r="K19" s="243" t="n"/>
    </row>
    <row r="20" ht="15" customHeight="1" s="226">
      <c r="A20" s="260" t="inlineStr">
        <is>
          <t>Тверская область</t>
        </is>
      </c>
      <c r="B20" s="262" t="n">
        <v>102.049599377577</v>
      </c>
      <c r="C20" s="262" t="n">
        <v>104.633945855058</v>
      </c>
      <c r="D20" s="262" t="n">
        <v>99.3454834798184</v>
      </c>
      <c r="E20" s="262" t="n">
        <v>97.55749051949491</v>
      </c>
      <c r="F20" s="262" t="n">
        <v>104.2911540126</v>
      </c>
      <c r="G20" s="262" t="n">
        <v>98.09999999999999</v>
      </c>
      <c r="H20" s="263" t="n">
        <v>111.324570273003</v>
      </c>
      <c r="K20" s="243" t="n"/>
    </row>
    <row r="21" ht="15" customHeight="1" s="226">
      <c r="A21" s="260" t="inlineStr">
        <is>
          <t>Тульская область</t>
        </is>
      </c>
      <c r="B21" s="262" t="n">
        <v>104.079676702975</v>
      </c>
      <c r="C21" s="262" t="n">
        <v>103.494890304761</v>
      </c>
      <c r="D21" s="262" t="n">
        <v>100.55757362374</v>
      </c>
      <c r="E21" s="262" t="n">
        <v>103.717932741646</v>
      </c>
      <c r="F21" s="262" t="n">
        <v>106.383624559965</v>
      </c>
      <c r="G21" s="262" t="n">
        <v>105</v>
      </c>
      <c r="H21" s="263" t="n">
        <v>110.595358224016</v>
      </c>
      <c r="K21" s="243" t="n"/>
    </row>
    <row r="22" ht="15" customHeight="1" s="226">
      <c r="A22" s="260" t="inlineStr">
        <is>
          <t>Ярославская область</t>
        </is>
      </c>
      <c r="B22" s="262" t="n">
        <v>102.71550816196</v>
      </c>
      <c r="C22" s="262" t="n">
        <v>103.824153864647</v>
      </c>
      <c r="D22" s="262" t="n">
        <v>100.756692858128</v>
      </c>
      <c r="E22" s="262" t="n">
        <v>100.599025017947</v>
      </c>
      <c r="F22" s="262" t="n">
        <v>106.499169941911</v>
      </c>
      <c r="G22" s="262" t="n">
        <v>98.09999999999999</v>
      </c>
      <c r="H22" s="263" t="n">
        <v>105.947580645161</v>
      </c>
      <c r="K22" s="243" t="n"/>
    </row>
    <row r="23" ht="15" customHeight="1" s="226">
      <c r="A23" s="260" t="inlineStr">
        <is>
          <t>г.Москва</t>
        </is>
      </c>
      <c r="B23" s="262" t="n">
        <v>100.528248801266</v>
      </c>
      <c r="C23" s="262" t="n">
        <v>101.792918329684</v>
      </c>
      <c r="D23" s="262" t="n">
        <v>99.98603824289199</v>
      </c>
      <c r="E23" s="262" t="n">
        <v>98.42064857915361</v>
      </c>
      <c r="F23" s="262" t="n">
        <v>110.408210207496</v>
      </c>
      <c r="G23" s="262" t="n">
        <v>100.1</v>
      </c>
      <c r="H23" s="263" t="n">
        <v>107.363184079602</v>
      </c>
      <c r="K23" s="243" t="n"/>
    </row>
    <row r="24" ht="15" customFormat="1" customHeight="1" s="318">
      <c r="A24" s="276" t="inlineStr">
        <is>
          <t>Северо-Западный федеральный округ</t>
        </is>
      </c>
      <c r="B24" s="254" t="n">
        <v>100.575125610105</v>
      </c>
      <c r="C24" s="254" t="n">
        <v>102.155648025222</v>
      </c>
      <c r="D24" s="254" t="n">
        <v>101.583291170218</v>
      </c>
      <c r="E24" s="254" t="n">
        <v>98.0745523915871</v>
      </c>
      <c r="F24" s="254" t="n">
        <v>112.757992536756</v>
      </c>
      <c r="G24" s="254" t="n">
        <v>97.8</v>
      </c>
      <c r="H24" s="254" t="n">
        <v>99.7993981945837</v>
      </c>
      <c r="K24" s="243" t="n"/>
    </row>
    <row r="25" ht="15" customHeight="1" s="226">
      <c r="A25" s="268" t="inlineStr">
        <is>
          <t>Республика Карелия</t>
        </is>
      </c>
      <c r="B25" s="262" t="n">
        <v>102.719691302462</v>
      </c>
      <c r="C25" s="262" t="n">
        <v>103.456470869023</v>
      </c>
      <c r="D25" s="262" t="n">
        <v>102.209441906217</v>
      </c>
      <c r="E25" s="262" t="n">
        <v>101.846779944075</v>
      </c>
      <c r="F25" s="262" t="n">
        <v>104.657213497627</v>
      </c>
      <c r="G25" s="262" t="n">
        <v>92.2</v>
      </c>
      <c r="H25" s="263" t="n">
        <v>104.435483870968</v>
      </c>
      <c r="K25" s="243" t="n"/>
    </row>
    <row r="26" ht="15" customHeight="1" s="226">
      <c r="A26" s="268" t="inlineStr">
        <is>
          <t>Республика Коми</t>
        </is>
      </c>
      <c r="B26" s="262" t="n">
        <v>97.9937664638843</v>
      </c>
      <c r="C26" s="262" t="n">
        <v>100.729497841798</v>
      </c>
      <c r="D26" s="262" t="n">
        <v>103.020161814186</v>
      </c>
      <c r="E26" s="262" t="n">
        <v>95.5769451299748</v>
      </c>
      <c r="F26" s="262" t="n">
        <v>104.198998107476</v>
      </c>
      <c r="G26" s="262" t="n">
        <v>101.5</v>
      </c>
      <c r="H26" s="263" t="n">
        <v>100.201816347124</v>
      </c>
      <c r="K26" s="243" t="n"/>
    </row>
    <row r="27" ht="15" customHeight="1" s="226">
      <c r="A27" s="268" t="inlineStr">
        <is>
          <t>Архангельская область</t>
        </is>
      </c>
      <c r="B27" s="262" t="n">
        <v>103.392899849573</v>
      </c>
      <c r="C27" s="262" t="n">
        <v>101.091122559668</v>
      </c>
      <c r="D27" s="262" t="n">
        <v>101.880325972898</v>
      </c>
      <c r="E27" s="262" t="n">
        <v>95.03273122057089</v>
      </c>
      <c r="F27" s="262" t="n">
        <v>107.322088703519</v>
      </c>
      <c r="G27" s="262" t="n">
        <v>104.1</v>
      </c>
      <c r="H27" s="263" t="n">
        <v>99.5963673057518</v>
      </c>
      <c r="K27" s="243" t="n"/>
    </row>
    <row r="28" ht="15" customHeight="1" s="226">
      <c r="A28" s="268" t="inlineStr">
        <is>
          <t xml:space="preserve">  в т.ч. Ненецкий авт. округ</t>
        </is>
      </c>
      <c r="B28" s="262" t="n">
        <v>98.9272886781269</v>
      </c>
      <c r="C28" s="262" t="n">
        <v>93.25176287797299</v>
      </c>
      <c r="D28" s="262" t="n">
        <v>100.133759492454</v>
      </c>
      <c r="E28" s="262" t="n">
        <v>85.6596974725248</v>
      </c>
      <c r="F28" s="262" t="n">
        <v>108.832934882152</v>
      </c>
      <c r="G28" s="262" t="n">
        <v>112.5</v>
      </c>
      <c r="H28" s="263" t="n">
        <v>95.7425742574257</v>
      </c>
      <c r="K28" s="243" t="n"/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2" t="n">
        <v>105.371111629572</v>
      </c>
      <c r="C29" s="262" t="n">
        <v>104.797097613908</v>
      </c>
      <c r="D29" s="262" t="n">
        <v>102.333776685272</v>
      </c>
      <c r="E29" s="262" t="n">
        <v>99.8735637766375</v>
      </c>
      <c r="F29" s="262" t="n">
        <v>105.96985389205</v>
      </c>
      <c r="G29" s="262" t="n">
        <v>98.09999999999999</v>
      </c>
      <c r="H29" s="263" t="n">
        <v>101.111111111111</v>
      </c>
      <c r="K29" s="243" t="n"/>
    </row>
    <row r="30" ht="15" customHeight="1" s="226">
      <c r="A30" s="268" t="inlineStr">
        <is>
          <t>Вологодская область</t>
        </is>
      </c>
      <c r="B30" s="262" t="n">
        <v>101.176070260565</v>
      </c>
      <c r="C30" s="262" t="n">
        <v>103.01431839561</v>
      </c>
      <c r="D30" s="262" t="n">
        <v>100.002286507132</v>
      </c>
      <c r="E30" s="262" t="n">
        <v>98.81687873434819</v>
      </c>
      <c r="F30" s="262" t="n">
        <v>103.850900942629</v>
      </c>
      <c r="G30" s="262" t="n">
        <v>96.09999999999999</v>
      </c>
      <c r="H30" s="263" t="n">
        <v>103.326612903226</v>
      </c>
      <c r="K30" s="243" t="n"/>
    </row>
    <row r="31" ht="15" customHeight="1" s="226">
      <c r="A31" s="268" t="inlineStr">
        <is>
          <t>Калининградская область</t>
        </is>
      </c>
      <c r="B31" s="262" t="n">
        <v>101.138285490832</v>
      </c>
      <c r="C31" s="262" t="n">
        <v>102.444688745005</v>
      </c>
      <c r="D31" s="262" t="n">
        <v>100.655715705962</v>
      </c>
      <c r="E31" s="262" t="n">
        <v>99.35547979907081</v>
      </c>
      <c r="F31" s="262" t="n">
        <v>108.166818504686</v>
      </c>
      <c r="G31" s="262" t="n">
        <v>95</v>
      </c>
      <c r="H31" s="263" t="n">
        <v>102.297702297702</v>
      </c>
      <c r="K31" s="243" t="n"/>
    </row>
    <row r="32" ht="15" customHeight="1" s="226">
      <c r="A32" s="268" t="inlineStr">
        <is>
          <t>Ленинградская область</t>
        </is>
      </c>
      <c r="B32" s="262" t="n">
        <v>100.231921789015</v>
      </c>
      <c r="C32" s="262" t="n">
        <v>102.522732989295</v>
      </c>
      <c r="D32" s="262" t="n">
        <v>100.682681450329</v>
      </c>
      <c r="E32" s="262" t="n">
        <v>97.88478351739489</v>
      </c>
      <c r="F32" s="262" t="n">
        <v>105.224526070872</v>
      </c>
      <c r="G32" s="262" t="n">
        <v>98.90000000000001</v>
      </c>
      <c r="H32" s="263" t="n">
        <v>108.24230387289</v>
      </c>
      <c r="K32" s="243" t="n"/>
    </row>
    <row r="33" ht="15" customHeight="1" s="226">
      <c r="A33" s="268" t="inlineStr">
        <is>
          <t>Мурманская область</t>
        </is>
      </c>
      <c r="B33" s="262" t="n">
        <v>102.767329424618</v>
      </c>
      <c r="C33" s="262" t="n">
        <v>102.030432576001</v>
      </c>
      <c r="D33" s="262" t="n">
        <v>106.791453336714</v>
      </c>
      <c r="E33" s="262" t="n">
        <v>109.183803633722</v>
      </c>
      <c r="F33" s="262" t="n">
        <v>107.823712444915</v>
      </c>
      <c r="G33" s="262" t="n">
        <v>94</v>
      </c>
      <c r="H33" s="263" t="n">
        <v>92.64853977844921</v>
      </c>
      <c r="K33" s="243" t="n"/>
    </row>
    <row r="34" ht="15" customHeight="1" s="226">
      <c r="A34" s="268" t="inlineStr">
        <is>
          <t>Новгородская область</t>
        </is>
      </c>
      <c r="B34" s="262" t="n">
        <v>102.734739383353</v>
      </c>
      <c r="C34" s="262" t="n">
        <v>99.25928035792219</v>
      </c>
      <c r="D34" s="262" t="n">
        <v>103.130894635548</v>
      </c>
      <c r="E34" s="262" t="n">
        <v>100.640081448117</v>
      </c>
      <c r="F34" s="262" t="n">
        <v>104.999752110056</v>
      </c>
      <c r="G34" s="262" t="n">
        <v>99.7</v>
      </c>
      <c r="H34" s="263" t="n">
        <v>104.641775983855</v>
      </c>
      <c r="K34" s="243" t="n"/>
    </row>
    <row r="35" ht="15" customHeight="1" s="226">
      <c r="A35" s="268" t="inlineStr">
        <is>
          <t>Псковская область</t>
        </is>
      </c>
      <c r="B35" s="262" t="n">
        <v>101.726997487697</v>
      </c>
      <c r="C35" s="262" t="n">
        <v>103.058045658046</v>
      </c>
      <c r="D35" s="262" t="n">
        <v>103.809029074116</v>
      </c>
      <c r="E35" s="262" t="n">
        <v>98.49118991575109</v>
      </c>
      <c r="F35" s="262" t="n">
        <v>102.918279580627</v>
      </c>
      <c r="G35" s="262" t="n">
        <v>100.5</v>
      </c>
      <c r="H35" s="263" t="n">
        <v>106.788247213779</v>
      </c>
      <c r="K35" s="243" t="n"/>
    </row>
    <row r="36" ht="15" customHeight="1" s="226">
      <c r="A36" s="268" t="inlineStr">
        <is>
          <t>г.Санкт-Петербург</t>
        </is>
      </c>
      <c r="B36" s="270" t="n">
        <v>99.5828187450287</v>
      </c>
      <c r="C36" s="270" t="n">
        <v>102.079468150953</v>
      </c>
      <c r="D36" s="262" t="n">
        <v>101.013659625377</v>
      </c>
      <c r="E36" s="270" t="n">
        <v>97.13216428008791</v>
      </c>
      <c r="F36" s="270" t="n">
        <v>119.708864343367</v>
      </c>
      <c r="G36" s="270" t="n">
        <v>97.5</v>
      </c>
      <c r="H36" s="271" t="n">
        <v>98.1981981981982</v>
      </c>
      <c r="K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102.841357304518</v>
      </c>
      <c r="C37" s="254" t="n">
        <v>101.383547609088</v>
      </c>
      <c r="D37" s="254" t="n">
        <v>100.881875043282</v>
      </c>
      <c r="E37" s="254" t="n">
        <v>98.37338626870491</v>
      </c>
      <c r="F37" s="254" t="n">
        <v>104.594398171266</v>
      </c>
      <c r="G37" s="254" t="n">
        <v>105.2</v>
      </c>
      <c r="H37" s="254" t="n">
        <v>105.717151454363</v>
      </c>
      <c r="K37" s="243" t="n"/>
    </row>
    <row r="38" ht="15" customHeight="1" s="226">
      <c r="A38" s="268" t="inlineStr">
        <is>
          <t>Республика Адыгея</t>
        </is>
      </c>
      <c r="B38" s="273" t="n">
        <v>101.807858200941</v>
      </c>
      <c r="C38" s="273" t="n">
        <v>102.565588230336</v>
      </c>
      <c r="D38" s="262" t="n">
        <v>102.775348387605</v>
      </c>
      <c r="E38" s="273" t="n">
        <v>102.136213846176</v>
      </c>
      <c r="F38" s="273" t="n">
        <v>102.376963938578</v>
      </c>
      <c r="G38" s="273" t="n">
        <v>103.3</v>
      </c>
      <c r="H38" s="274" t="n">
        <v>106.586826347305</v>
      </c>
      <c r="K38" s="243" t="n"/>
    </row>
    <row r="39" ht="15" customHeight="1" s="226">
      <c r="A39" s="268" t="inlineStr">
        <is>
          <t>Республика Калмыкия</t>
        </is>
      </c>
      <c r="B39" s="262" t="n">
        <v>102.110800369987</v>
      </c>
      <c r="C39" s="262" t="n">
        <v>101.044526341228</v>
      </c>
      <c r="D39" s="262" t="n">
        <v>100.398458676588</v>
      </c>
      <c r="E39" s="262" t="n">
        <v>97.60978031396439</v>
      </c>
      <c r="F39" s="262" t="n">
        <v>100.594213949735</v>
      </c>
      <c r="G39" s="262" t="n">
        <v>109.7</v>
      </c>
      <c r="H39" s="263" t="n">
        <v>125.474525474525</v>
      </c>
      <c r="K39" s="243" t="n"/>
    </row>
    <row r="40" ht="15" customHeight="1" s="226">
      <c r="A40" s="268" t="inlineStr">
        <is>
          <t>Республика Крым</t>
        </is>
      </c>
      <c r="B40" s="262" t="n">
        <v>103.440813473337</v>
      </c>
      <c r="C40" s="262" t="n">
        <v>104.530240549294</v>
      </c>
      <c r="D40" s="262" t="n">
        <v>102.860107330182</v>
      </c>
      <c r="E40" s="262" t="n">
        <v>100.822292576634</v>
      </c>
      <c r="F40" s="262" t="n">
        <v>104.603772072745</v>
      </c>
      <c r="G40" s="262" t="n">
        <v>98.40000000000001</v>
      </c>
      <c r="H40" s="263" t="n">
        <v>104.325955734406</v>
      </c>
      <c r="K40" s="243" t="n"/>
    </row>
    <row r="41" ht="15" customHeight="1" s="226">
      <c r="A41" s="268" t="inlineStr">
        <is>
          <t>Краснодарский край</t>
        </is>
      </c>
      <c r="B41" s="262" t="n">
        <v>102.241758583259</v>
      </c>
      <c r="C41" s="262" t="n">
        <v>100.085901722845</v>
      </c>
      <c r="D41" s="262" t="n">
        <v>99.44729055994139</v>
      </c>
      <c r="E41" s="262" t="n">
        <v>97.6774221989467</v>
      </c>
      <c r="F41" s="262" t="n">
        <v>107.747885759224</v>
      </c>
      <c r="G41" s="262" t="n">
        <v>108.1</v>
      </c>
      <c r="H41" s="263" t="n">
        <v>104.1</v>
      </c>
      <c r="K41" s="243" t="n"/>
    </row>
    <row r="42" ht="15" customHeight="1" s="226">
      <c r="A42" s="268" t="inlineStr">
        <is>
          <t>Астраханская область</t>
        </is>
      </c>
      <c r="B42" s="262" t="n">
        <v>112.465978464457</v>
      </c>
      <c r="C42" s="262" t="n">
        <v>105.049070646926</v>
      </c>
      <c r="D42" s="262" t="n">
        <v>103.307410297441</v>
      </c>
      <c r="E42" s="262" t="n">
        <v>101.030446289303</v>
      </c>
      <c r="F42" s="262" t="n">
        <v>97.8122418644819</v>
      </c>
      <c r="G42" s="262" t="n">
        <v>101.7</v>
      </c>
      <c r="H42" s="263" t="n">
        <v>104.225352112676</v>
      </c>
      <c r="K42" s="243" t="n"/>
    </row>
    <row r="43" ht="15" customHeight="1" s="226">
      <c r="A43" s="268" t="inlineStr">
        <is>
          <t>Волгоградская область</t>
        </is>
      </c>
      <c r="B43" s="262" t="n">
        <v>100.329819488251</v>
      </c>
      <c r="C43" s="262" t="n">
        <v>99.9885566688093</v>
      </c>
      <c r="D43" s="262" t="n">
        <v>100.339924926247</v>
      </c>
      <c r="E43" s="262" t="n">
        <v>98.98934868670641</v>
      </c>
      <c r="F43" s="262" t="n">
        <v>96.9423393084207</v>
      </c>
      <c r="G43" s="262" t="n">
        <v>105.2</v>
      </c>
      <c r="H43" s="263" t="n">
        <v>108.870967741935</v>
      </c>
      <c r="K43" s="243" t="n"/>
    </row>
    <row r="44" ht="15" customHeight="1" s="226">
      <c r="A44" s="268" t="inlineStr">
        <is>
          <t>Ростовская область</t>
        </is>
      </c>
      <c r="B44" s="262" t="n">
        <v>102.601559262104</v>
      </c>
      <c r="C44" s="262" t="n">
        <v>102.467515403841</v>
      </c>
      <c r="D44" s="262" t="n">
        <v>101.989857530056</v>
      </c>
      <c r="E44" s="262" t="n">
        <v>97.7613634560753</v>
      </c>
      <c r="F44" s="262" t="n">
        <v>106.769727508019</v>
      </c>
      <c r="G44" s="262" t="n">
        <v>103.7</v>
      </c>
      <c r="H44" s="263" t="n">
        <v>106.733668341709</v>
      </c>
      <c r="K44" s="243" t="n"/>
    </row>
    <row r="45" ht="15" customHeight="1" s="226">
      <c r="A45" s="268" t="inlineStr">
        <is>
          <t>г.Севастополь</t>
        </is>
      </c>
      <c r="B45" s="262" t="n">
        <v>102.290157360287</v>
      </c>
      <c r="C45" s="262" t="n">
        <v>101.651444917868</v>
      </c>
      <c r="D45" s="262" t="n">
        <v>101.46148240198</v>
      </c>
      <c r="E45" s="262" t="n">
        <v>94.52313939987251</v>
      </c>
      <c r="F45" s="262" t="n">
        <v>105.196852658303</v>
      </c>
      <c r="G45" s="262" t="n">
        <v>106.7</v>
      </c>
      <c r="H45" s="263" t="n">
        <v>104.442250740375</v>
      </c>
      <c r="K45" s="243" t="n"/>
    </row>
    <row r="46" ht="15" customHeight="1" s="226">
      <c r="A46" s="276" t="inlineStr">
        <is>
          <t>Северо-Кавказский федеральный округ</t>
        </is>
      </c>
      <c r="B46" s="275" t="n">
        <v>100.792186765098</v>
      </c>
      <c r="C46" s="275" t="n">
        <v>100.171038994092</v>
      </c>
      <c r="D46" s="254" t="n">
        <v>100.990694158082</v>
      </c>
      <c r="E46" s="275" t="n">
        <v>99.1629953632619</v>
      </c>
      <c r="F46" s="275" t="n">
        <v>104.424418068765</v>
      </c>
      <c r="G46" s="275" t="n">
        <v>102.1</v>
      </c>
      <c r="H46" s="254" t="n">
        <v>106.673306772908</v>
      </c>
      <c r="K46" s="243" t="n"/>
    </row>
    <row r="47" ht="15" customHeight="1" s="226">
      <c r="A47" s="268" t="inlineStr">
        <is>
          <t>Республика Дагестан</t>
        </is>
      </c>
      <c r="B47" s="262" t="n">
        <v>102.29193384156</v>
      </c>
      <c r="C47" s="262" t="n">
        <v>100.158480228119</v>
      </c>
      <c r="D47" s="262" t="n">
        <v>100.023698231305</v>
      </c>
      <c r="E47" s="262" t="n">
        <v>98.4834873573638</v>
      </c>
      <c r="F47" s="262" t="n">
        <v>101.956008936134</v>
      </c>
      <c r="G47" s="262" t="n">
        <v>101.2</v>
      </c>
      <c r="H47" s="263" t="n">
        <v>104.468718967229</v>
      </c>
      <c r="K47" s="243" t="n"/>
    </row>
    <row r="48" ht="15" customHeight="1" s="226">
      <c r="A48" s="268" t="inlineStr">
        <is>
          <t>Республика Ингушетия</t>
        </is>
      </c>
      <c r="B48" s="262" t="n">
        <v>101.902048708469</v>
      </c>
      <c r="C48" s="262" t="n">
        <v>102.239299258855</v>
      </c>
      <c r="D48" s="262" t="n">
        <v>100.079621800105</v>
      </c>
      <c r="E48" s="262" t="n">
        <v>92.51543350521651</v>
      </c>
      <c r="F48" s="262" t="n">
        <v>98.9527122590405</v>
      </c>
      <c r="G48" s="262" t="n">
        <v>102.3</v>
      </c>
      <c r="H48" s="263" t="n">
        <v>101.970443349754</v>
      </c>
      <c r="K48" s="243" t="n"/>
    </row>
    <row r="49" ht="15" customHeight="1" s="226">
      <c r="A49" s="268" t="inlineStr">
        <is>
          <t>Кабардино-Балкарская Республика</t>
        </is>
      </c>
      <c r="B49" s="262" t="n">
        <v>99.8319715018511</v>
      </c>
      <c r="C49" s="262" t="n">
        <v>100.633415361737</v>
      </c>
      <c r="D49" s="262" t="n">
        <v>99.10821136394119</v>
      </c>
      <c r="E49" s="262" t="n">
        <v>99.6303313318012</v>
      </c>
      <c r="F49" s="262" t="n">
        <v>105.091081646493</v>
      </c>
      <c r="G49" s="262" t="n">
        <v>106.9</v>
      </c>
      <c r="H49" s="263" t="n">
        <v>107.992007992008</v>
      </c>
      <c r="K49" s="243" t="n"/>
    </row>
    <row r="50" ht="15" customHeight="1" s="226">
      <c r="A50" s="268" t="inlineStr">
        <is>
          <t>Карачаево-Черкесская Республика</t>
        </is>
      </c>
      <c r="B50" s="262" t="n">
        <v>100.894413341198</v>
      </c>
      <c r="C50" s="262" t="n">
        <v>97.9376396627238</v>
      </c>
      <c r="D50" s="262" t="n">
        <v>101.151994554408</v>
      </c>
      <c r="E50" s="262" t="n">
        <v>96.2584338348487</v>
      </c>
      <c r="F50" s="262" t="n">
        <v>106.641944975537</v>
      </c>
      <c r="G50" s="262" t="n">
        <v>104.7</v>
      </c>
      <c r="H50" s="263" t="n">
        <v>107.507507507508</v>
      </c>
      <c r="K50" s="243" t="n"/>
    </row>
    <row r="51" ht="15" customHeight="1" s="226">
      <c r="A51" s="268" t="inlineStr">
        <is>
          <t>Республика Северная Осетия-Алания</t>
        </is>
      </c>
      <c r="B51" s="262" t="n">
        <v>98.68811587675771</v>
      </c>
      <c r="C51" s="262" t="n">
        <v>98.9387065957325</v>
      </c>
      <c r="D51" s="262" t="n">
        <v>99.6124162591819</v>
      </c>
      <c r="E51" s="262" t="n">
        <v>102.310712414612</v>
      </c>
      <c r="F51" s="262" t="n">
        <v>107.037353363484</v>
      </c>
      <c r="G51" s="262" t="n">
        <v>101.2</v>
      </c>
      <c r="H51" s="263" t="n">
        <v>104.221105527638</v>
      </c>
      <c r="K51" s="243" t="n"/>
    </row>
    <row r="52" ht="15" customHeight="1" s="226">
      <c r="A52" s="268" t="inlineStr">
        <is>
          <t>Чеченская Республика</t>
        </is>
      </c>
      <c r="B52" s="262" t="n">
        <v>101.086776605638</v>
      </c>
      <c r="C52" s="262" t="n">
        <v>100.049651170508</v>
      </c>
      <c r="D52" s="262" t="n">
        <v>103.039899117276</v>
      </c>
      <c r="E52" s="262" t="n">
        <v>100.028154145121</v>
      </c>
      <c r="F52" s="262" t="n">
        <v>100.849996313769</v>
      </c>
      <c r="G52" s="262" t="n">
        <v>103.4</v>
      </c>
      <c r="H52" s="263" t="n">
        <v>115.103652517275</v>
      </c>
      <c r="K52" s="243" t="n"/>
    </row>
    <row r="53" ht="15" customFormat="1" customHeight="1" s="318">
      <c r="A53" s="268" t="inlineStr">
        <is>
          <t>Ставропольский край</t>
        </is>
      </c>
      <c r="B53" s="262" t="n">
        <v>100.020293124768</v>
      </c>
      <c r="C53" s="262" t="n">
        <v>100.574738091876</v>
      </c>
      <c r="D53" s="262" t="n">
        <v>102.063870322253</v>
      </c>
      <c r="E53" s="262" t="n">
        <v>99.66885273674259</v>
      </c>
      <c r="F53" s="262" t="n">
        <v>107.430629507343</v>
      </c>
      <c r="G53" s="262" t="n">
        <v>101.7</v>
      </c>
      <c r="H53" s="263" t="n">
        <v>106.920762286861</v>
      </c>
      <c r="K53" s="243" t="n"/>
    </row>
    <row r="54" ht="15" customHeight="1" s="226">
      <c r="A54" s="276" t="inlineStr">
        <is>
          <t>Приволжский федеральный округ</t>
        </is>
      </c>
      <c r="B54" s="275" t="n">
        <v>101.711363324647</v>
      </c>
      <c r="C54" s="275" t="n">
        <v>102.201591011392</v>
      </c>
      <c r="D54" s="254" t="n">
        <v>102.432147952624</v>
      </c>
      <c r="E54" s="275" t="n">
        <v>97.53338703391</v>
      </c>
      <c r="F54" s="275" t="n">
        <v>104.181621283023</v>
      </c>
      <c r="G54" s="275" t="n">
        <v>102.4</v>
      </c>
      <c r="H54" s="254" t="n">
        <v>106.539235412475</v>
      </c>
      <c r="K54" s="243" t="n"/>
    </row>
    <row r="55" ht="15" customHeight="1" s="226">
      <c r="A55" s="277" t="inlineStr">
        <is>
          <t>Республика Башкортостан</t>
        </is>
      </c>
      <c r="B55" s="262" t="n">
        <v>100.392763436649</v>
      </c>
      <c r="C55" s="262" t="n">
        <v>103.209317131062</v>
      </c>
      <c r="D55" s="262" t="n">
        <v>102.02273698667</v>
      </c>
      <c r="E55" s="262" t="n">
        <v>94.452227392475</v>
      </c>
      <c r="F55" s="262" t="n">
        <v>103.066325081702</v>
      </c>
      <c r="G55" s="262" t="n">
        <v>101.2</v>
      </c>
      <c r="H55" s="263" t="n">
        <v>105.015045135406</v>
      </c>
      <c r="K55" s="243" t="n"/>
    </row>
    <row r="56" ht="15" customHeight="1" s="226">
      <c r="A56" s="277" t="inlineStr">
        <is>
          <t>Республика Марий Эл</t>
        </is>
      </c>
      <c r="B56" s="262" t="n">
        <v>101.696668458601</v>
      </c>
      <c r="C56" s="262" t="n">
        <v>102.556537391995</v>
      </c>
      <c r="D56" s="262" t="n">
        <v>100.948320720331</v>
      </c>
      <c r="E56" s="262" t="n">
        <v>97.696224103707</v>
      </c>
      <c r="F56" s="262" t="n">
        <v>100.723557449821</v>
      </c>
      <c r="G56" s="262" t="n">
        <v>100.3</v>
      </c>
      <c r="H56" s="263" t="n">
        <v>109.045226130653</v>
      </c>
      <c r="K56" s="243" t="n"/>
    </row>
    <row r="57" ht="15" customHeight="1" s="226">
      <c r="A57" s="277" t="inlineStr">
        <is>
          <t>Республика Мордовия</t>
        </is>
      </c>
      <c r="B57" s="262" t="n">
        <v>102.835021461339</v>
      </c>
      <c r="C57" s="262" t="n">
        <v>100.682659362513</v>
      </c>
      <c r="D57" s="262" t="n">
        <v>103.219800215437</v>
      </c>
      <c r="E57" s="262" t="n">
        <v>100.213622192354</v>
      </c>
      <c r="F57" s="262" t="n">
        <v>103.949275617069</v>
      </c>
      <c r="G57" s="262" t="n">
        <v>100</v>
      </c>
      <c r="H57" s="263" t="n">
        <v>107.979797979798</v>
      </c>
      <c r="K57" s="243" t="n"/>
    </row>
    <row r="58" ht="15" customHeight="1" s="226">
      <c r="A58" s="277" t="inlineStr">
        <is>
          <t>Республика Татарстан</t>
        </is>
      </c>
      <c r="B58" s="262" t="n">
        <v>101.385359854669</v>
      </c>
      <c r="C58" s="262" t="n">
        <v>101.747137801541</v>
      </c>
      <c r="D58" s="262" t="n">
        <v>102.419198365968</v>
      </c>
      <c r="E58" s="262" t="n">
        <v>96.7091830094548</v>
      </c>
      <c r="F58" s="262" t="n">
        <v>103.151895414899</v>
      </c>
      <c r="G58" s="262" t="n">
        <v>105.4</v>
      </c>
      <c r="H58" s="263" t="n">
        <v>104.3</v>
      </c>
      <c r="K58" s="243" t="n"/>
    </row>
    <row r="59" ht="15" customHeight="1" s="226">
      <c r="A59" s="277" t="inlineStr">
        <is>
          <t>Удмуртская Республика</t>
        </is>
      </c>
      <c r="B59" s="262" t="n">
        <v>99.95434801965909</v>
      </c>
      <c r="C59" s="262" t="n">
        <v>102.547526321245</v>
      </c>
      <c r="D59" s="262" t="n">
        <v>101.028469020075</v>
      </c>
      <c r="E59" s="262" t="n">
        <v>96.6650617002732</v>
      </c>
      <c r="F59" s="262" t="n">
        <v>103.399464034723</v>
      </c>
      <c r="G59" s="262" t="n">
        <v>102</v>
      </c>
      <c r="H59" s="263" t="n">
        <v>108.643216080402</v>
      </c>
      <c r="K59" s="243" t="n"/>
    </row>
    <row r="60" ht="15" customHeight="1" s="226">
      <c r="A60" s="277" t="inlineStr">
        <is>
          <t>Чувашская Республика</t>
        </is>
      </c>
      <c r="B60" s="262" t="n">
        <v>101.703319528512</v>
      </c>
      <c r="C60" s="262" t="n">
        <v>102.599736741344</v>
      </c>
      <c r="D60" s="262" t="n">
        <v>103.060421168405</v>
      </c>
      <c r="E60" s="262" t="n">
        <v>99.2275976600899</v>
      </c>
      <c r="F60" s="262" t="n">
        <v>103.55289630737</v>
      </c>
      <c r="G60" s="262" t="n">
        <v>104.7</v>
      </c>
      <c r="H60" s="263" t="n">
        <v>109.56696878147</v>
      </c>
      <c r="K60" s="243" t="n"/>
    </row>
    <row r="61" ht="15" customHeight="1" s="226">
      <c r="A61" s="268" t="inlineStr">
        <is>
          <t>Пермский край</t>
        </is>
      </c>
      <c r="B61" s="262" t="n">
        <v>102.220831266074</v>
      </c>
      <c r="C61" s="262" t="n">
        <v>101.317506922925</v>
      </c>
      <c r="D61" s="262" t="n">
        <v>101.177381227178</v>
      </c>
      <c r="E61" s="262" t="n">
        <v>98.03113647120981</v>
      </c>
      <c r="F61" s="262" t="n">
        <v>104.61226974865</v>
      </c>
      <c r="G61" s="262" t="n">
        <v>99.5</v>
      </c>
      <c r="H61" s="263" t="n">
        <v>105.33199195171</v>
      </c>
      <c r="K61" s="243" t="n"/>
    </row>
    <row r="62" ht="15" customHeight="1" s="226">
      <c r="A62" s="268" t="inlineStr">
        <is>
          <t>Кировская область</t>
        </is>
      </c>
      <c r="B62" s="262" t="n">
        <v>102.39000630392</v>
      </c>
      <c r="C62" s="262" t="n">
        <v>103.420745460766</v>
      </c>
      <c r="D62" s="262" t="n">
        <v>102.386957803213</v>
      </c>
      <c r="E62" s="262" t="n">
        <v>103.078799442277</v>
      </c>
      <c r="F62" s="262" t="n">
        <v>107.979605248991</v>
      </c>
      <c r="G62" s="262" t="n">
        <v>102.3</v>
      </c>
      <c r="H62" s="263" t="n">
        <v>105.241935483871</v>
      </c>
      <c r="K62" s="243" t="n"/>
    </row>
    <row r="63" ht="15" customHeight="1" s="226">
      <c r="A63" s="268" t="inlineStr">
        <is>
          <t>Нижегородская область</t>
        </is>
      </c>
      <c r="B63" s="262" t="n">
        <v>102.40107061647</v>
      </c>
      <c r="C63" s="262" t="n">
        <v>102.728399756184</v>
      </c>
      <c r="D63" s="262" t="n">
        <v>104.223429651736</v>
      </c>
      <c r="E63" s="262" t="n">
        <v>96.6777027548862</v>
      </c>
      <c r="F63" s="262" t="n">
        <v>107.106070094214</v>
      </c>
      <c r="G63" s="262" t="n">
        <v>103.6</v>
      </c>
      <c r="H63" s="263" t="n">
        <v>111.491935483871</v>
      </c>
      <c r="K63" s="243" t="n"/>
    </row>
    <row r="64" ht="15" customHeight="1" s="226">
      <c r="A64" s="268" t="inlineStr">
        <is>
          <t>Оренбургская область</t>
        </is>
      </c>
      <c r="B64" s="262" t="n">
        <v>102.59051349735</v>
      </c>
      <c r="C64" s="262" t="n">
        <v>103.74124193041</v>
      </c>
      <c r="D64" s="262" t="n">
        <v>103.060153160524</v>
      </c>
      <c r="E64" s="262" t="n">
        <v>99.8005444519269</v>
      </c>
      <c r="F64" s="262" t="n">
        <v>103.164709643184</v>
      </c>
      <c r="G64" s="262" t="n">
        <v>102.3</v>
      </c>
      <c r="H64" s="263" t="n">
        <v>106.948640483384</v>
      </c>
      <c r="K64" s="243" t="n"/>
    </row>
    <row r="65" ht="15" customHeight="1" s="226">
      <c r="A65" s="268" t="inlineStr">
        <is>
          <t>Пензенская область</t>
        </is>
      </c>
      <c r="B65" s="262" t="n">
        <v>102.848506908905</v>
      </c>
      <c r="C65" s="262" t="n">
        <v>104.227433107686</v>
      </c>
      <c r="D65" s="262" t="n">
        <v>104.234870260309</v>
      </c>
      <c r="E65" s="262" t="n">
        <v>104.273428443078</v>
      </c>
      <c r="F65" s="262" t="n">
        <v>103.138759623388</v>
      </c>
      <c r="G65" s="262" t="n">
        <v>102.8</v>
      </c>
      <c r="H65" s="263" t="n">
        <v>107.171717171717</v>
      </c>
      <c r="K65" s="243" t="n"/>
    </row>
    <row r="66" ht="15" customHeight="1" s="226">
      <c r="A66" s="268" t="inlineStr">
        <is>
          <t>Самарская область</t>
        </is>
      </c>
      <c r="B66" s="262" t="n">
        <v>100.902432180043</v>
      </c>
      <c r="C66" s="262" t="n">
        <v>100.429578647075</v>
      </c>
      <c r="D66" s="262" t="n">
        <v>101.527283086866</v>
      </c>
      <c r="E66" s="262" t="n">
        <v>94.4376946449631</v>
      </c>
      <c r="F66" s="262" t="n">
        <v>105.994377144888</v>
      </c>
      <c r="G66" s="262" t="n">
        <v>98.40000000000001</v>
      </c>
      <c r="H66" s="263" t="n">
        <v>105.935613682093</v>
      </c>
      <c r="K66" s="243" t="n"/>
    </row>
    <row r="67" ht="15" customHeight="1" s="226">
      <c r="A67" s="277" t="inlineStr">
        <is>
          <t>Саратовская область</t>
        </is>
      </c>
      <c r="B67" s="262" t="n">
        <v>102.445409658985</v>
      </c>
      <c r="C67" s="262" t="n">
        <v>102.226192868901</v>
      </c>
      <c r="D67" s="262" t="n">
        <v>102.382829510267</v>
      </c>
      <c r="E67" s="262" t="n">
        <v>101.67818552547</v>
      </c>
      <c r="F67" s="262" t="n">
        <v>101.569531348123</v>
      </c>
      <c r="G67" s="262" t="n">
        <v>106.5</v>
      </c>
      <c r="H67" s="263" t="n">
        <v>105.549949545913</v>
      </c>
      <c r="K67" s="243" t="n"/>
    </row>
    <row r="68" ht="15" customFormat="1" customHeight="1" s="318">
      <c r="A68" s="277" t="inlineStr">
        <is>
          <t>Ульяновская область</t>
        </is>
      </c>
      <c r="B68" s="262" t="n">
        <v>101.939507141736</v>
      </c>
      <c r="C68" s="262" t="n">
        <v>100.977548380928</v>
      </c>
      <c r="D68" s="262" t="n">
        <v>102.991964034887</v>
      </c>
      <c r="E68" s="262" t="n">
        <v>99.9085038961253</v>
      </c>
      <c r="F68" s="262" t="n">
        <v>104.40540080842</v>
      </c>
      <c r="G68" s="262" t="n">
        <v>100.1</v>
      </c>
      <c r="H68" s="263" t="n">
        <v>105.645161290323</v>
      </c>
      <c r="K68" s="243" t="n"/>
    </row>
    <row r="69" ht="15" customHeight="1" s="226">
      <c r="A69" s="267" t="inlineStr">
        <is>
          <t>Уральский федеральный округ</t>
        </is>
      </c>
      <c r="B69" s="275" t="n">
        <v>102.805092646601</v>
      </c>
      <c r="C69" s="275" t="n">
        <v>105.18544544732</v>
      </c>
      <c r="D69" s="254" t="n">
        <v>100.685866089755</v>
      </c>
      <c r="E69" s="275" t="n">
        <v>95.2863178926998</v>
      </c>
      <c r="F69" s="275" t="n">
        <v>106.68915019976</v>
      </c>
      <c r="G69" s="275" t="n">
        <v>101.3</v>
      </c>
      <c r="H69" s="254" t="n">
        <v>102.495887946466</v>
      </c>
      <c r="K69" s="243" t="n"/>
    </row>
    <row r="70" ht="15" customHeight="1" s="226">
      <c r="A70" s="278" t="inlineStr">
        <is>
          <t>Курганская область</t>
        </is>
      </c>
      <c r="B70" s="262" t="n">
        <v>102.665184051112</v>
      </c>
      <c r="C70" s="262" t="n">
        <v>102.773711902039</v>
      </c>
      <c r="D70" s="262" t="n">
        <v>103.239887267905</v>
      </c>
      <c r="E70" s="262" t="n">
        <v>98.75798483755329</v>
      </c>
      <c r="F70" s="262" t="n">
        <v>102.892392396369</v>
      </c>
      <c r="G70" s="262" t="n">
        <v>109.6</v>
      </c>
      <c r="H70" s="263" t="n">
        <v>105.52985736055</v>
      </c>
      <c r="K70" s="243" t="n"/>
    </row>
    <row r="71" ht="15" customHeight="1" s="226">
      <c r="A71" s="278" t="inlineStr">
        <is>
          <t>Свердловская область</t>
        </is>
      </c>
      <c r="B71" s="262" t="n">
        <v>102.157434383938</v>
      </c>
      <c r="C71" s="262" t="n">
        <v>102.462827537692</v>
      </c>
      <c r="D71" s="262" t="n">
        <v>100.470660619975</v>
      </c>
      <c r="E71" s="262" t="n">
        <v>97.49079996102139</v>
      </c>
      <c r="F71" s="262" t="n">
        <v>105.268427380857</v>
      </c>
      <c r="G71" s="262" t="n">
        <v>100.2</v>
      </c>
      <c r="H71" s="263" t="n">
        <v>109.126145280657</v>
      </c>
      <c r="K71" s="243" t="n"/>
    </row>
    <row r="72" ht="15" customHeight="1" s="226">
      <c r="A72" s="278" t="inlineStr">
        <is>
          <t>Тюменская область</t>
        </is>
      </c>
      <c r="B72" s="262" t="n">
        <v>102.460789420871</v>
      </c>
      <c r="C72" s="262" t="n">
        <v>106.112706287432</v>
      </c>
      <c r="D72" s="262" t="n">
        <v>100.077309998538</v>
      </c>
      <c r="E72" s="262" t="n">
        <v>92.88454830877861</v>
      </c>
      <c r="F72" s="262" t="n">
        <v>106.434448818898</v>
      </c>
      <c r="G72" s="262" t="n">
        <v>100.8</v>
      </c>
      <c r="H72" s="263" t="n">
        <v>99.1846845415559</v>
      </c>
      <c r="K72" s="243" t="n"/>
    </row>
    <row r="73" ht="15" customHeight="1" s="226">
      <c r="A73" s="268" t="inlineStr">
        <is>
          <t xml:space="preserve">   в т.ч. Ханты-Мансийский авт.округ-Югра</t>
        </is>
      </c>
      <c r="B73" s="262" t="n">
        <v>99.27958198386921</v>
      </c>
      <c r="C73" s="262" t="n">
        <v>100.598876302065</v>
      </c>
      <c r="D73" s="262" t="n">
        <v>98.0593670173306</v>
      </c>
      <c r="E73" s="262" t="n">
        <v>91.1949453648845</v>
      </c>
      <c r="F73" s="262" t="n">
        <v>106.272327449922</v>
      </c>
      <c r="G73" s="262" t="n">
        <v>101.7</v>
      </c>
      <c r="H73" s="263" t="n">
        <v>98.79137390829909</v>
      </c>
      <c r="K73" s="243" t="n"/>
    </row>
    <row r="74" ht="15" customHeight="1" s="226">
      <c r="A74" s="268" t="inlineStr">
        <is>
          <t xml:space="preserve">           Ямало-Ненецкий авт. округ</t>
        </is>
      </c>
      <c r="B74" s="262" t="n">
        <v>108.223156136444</v>
      </c>
      <c r="C74" s="262" t="n">
        <v>115.204138149693</v>
      </c>
      <c r="D74" s="262" t="n">
        <v>106.021593676707</v>
      </c>
      <c r="E74" s="262" t="n">
        <v>95.97771317296861</v>
      </c>
      <c r="F74" s="262" t="n">
        <v>108.974216583989</v>
      </c>
      <c r="G74" s="262" t="n">
        <v>99.8</v>
      </c>
      <c r="H74" s="263" t="n">
        <v>97.3512993655844</v>
      </c>
      <c r="K74" s="243" t="n"/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>
        <v>103.535374768109</v>
      </c>
      <c r="C75" s="262" t="n">
        <v>106.720564622209</v>
      </c>
      <c r="D75" s="262" t="n">
        <v>96.1051124026729</v>
      </c>
      <c r="E75" s="262" t="n">
        <v>93.1950680704749</v>
      </c>
      <c r="F75" s="262" t="n">
        <v>101.936074807696</v>
      </c>
      <c r="G75" s="262" t="n">
        <v>100.6</v>
      </c>
      <c r="H75" s="263" t="n">
        <v>106.07775900852</v>
      </c>
      <c r="K75" s="243" t="n"/>
    </row>
    <row r="76" ht="15" customFormat="1" customHeight="1" s="318">
      <c r="A76" s="278" t="inlineStr">
        <is>
          <t>Челябинская область</t>
        </is>
      </c>
      <c r="B76" s="262" t="n">
        <v>101.903738389332</v>
      </c>
      <c r="C76" s="262" t="n">
        <v>101.376929557128</v>
      </c>
      <c r="D76" s="262" t="n">
        <v>99.6730351661773</v>
      </c>
      <c r="E76" s="262" t="n">
        <v>101.4726398855</v>
      </c>
      <c r="F76" s="262" t="n">
        <v>107.030734946679</v>
      </c>
      <c r="G76" s="262" t="n">
        <v>101</v>
      </c>
      <c r="H76" s="263" t="n">
        <v>108.10778471791</v>
      </c>
      <c r="K76" s="243" t="n"/>
    </row>
    <row r="77" ht="15" customFormat="1" customHeight="1" s="225">
      <c r="A77" s="279" t="inlineStr">
        <is>
          <t>Сибирский федеральный округ</t>
        </is>
      </c>
      <c r="B77" s="254" t="n">
        <v>102.556383338926</v>
      </c>
      <c r="C77" s="254" t="n">
        <v>102.738899720722</v>
      </c>
      <c r="D77" s="254" t="n">
        <v>101.602518521387</v>
      </c>
      <c r="E77" s="254" t="n">
        <v>97.14962196232641</v>
      </c>
      <c r="F77" s="254" t="n">
        <v>104.173851463354</v>
      </c>
      <c r="G77" s="254" t="n">
        <v>103.1</v>
      </c>
      <c r="H77" s="254" t="n">
        <v>101.682547347652</v>
      </c>
      <c r="K77" s="243" t="n"/>
    </row>
    <row r="78" ht="15" customHeight="1" s="226">
      <c r="A78" s="278" t="inlineStr">
        <is>
          <t>Республика Алтай</t>
        </is>
      </c>
      <c r="B78" s="262" t="n">
        <v>97.8782825004383</v>
      </c>
      <c r="C78" s="262" t="n">
        <v>104.315816585236</v>
      </c>
      <c r="D78" s="262" t="n">
        <v>104.846339407087</v>
      </c>
      <c r="E78" s="262" t="n">
        <v>101.650890266015</v>
      </c>
      <c r="F78" s="262" t="n">
        <v>104.024595688609</v>
      </c>
      <c r="G78" s="262" t="n">
        <v>109.5</v>
      </c>
      <c r="H78" s="263" t="n">
        <v>107.711241797815</v>
      </c>
      <c r="K78" s="243" t="n"/>
    </row>
    <row r="79" ht="15" customHeight="1" s="226">
      <c r="A79" s="278" t="inlineStr">
        <is>
          <t>Республика Тыва</t>
        </is>
      </c>
      <c r="B79" s="262" t="n">
        <v>100.847351953365</v>
      </c>
      <c r="C79" s="262" t="n">
        <v>99.0061340643401</v>
      </c>
      <c r="D79" s="262" t="n">
        <v>100.845458420098</v>
      </c>
      <c r="E79" s="262" t="n">
        <v>94.4192329942631</v>
      </c>
      <c r="F79" s="262" t="n">
        <v>98.083847779622</v>
      </c>
      <c r="G79" s="262" t="n">
        <v>108.3</v>
      </c>
      <c r="H79" s="263" t="n">
        <v>103.600957297989</v>
      </c>
      <c r="K79" s="243" t="n"/>
    </row>
    <row r="80" ht="15" customHeight="1" s="226">
      <c r="A80" s="278" t="inlineStr">
        <is>
          <t>Республика Хакасия</t>
        </is>
      </c>
      <c r="B80" s="262" t="n">
        <v>99.9453148538159</v>
      </c>
      <c r="C80" s="262" t="n">
        <v>102.243330981991</v>
      </c>
      <c r="D80" s="262" t="n">
        <v>101.816407251623</v>
      </c>
      <c r="E80" s="262" t="n">
        <v>101.014117622973</v>
      </c>
      <c r="F80" s="262" t="n">
        <v>102.902741888424</v>
      </c>
      <c r="G80" s="262" t="n">
        <v>98.2</v>
      </c>
      <c r="H80" s="263" t="n">
        <v>104.673937082864</v>
      </c>
      <c r="K80" s="243" t="n"/>
    </row>
    <row r="81" ht="15" customHeight="1" s="226">
      <c r="A81" s="278" t="inlineStr">
        <is>
          <t>Алтайский край</t>
        </is>
      </c>
      <c r="B81" s="262" t="n">
        <v>101.74061115564</v>
      </c>
      <c r="C81" s="262" t="n">
        <v>103.205452210775</v>
      </c>
      <c r="D81" s="262" t="n">
        <v>103.524706104804</v>
      </c>
      <c r="E81" s="262" t="n">
        <v>100.380792261756</v>
      </c>
      <c r="F81" s="262" t="n">
        <v>105.350112053064</v>
      </c>
      <c r="G81" s="262" t="n">
        <v>103.6</v>
      </c>
      <c r="H81" s="263" t="n">
        <v>103.557412950414</v>
      </c>
      <c r="K81" s="243" t="n"/>
    </row>
    <row r="82" ht="15" customHeight="1" s="226">
      <c r="A82" s="278" t="inlineStr">
        <is>
          <t>Красноярский край</t>
        </is>
      </c>
      <c r="B82" s="262" t="n">
        <v>103.097100116281</v>
      </c>
      <c r="C82" s="262" t="n">
        <v>103.299318530607</v>
      </c>
      <c r="D82" s="262" t="n">
        <v>100.455700930159</v>
      </c>
      <c r="E82" s="262" t="n">
        <v>94.1751927380858</v>
      </c>
      <c r="F82" s="262" t="n">
        <v>100.07493064872</v>
      </c>
      <c r="G82" s="262" t="n">
        <v>102.8</v>
      </c>
      <c r="H82" s="263" t="n">
        <v>100.580032131201</v>
      </c>
      <c r="K82" s="243" t="n"/>
    </row>
    <row r="83" ht="15" customHeight="1" s="226">
      <c r="A83" s="278" t="inlineStr">
        <is>
          <t>Иркутская область</t>
        </is>
      </c>
      <c r="B83" s="262" t="n">
        <v>103.159609424592</v>
      </c>
      <c r="C83" s="262" t="n">
        <v>102.713072020422</v>
      </c>
      <c r="D83" s="262" t="n">
        <v>102.151930224668</v>
      </c>
      <c r="E83" s="262" t="n">
        <v>98.4431125390298</v>
      </c>
      <c r="F83" s="262" t="n">
        <v>105.325597918809</v>
      </c>
      <c r="G83" s="262" t="n">
        <v>105.2</v>
      </c>
      <c r="H83" s="263" t="n">
        <v>99.79767952057109</v>
      </c>
      <c r="K83" s="243" t="n"/>
    </row>
    <row r="84" ht="15" customHeight="1" s="226">
      <c r="A84" s="278" t="inlineStr">
        <is>
          <t>Кемеровская область-Кузбасс</t>
        </is>
      </c>
      <c r="B84" s="262" t="n">
        <v>102.572667291647</v>
      </c>
      <c r="C84" s="262" t="n">
        <v>102.598603211567</v>
      </c>
      <c r="D84" s="262" t="n">
        <v>100.840134169171</v>
      </c>
      <c r="E84" s="262" t="n">
        <v>96.9855233870757</v>
      </c>
      <c r="F84" s="262" t="n">
        <v>108.546856268994</v>
      </c>
      <c r="G84" s="262" t="n">
        <v>100.4</v>
      </c>
      <c r="H84" s="263" t="n">
        <v>100.362139024012</v>
      </c>
      <c r="K84" s="243" t="n"/>
    </row>
    <row r="85" ht="15" customHeight="1" s="226">
      <c r="A85" s="278" t="inlineStr">
        <is>
          <t>Новосибирская область</t>
        </is>
      </c>
      <c r="B85" s="262" t="n">
        <v>103.347311747147</v>
      </c>
      <c r="C85" s="262" t="n">
        <v>103.286439201219</v>
      </c>
      <c r="D85" s="262" t="n">
        <v>102.472735357172</v>
      </c>
      <c r="E85" s="262" t="n">
        <v>98.6771786550396</v>
      </c>
      <c r="F85" s="262" t="n">
        <v>108.082259536575</v>
      </c>
      <c r="G85" s="262" t="n">
        <v>103</v>
      </c>
      <c r="H85" s="263" t="n">
        <v>103.64754473568</v>
      </c>
      <c r="K85" s="243" t="n"/>
    </row>
    <row r="86" ht="15" customHeight="1" s="226">
      <c r="A86" s="278" t="inlineStr">
        <is>
          <t>Омская область</t>
        </is>
      </c>
      <c r="B86" s="262" t="n">
        <v>102.413077802564</v>
      </c>
      <c r="C86" s="262" t="n">
        <v>100.867290976821</v>
      </c>
      <c r="D86" s="262" t="n">
        <v>102.518716091292</v>
      </c>
      <c r="E86" s="262" t="n">
        <v>100.494053331373</v>
      </c>
      <c r="F86" s="262" t="n">
        <v>102.815106025637</v>
      </c>
      <c r="G86" s="262" t="n">
        <v>107.2</v>
      </c>
      <c r="H86" s="263" t="n">
        <v>102.93450310918</v>
      </c>
      <c r="K86" s="243" t="n"/>
    </row>
    <row r="87" ht="15" customFormat="1" customHeight="1" s="318">
      <c r="A87" s="278" t="inlineStr">
        <is>
          <t>Томская область</t>
        </is>
      </c>
      <c r="B87" s="270" t="n">
        <v>99.0777898361701</v>
      </c>
      <c r="C87" s="270" t="n">
        <v>101.116790074492</v>
      </c>
      <c r="D87" s="262" t="n">
        <v>100.101957153232</v>
      </c>
      <c r="E87" s="270" t="n">
        <v>93.35340198169339</v>
      </c>
      <c r="F87" s="270" t="n">
        <v>103.982597352065</v>
      </c>
      <c r="G87" s="270" t="n">
        <v>100.8</v>
      </c>
      <c r="H87" s="271" t="n">
        <v>103.546929885678</v>
      </c>
      <c r="K87" s="243" t="n"/>
    </row>
    <row r="88" ht="15" customFormat="1" customHeight="1" s="225">
      <c r="A88" s="279" t="inlineStr">
        <is>
          <t>Дальневосточный федеральный округ</t>
        </is>
      </c>
      <c r="B88" s="275" t="n">
        <v>100.464901028202</v>
      </c>
      <c r="C88" s="275" t="n">
        <v>103.901419876997</v>
      </c>
      <c r="D88" s="254" t="n">
        <v>103.473610038531</v>
      </c>
      <c r="E88" s="275" t="n">
        <v>98.6273876635656</v>
      </c>
      <c r="F88" s="275" t="n">
        <v>107.167070530574</v>
      </c>
      <c r="G88" s="275" t="n">
        <v>100.5</v>
      </c>
      <c r="H88" s="254" t="n">
        <v>107.478797489545</v>
      </c>
      <c r="K88" s="243" t="n"/>
    </row>
    <row r="89" ht="15" customFormat="1" customHeight="1" s="225">
      <c r="A89" s="278" t="inlineStr">
        <is>
          <t>Республика Бурятия</t>
        </is>
      </c>
      <c r="B89" s="273" t="n">
        <v>98.1434670704321</v>
      </c>
      <c r="C89" s="273" t="n">
        <v>104.508083022155</v>
      </c>
      <c r="D89" s="262" t="n">
        <v>104.056908869017</v>
      </c>
      <c r="E89" s="273" t="n">
        <v>100.027795363755</v>
      </c>
      <c r="F89" s="273" t="n">
        <v>104.721279632611</v>
      </c>
      <c r="G89" s="273" t="n">
        <v>110.6</v>
      </c>
      <c r="H89" s="274" t="n">
        <v>101.112257070201</v>
      </c>
      <c r="K89" s="243" t="n"/>
    </row>
    <row r="90" ht="15" customHeight="1" s="226">
      <c r="A90" s="278" t="inlineStr">
        <is>
          <t>Республика Саха (Якутия)</t>
        </is>
      </c>
      <c r="B90" s="262" t="n">
        <v>100.411693423729</v>
      </c>
      <c r="C90" s="262" t="n">
        <v>103.624321049527</v>
      </c>
      <c r="D90" s="262" t="n">
        <v>103.537794860897</v>
      </c>
      <c r="E90" s="262" t="n">
        <v>89.9679249317965</v>
      </c>
      <c r="F90" s="262" t="n">
        <v>114.766419960062</v>
      </c>
      <c r="G90" s="262" t="n">
        <v>103.5</v>
      </c>
      <c r="H90" s="263" t="n">
        <v>102.702870407978</v>
      </c>
      <c r="K90" s="243" t="n"/>
    </row>
    <row r="91" ht="15" customFormat="1" customHeight="1" s="225">
      <c r="A91" s="278" t="inlineStr">
        <is>
          <t>Забайкальский край</t>
        </is>
      </c>
      <c r="B91" s="262" t="n">
        <v>105.089314513252</v>
      </c>
      <c r="C91" s="262" t="n">
        <v>102.116987077839</v>
      </c>
      <c r="D91" s="262" t="n">
        <v>103.438623032939</v>
      </c>
      <c r="E91" s="262" t="n">
        <v>105.543456946032</v>
      </c>
      <c r="F91" s="262" t="n">
        <v>106.685151545225</v>
      </c>
      <c r="G91" s="262" t="n">
        <v>98.09999999999999</v>
      </c>
      <c r="H91" s="263" t="n">
        <v>114.32494911029</v>
      </c>
      <c r="K91" s="243" t="n"/>
    </row>
    <row r="92" ht="15" customHeight="1" s="226">
      <c r="A92" s="278" t="inlineStr">
        <is>
          <t>Камчатский край</t>
        </is>
      </c>
      <c r="B92" s="262" t="n">
        <v>101.811290482256</v>
      </c>
      <c r="C92" s="262" t="n">
        <v>107.143851692988</v>
      </c>
      <c r="D92" s="262" t="n">
        <v>100.932401419505</v>
      </c>
      <c r="E92" s="262" t="n">
        <v>100.924573793291</v>
      </c>
      <c r="F92" s="262" t="n">
        <v>108.196205016507</v>
      </c>
      <c r="G92" s="262" t="n">
        <v>92</v>
      </c>
      <c r="H92" s="263" t="n">
        <v>112.703007557844</v>
      </c>
      <c r="K92" s="243" t="n"/>
    </row>
    <row r="93" ht="15" customHeight="1" s="226">
      <c r="A93" s="278" t="inlineStr">
        <is>
          <t>Приморский край</t>
        </is>
      </c>
      <c r="B93" s="262" t="n">
        <v>102.437096136468</v>
      </c>
      <c r="C93" s="262" t="n">
        <v>102.450330909552</v>
      </c>
      <c r="D93" s="262" t="n">
        <v>105.579797318552</v>
      </c>
      <c r="E93" s="262" t="n">
        <v>99.2401479282972</v>
      </c>
      <c r="F93" s="262" t="n">
        <v>108.234581803893</v>
      </c>
      <c r="G93" s="262" t="n">
        <v>103.7</v>
      </c>
      <c r="H93" s="263" t="n">
        <v>108.756369172429</v>
      </c>
      <c r="K93" s="243" t="n"/>
    </row>
    <row r="94" ht="15" customHeight="1" s="226">
      <c r="A94" s="278" t="inlineStr">
        <is>
          <t>Хабаровский край</t>
        </is>
      </c>
      <c r="B94" s="262" t="n">
        <v>101.780927073328</v>
      </c>
      <c r="C94" s="262" t="n">
        <v>102.278873388802</v>
      </c>
      <c r="D94" s="262" t="n">
        <v>100.099231397006</v>
      </c>
      <c r="E94" s="262" t="n">
        <v>101.230776221779</v>
      </c>
      <c r="F94" s="262" t="n">
        <v>104.811199661188</v>
      </c>
      <c r="G94" s="262" t="n">
        <v>97.5</v>
      </c>
      <c r="H94" s="263" t="n">
        <v>108.616752178383</v>
      </c>
      <c r="K94" s="243" t="n"/>
    </row>
    <row r="95" ht="15" customHeight="1" s="226">
      <c r="A95" s="278" t="inlineStr">
        <is>
          <t>Амурская область</t>
        </is>
      </c>
      <c r="B95" s="262" t="n">
        <v>97.8427341372051</v>
      </c>
      <c r="C95" s="262" t="n">
        <v>101.951680413141</v>
      </c>
      <c r="D95" s="262" t="n">
        <v>114.725116164075</v>
      </c>
      <c r="E95" s="262" t="n">
        <v>102.344538808596</v>
      </c>
      <c r="F95" s="262" t="n">
        <v>108.837052499834</v>
      </c>
      <c r="G95" s="262" t="n">
        <v>103.3</v>
      </c>
      <c r="H95" s="263" t="n">
        <v>119.762900390366</v>
      </c>
      <c r="K95" s="243" t="n"/>
    </row>
    <row r="96" ht="15" customHeight="1" s="226">
      <c r="A96" s="278" t="inlineStr">
        <is>
          <t>Магаданская область</t>
        </is>
      </c>
      <c r="B96" s="262" t="n">
        <v>107.054406188909</v>
      </c>
      <c r="C96" s="262" t="n">
        <v>104.598420870254</v>
      </c>
      <c r="D96" s="262" t="n">
        <v>106.816520783818</v>
      </c>
      <c r="E96" s="262" t="n">
        <v>105.969396998398</v>
      </c>
      <c r="F96" s="262" t="n">
        <v>107.160790326949</v>
      </c>
      <c r="G96" s="262" t="n">
        <v>93.3</v>
      </c>
      <c r="H96" s="263" t="n">
        <v>105.483705762378</v>
      </c>
      <c r="K96" s="243" t="n"/>
    </row>
    <row r="97" ht="15" customHeight="1" s="226">
      <c r="A97" s="278" t="inlineStr">
        <is>
          <t>Сахалинская область</t>
        </is>
      </c>
      <c r="B97" s="262" t="n">
        <v>94.31419188365</v>
      </c>
      <c r="C97" s="262" t="n">
        <v>106.838935472111</v>
      </c>
      <c r="D97" s="262" t="n">
        <v>100.79523094642</v>
      </c>
      <c r="E97" s="262" t="n">
        <v>98.82306463723479</v>
      </c>
      <c r="F97" s="262" t="n">
        <v>98.2970731696886</v>
      </c>
      <c r="G97" s="262" t="n">
        <v>96.3</v>
      </c>
      <c r="H97" s="263" t="n">
        <v>104.751708589017</v>
      </c>
      <c r="K97" s="243" t="n"/>
    </row>
    <row r="98" ht="15" customHeight="1" s="226">
      <c r="A98" s="278" t="inlineStr">
        <is>
          <t>Еврейская автономная область</t>
        </is>
      </c>
      <c r="B98" s="262" t="n">
        <v>110.009486037839</v>
      </c>
      <c r="C98" s="262" t="n">
        <v>102.081880197876</v>
      </c>
      <c r="D98" s="262" t="n">
        <v>98.7713639721232</v>
      </c>
      <c r="E98" s="262" t="n">
        <v>102.850329664608</v>
      </c>
      <c r="F98" s="262" t="n">
        <v>106.072933614875</v>
      </c>
      <c r="G98" s="262" t="n">
        <v>99.40000000000001</v>
      </c>
      <c r="H98" s="263" t="n">
        <v>111.011951169611</v>
      </c>
      <c r="K98" s="243" t="n"/>
    </row>
    <row r="99" ht="15" customHeight="1" s="226">
      <c r="A99" s="278" t="inlineStr">
        <is>
          <t>Чукотский автономный округ</t>
        </is>
      </c>
      <c r="B99" s="265" t="n">
        <v>101.320327441321</v>
      </c>
      <c r="C99" s="265" t="n">
        <v>104.378995129667</v>
      </c>
      <c r="D99" s="265" t="n">
        <v>103.898828739343</v>
      </c>
      <c r="E99" s="265" t="n">
        <v>101.441592809886</v>
      </c>
      <c r="F99" s="265" t="n">
        <v>106.813333333333</v>
      </c>
      <c r="G99" s="265" t="n">
        <v>94.2</v>
      </c>
      <c r="H99" s="266" t="n">
        <v>111.555525190362</v>
      </c>
      <c r="K99" s="243" t="n"/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</row>
    <row r="102" ht="52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2" s="316" t="n"/>
      <c r="G102" s="316" t="n"/>
      <c r="H102" s="316" t="n"/>
      <c r="I102" s="316" t="n"/>
      <c r="J102" s="316" t="n"/>
      <c r="K102" s="316" t="n"/>
    </row>
    <row r="103" ht="21" customFormat="1" customHeight="1" s="225">
      <c r="A103" s="357" t="n"/>
      <c r="F103" s="358" t="n"/>
      <c r="G103" s="358" t="n"/>
      <c r="H103" s="358" t="n"/>
      <c r="I103" s="358" t="n"/>
      <c r="J103" s="358" t="n"/>
      <c r="K103" s="358" t="n"/>
      <c r="L103" s="358" t="n"/>
      <c r="N103" s="243" t="n"/>
      <c r="P103" s="225" t="n"/>
      <c r="Q103" s="225" t="n"/>
      <c r="R103" s="225" t="n"/>
      <c r="S103" s="225" t="n"/>
    </row>
  </sheetData>
  <mergeCells count="4">
    <mergeCell ref="A102:E102"/>
    <mergeCell ref="A103:E103"/>
    <mergeCell ref="A2:D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U10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7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I4" activeCellId="0" sqref="I4"/>
    </sheetView>
  </sheetViews>
  <sheetFormatPr baseColWidth="8" defaultColWidth="9.1484375" defaultRowHeight="12.75" customHeight="0" zeroHeight="0" outlineLevelRow="0"/>
  <cols>
    <col width="49.42" customWidth="1" style="359" min="1" max="1"/>
    <col width="17.57" customWidth="1" style="359" min="2" max="2"/>
    <col width="16" customWidth="1" style="359" min="3" max="3"/>
    <col width="17.57" customWidth="1" style="359" min="4" max="5"/>
    <col width="18.29" customWidth="1" style="359" min="6" max="6"/>
    <col width="16.57" customWidth="1" style="359" min="7" max="7"/>
    <col width="16.71" customWidth="1" style="359" min="8" max="8"/>
    <col width="16.29" customWidth="1" style="359" min="9" max="9"/>
    <col width="6.57" customWidth="1" style="359" min="10" max="10"/>
    <col width="9.140000000000001" customWidth="1" style="360" min="11" max="11"/>
    <col width="13.29" customWidth="1" style="360" min="12" max="12"/>
    <col width="11.43" customWidth="1" style="359" min="13" max="13"/>
    <col width="9.140000000000001" customWidth="1" style="359" min="14" max="15"/>
    <col width="9.140000000000001" customWidth="1" style="359" min="16" max="255"/>
    <col width="41.15" customWidth="1" style="359" min="256" max="256"/>
    <col width="12.86" customWidth="1" style="359" min="257" max="264"/>
    <col width="1.85" customWidth="1" style="359" min="265" max="265"/>
    <col width="9.140000000000001" customWidth="1" style="359" min="266" max="266"/>
    <col width="9" customWidth="1" style="359" min="267" max="267"/>
    <col width="9.140000000000001" customWidth="1" style="359" min="268" max="511"/>
    <col width="41.15" customWidth="1" style="359" min="512" max="512"/>
    <col width="12.86" customWidth="1" style="359" min="513" max="520"/>
    <col width="1.85" customWidth="1" style="359" min="521" max="521"/>
    <col width="9.140000000000001" customWidth="1" style="359" min="522" max="522"/>
    <col width="9" customWidth="1" style="359" min="523" max="523"/>
    <col width="9.140000000000001" customWidth="1" style="359" min="524" max="767"/>
    <col width="41.15" customWidth="1" style="359" min="768" max="768"/>
    <col width="12.86" customWidth="1" style="359" min="769" max="776"/>
    <col width="1.85" customWidth="1" style="359" min="777" max="777"/>
    <col width="9.140000000000001" customWidth="1" style="359" min="778" max="778"/>
    <col width="9" customWidth="1" style="359" min="779" max="779"/>
    <col width="9.140000000000001" customWidth="1" style="359" min="780" max="1023"/>
    <col width="41.15" customWidth="1" style="359" min="1024" max="1024"/>
    <col width="12.86" customWidth="1" style="359" min="1025" max="1032"/>
    <col width="1.85" customWidth="1" style="359" min="1033" max="1033"/>
    <col width="9.140000000000001" customWidth="1" style="359" min="1034" max="1034"/>
    <col width="9" customWidth="1" style="359" min="1035" max="1035"/>
    <col width="9.140000000000001" customWidth="1" style="359" min="1036" max="1279"/>
    <col width="41.15" customWidth="1" style="359" min="1280" max="1280"/>
    <col width="12.86" customWidth="1" style="359" min="1281" max="1288"/>
    <col width="1.85" customWidth="1" style="359" min="1289" max="1289"/>
    <col width="9.140000000000001" customWidth="1" style="359" min="1290" max="1290"/>
    <col width="9" customWidth="1" style="359" min="1291" max="1291"/>
    <col width="9.140000000000001" customWidth="1" style="359" min="1292" max="1535"/>
    <col width="41.15" customWidth="1" style="359" min="1536" max="1536"/>
    <col width="12.86" customWidth="1" style="359" min="1537" max="1544"/>
    <col width="1.85" customWidth="1" style="359" min="1545" max="1545"/>
    <col width="9.140000000000001" customWidth="1" style="359" min="1546" max="1546"/>
    <col width="9" customWidth="1" style="359" min="1547" max="1547"/>
    <col width="9.140000000000001" customWidth="1" style="359" min="1548" max="1791"/>
    <col width="41.15" customWidth="1" style="359" min="1792" max="1792"/>
    <col width="12.86" customWidth="1" style="359" min="1793" max="1800"/>
    <col width="1.85" customWidth="1" style="359" min="1801" max="1801"/>
    <col width="9.140000000000001" customWidth="1" style="359" min="1802" max="1802"/>
    <col width="9" customWidth="1" style="359" min="1803" max="1803"/>
    <col width="9.140000000000001" customWidth="1" style="359" min="1804" max="2047"/>
    <col width="41.15" customWidth="1" style="359" min="2048" max="2048"/>
    <col width="12.86" customWidth="1" style="359" min="2049" max="2056"/>
    <col width="1.85" customWidth="1" style="359" min="2057" max="2057"/>
    <col width="9.140000000000001" customWidth="1" style="359" min="2058" max="2058"/>
    <col width="9" customWidth="1" style="359" min="2059" max="2059"/>
    <col width="9.140000000000001" customWidth="1" style="359" min="2060" max="2303"/>
    <col width="41.15" customWidth="1" style="359" min="2304" max="2304"/>
    <col width="12.86" customWidth="1" style="359" min="2305" max="2312"/>
    <col width="1.85" customWidth="1" style="359" min="2313" max="2313"/>
    <col width="9.140000000000001" customWidth="1" style="359" min="2314" max="2314"/>
    <col width="9" customWidth="1" style="359" min="2315" max="2315"/>
    <col width="9.140000000000001" customWidth="1" style="359" min="2316" max="2559"/>
    <col width="41.15" customWidth="1" style="359" min="2560" max="2560"/>
    <col width="12.86" customWidth="1" style="359" min="2561" max="2568"/>
    <col width="1.85" customWidth="1" style="359" min="2569" max="2569"/>
    <col width="9.140000000000001" customWidth="1" style="359" min="2570" max="2570"/>
    <col width="9" customWidth="1" style="359" min="2571" max="2571"/>
    <col width="9.140000000000001" customWidth="1" style="359" min="2572" max="2815"/>
    <col width="41.15" customWidth="1" style="359" min="2816" max="2816"/>
    <col width="12.86" customWidth="1" style="359" min="2817" max="2824"/>
    <col width="1.85" customWidth="1" style="359" min="2825" max="2825"/>
    <col width="9.140000000000001" customWidth="1" style="359" min="2826" max="2826"/>
    <col width="9" customWidth="1" style="359" min="2827" max="2827"/>
    <col width="9.140000000000001" customWidth="1" style="359" min="2828" max="3071"/>
    <col width="41.15" customWidth="1" style="359" min="3072" max="3072"/>
    <col width="12.86" customWidth="1" style="359" min="3073" max="3080"/>
    <col width="1.85" customWidth="1" style="359" min="3081" max="3081"/>
    <col width="9.140000000000001" customWidth="1" style="359" min="3082" max="3082"/>
    <col width="9" customWidth="1" style="359" min="3083" max="3083"/>
    <col width="9.140000000000001" customWidth="1" style="359" min="3084" max="3327"/>
    <col width="41.15" customWidth="1" style="359" min="3328" max="3328"/>
    <col width="12.86" customWidth="1" style="359" min="3329" max="3336"/>
    <col width="1.85" customWidth="1" style="359" min="3337" max="3337"/>
    <col width="9.140000000000001" customWidth="1" style="359" min="3338" max="3338"/>
    <col width="9" customWidth="1" style="359" min="3339" max="3339"/>
    <col width="9.140000000000001" customWidth="1" style="359" min="3340" max="3583"/>
    <col width="41.15" customWidth="1" style="359" min="3584" max="3584"/>
    <col width="12.86" customWidth="1" style="359" min="3585" max="3592"/>
    <col width="1.85" customWidth="1" style="359" min="3593" max="3593"/>
    <col width="9.140000000000001" customWidth="1" style="359" min="3594" max="3594"/>
    <col width="9" customWidth="1" style="359" min="3595" max="3595"/>
    <col width="9.140000000000001" customWidth="1" style="359" min="3596" max="3839"/>
    <col width="41.15" customWidth="1" style="359" min="3840" max="3840"/>
    <col width="12.86" customWidth="1" style="359" min="3841" max="3848"/>
    <col width="1.85" customWidth="1" style="359" min="3849" max="3849"/>
    <col width="9.140000000000001" customWidth="1" style="359" min="3850" max="3850"/>
    <col width="9" customWidth="1" style="359" min="3851" max="3851"/>
    <col width="9.140000000000001" customWidth="1" style="359" min="3852" max="4095"/>
    <col width="41.15" customWidth="1" style="359" min="4096" max="4096"/>
    <col width="12.86" customWidth="1" style="359" min="4097" max="4104"/>
    <col width="1.85" customWidth="1" style="359" min="4105" max="4105"/>
    <col width="9.140000000000001" customWidth="1" style="359" min="4106" max="4106"/>
    <col width="9" customWidth="1" style="359" min="4107" max="4107"/>
    <col width="9.140000000000001" customWidth="1" style="359" min="4108" max="4351"/>
    <col width="41.15" customWidth="1" style="359" min="4352" max="4352"/>
    <col width="12.86" customWidth="1" style="359" min="4353" max="4360"/>
    <col width="1.85" customWidth="1" style="359" min="4361" max="4361"/>
    <col width="9.140000000000001" customWidth="1" style="359" min="4362" max="4362"/>
    <col width="9" customWidth="1" style="359" min="4363" max="4363"/>
    <col width="9.140000000000001" customWidth="1" style="359" min="4364" max="4607"/>
    <col width="41.15" customWidth="1" style="359" min="4608" max="4608"/>
    <col width="12.86" customWidth="1" style="359" min="4609" max="4616"/>
    <col width="1.85" customWidth="1" style="359" min="4617" max="4617"/>
    <col width="9.140000000000001" customWidth="1" style="359" min="4618" max="4618"/>
    <col width="9" customWidth="1" style="359" min="4619" max="4619"/>
    <col width="9.140000000000001" customWidth="1" style="359" min="4620" max="4863"/>
    <col width="41.15" customWidth="1" style="359" min="4864" max="4864"/>
    <col width="12.86" customWidth="1" style="359" min="4865" max="4872"/>
    <col width="1.85" customWidth="1" style="359" min="4873" max="4873"/>
    <col width="9.140000000000001" customWidth="1" style="359" min="4874" max="4874"/>
    <col width="9" customWidth="1" style="359" min="4875" max="4875"/>
    <col width="9.140000000000001" customWidth="1" style="359" min="4876" max="5119"/>
    <col width="41.15" customWidth="1" style="359" min="5120" max="5120"/>
    <col width="12.86" customWidth="1" style="359" min="5121" max="5128"/>
    <col width="1.85" customWidth="1" style="359" min="5129" max="5129"/>
    <col width="9.140000000000001" customWidth="1" style="359" min="5130" max="5130"/>
    <col width="9" customWidth="1" style="359" min="5131" max="5131"/>
    <col width="9.140000000000001" customWidth="1" style="359" min="5132" max="5375"/>
    <col width="41.15" customWidth="1" style="359" min="5376" max="5376"/>
    <col width="12.86" customWidth="1" style="359" min="5377" max="5384"/>
    <col width="1.85" customWidth="1" style="359" min="5385" max="5385"/>
    <col width="9.140000000000001" customWidth="1" style="359" min="5386" max="5386"/>
    <col width="9" customWidth="1" style="359" min="5387" max="5387"/>
    <col width="9.140000000000001" customWidth="1" style="359" min="5388" max="5631"/>
    <col width="41.15" customWidth="1" style="359" min="5632" max="5632"/>
    <col width="12.86" customWidth="1" style="359" min="5633" max="5640"/>
    <col width="1.85" customWidth="1" style="359" min="5641" max="5641"/>
    <col width="9.140000000000001" customWidth="1" style="359" min="5642" max="5642"/>
    <col width="9" customWidth="1" style="359" min="5643" max="5643"/>
    <col width="9.140000000000001" customWidth="1" style="359" min="5644" max="5887"/>
    <col width="41.15" customWidth="1" style="359" min="5888" max="5888"/>
    <col width="12.86" customWidth="1" style="359" min="5889" max="5896"/>
    <col width="1.85" customWidth="1" style="359" min="5897" max="5897"/>
    <col width="9.140000000000001" customWidth="1" style="359" min="5898" max="5898"/>
    <col width="9" customWidth="1" style="359" min="5899" max="5899"/>
    <col width="9.140000000000001" customWidth="1" style="359" min="5900" max="6143"/>
    <col width="41.15" customWidth="1" style="359" min="6144" max="6144"/>
    <col width="12.86" customWidth="1" style="359" min="6145" max="6152"/>
    <col width="1.85" customWidth="1" style="359" min="6153" max="6153"/>
    <col width="9.140000000000001" customWidth="1" style="359" min="6154" max="6154"/>
    <col width="9" customWidth="1" style="359" min="6155" max="6155"/>
    <col width="9.140000000000001" customWidth="1" style="359" min="6156" max="6399"/>
    <col width="41.15" customWidth="1" style="359" min="6400" max="6400"/>
    <col width="12.86" customWidth="1" style="359" min="6401" max="6408"/>
    <col width="1.85" customWidth="1" style="359" min="6409" max="6409"/>
    <col width="9.140000000000001" customWidth="1" style="359" min="6410" max="6410"/>
    <col width="9" customWidth="1" style="359" min="6411" max="6411"/>
    <col width="9.140000000000001" customWidth="1" style="359" min="6412" max="6655"/>
    <col width="41.15" customWidth="1" style="359" min="6656" max="6656"/>
    <col width="12.86" customWidth="1" style="359" min="6657" max="6664"/>
    <col width="1.85" customWidth="1" style="359" min="6665" max="6665"/>
    <col width="9.140000000000001" customWidth="1" style="359" min="6666" max="6666"/>
    <col width="9" customWidth="1" style="359" min="6667" max="6667"/>
    <col width="9.140000000000001" customWidth="1" style="359" min="6668" max="6911"/>
    <col width="41.15" customWidth="1" style="359" min="6912" max="6912"/>
    <col width="12.86" customWidth="1" style="359" min="6913" max="6920"/>
    <col width="1.85" customWidth="1" style="359" min="6921" max="6921"/>
    <col width="9.140000000000001" customWidth="1" style="359" min="6922" max="6922"/>
    <col width="9" customWidth="1" style="359" min="6923" max="6923"/>
    <col width="9.140000000000001" customWidth="1" style="359" min="6924" max="7167"/>
    <col width="41.15" customWidth="1" style="359" min="7168" max="7168"/>
    <col width="12.86" customWidth="1" style="359" min="7169" max="7176"/>
    <col width="1.85" customWidth="1" style="359" min="7177" max="7177"/>
    <col width="9.140000000000001" customWidth="1" style="359" min="7178" max="7178"/>
    <col width="9" customWidth="1" style="359" min="7179" max="7179"/>
    <col width="9.140000000000001" customWidth="1" style="359" min="7180" max="7423"/>
    <col width="41.15" customWidth="1" style="359" min="7424" max="7424"/>
    <col width="12.86" customWidth="1" style="359" min="7425" max="7432"/>
    <col width="1.85" customWidth="1" style="359" min="7433" max="7433"/>
    <col width="9.140000000000001" customWidth="1" style="359" min="7434" max="7434"/>
    <col width="9" customWidth="1" style="359" min="7435" max="7435"/>
    <col width="9.140000000000001" customWidth="1" style="359" min="7436" max="7679"/>
    <col width="41.15" customWidth="1" style="359" min="7680" max="7680"/>
    <col width="12.86" customWidth="1" style="359" min="7681" max="7688"/>
    <col width="1.85" customWidth="1" style="359" min="7689" max="7689"/>
    <col width="9.140000000000001" customWidth="1" style="359" min="7690" max="7690"/>
    <col width="9" customWidth="1" style="359" min="7691" max="7691"/>
    <col width="9.140000000000001" customWidth="1" style="359" min="7692" max="7935"/>
    <col width="41.15" customWidth="1" style="359" min="7936" max="7936"/>
    <col width="12.86" customWidth="1" style="359" min="7937" max="7944"/>
    <col width="1.85" customWidth="1" style="359" min="7945" max="7945"/>
    <col width="9.140000000000001" customWidth="1" style="359" min="7946" max="7946"/>
    <col width="9" customWidth="1" style="359" min="7947" max="7947"/>
    <col width="9.140000000000001" customWidth="1" style="359" min="7948" max="8191"/>
    <col width="41.15" customWidth="1" style="359" min="8192" max="8192"/>
    <col width="12.86" customWidth="1" style="359" min="8193" max="8200"/>
    <col width="1.85" customWidth="1" style="359" min="8201" max="8201"/>
    <col width="9.140000000000001" customWidth="1" style="359" min="8202" max="8202"/>
    <col width="9" customWidth="1" style="359" min="8203" max="8203"/>
    <col width="9.140000000000001" customWidth="1" style="359" min="8204" max="8447"/>
    <col width="41.15" customWidth="1" style="359" min="8448" max="8448"/>
    <col width="12.86" customWidth="1" style="359" min="8449" max="8456"/>
    <col width="1.85" customWidth="1" style="359" min="8457" max="8457"/>
    <col width="9.140000000000001" customWidth="1" style="359" min="8458" max="8458"/>
    <col width="9" customWidth="1" style="359" min="8459" max="8459"/>
    <col width="9.140000000000001" customWidth="1" style="359" min="8460" max="8703"/>
    <col width="41.15" customWidth="1" style="359" min="8704" max="8704"/>
    <col width="12.86" customWidth="1" style="359" min="8705" max="8712"/>
    <col width="1.85" customWidth="1" style="359" min="8713" max="8713"/>
    <col width="9.140000000000001" customWidth="1" style="359" min="8714" max="8714"/>
    <col width="9" customWidth="1" style="359" min="8715" max="8715"/>
    <col width="9.140000000000001" customWidth="1" style="359" min="8716" max="8959"/>
    <col width="41.15" customWidth="1" style="359" min="8960" max="8960"/>
    <col width="12.86" customWidth="1" style="359" min="8961" max="8968"/>
    <col width="1.85" customWidth="1" style="359" min="8969" max="8969"/>
    <col width="9.140000000000001" customWidth="1" style="359" min="8970" max="8970"/>
    <col width="9" customWidth="1" style="359" min="8971" max="8971"/>
    <col width="9.140000000000001" customWidth="1" style="359" min="8972" max="9215"/>
    <col width="41.15" customWidth="1" style="359" min="9216" max="9216"/>
    <col width="12.86" customWidth="1" style="359" min="9217" max="9224"/>
    <col width="1.85" customWidth="1" style="359" min="9225" max="9225"/>
    <col width="9.140000000000001" customWidth="1" style="359" min="9226" max="9226"/>
    <col width="9" customWidth="1" style="359" min="9227" max="9227"/>
    <col width="9.140000000000001" customWidth="1" style="359" min="9228" max="9471"/>
    <col width="41.15" customWidth="1" style="359" min="9472" max="9472"/>
    <col width="12.86" customWidth="1" style="359" min="9473" max="9480"/>
    <col width="1.85" customWidth="1" style="359" min="9481" max="9481"/>
    <col width="9.140000000000001" customWidth="1" style="359" min="9482" max="9482"/>
    <col width="9" customWidth="1" style="359" min="9483" max="9483"/>
    <col width="9.140000000000001" customWidth="1" style="359" min="9484" max="9727"/>
    <col width="41.15" customWidth="1" style="359" min="9728" max="9728"/>
    <col width="12.86" customWidth="1" style="359" min="9729" max="9736"/>
    <col width="1.85" customWidth="1" style="359" min="9737" max="9737"/>
    <col width="9.140000000000001" customWidth="1" style="359" min="9738" max="9738"/>
    <col width="9" customWidth="1" style="359" min="9739" max="9739"/>
    <col width="9.140000000000001" customWidth="1" style="359" min="9740" max="9983"/>
    <col width="41.15" customWidth="1" style="359" min="9984" max="9984"/>
    <col width="12.86" customWidth="1" style="359" min="9985" max="9992"/>
    <col width="1.85" customWidth="1" style="359" min="9993" max="9993"/>
    <col width="9.140000000000001" customWidth="1" style="359" min="9994" max="9994"/>
    <col width="9" customWidth="1" style="359" min="9995" max="9995"/>
    <col width="9.140000000000001" customWidth="1" style="359" min="9996" max="10239"/>
    <col width="41.15" customWidth="1" style="359" min="10240" max="10240"/>
    <col width="12.86" customWidth="1" style="359" min="10241" max="10248"/>
    <col width="1.85" customWidth="1" style="359" min="10249" max="10249"/>
    <col width="9.140000000000001" customWidth="1" style="359" min="10250" max="10250"/>
    <col width="9" customWidth="1" style="359" min="10251" max="10251"/>
    <col width="9.140000000000001" customWidth="1" style="359" min="10252" max="10495"/>
    <col width="41.15" customWidth="1" style="359" min="10496" max="10496"/>
    <col width="12.86" customWidth="1" style="359" min="10497" max="10504"/>
    <col width="1.85" customWidth="1" style="359" min="10505" max="10505"/>
    <col width="9.140000000000001" customWidth="1" style="359" min="10506" max="10506"/>
    <col width="9" customWidth="1" style="359" min="10507" max="10507"/>
    <col width="9.140000000000001" customWidth="1" style="359" min="10508" max="10751"/>
    <col width="41.15" customWidth="1" style="359" min="10752" max="10752"/>
    <col width="12.86" customWidth="1" style="359" min="10753" max="10760"/>
    <col width="1.85" customWidth="1" style="359" min="10761" max="10761"/>
    <col width="9.140000000000001" customWidth="1" style="359" min="10762" max="10762"/>
    <col width="9" customWidth="1" style="359" min="10763" max="10763"/>
    <col width="9.140000000000001" customWidth="1" style="359" min="10764" max="11007"/>
    <col width="41.15" customWidth="1" style="359" min="11008" max="11008"/>
    <col width="12.86" customWidth="1" style="359" min="11009" max="11016"/>
    <col width="1.85" customWidth="1" style="359" min="11017" max="11017"/>
    <col width="9.140000000000001" customWidth="1" style="359" min="11018" max="11018"/>
    <col width="9" customWidth="1" style="359" min="11019" max="11019"/>
    <col width="9.140000000000001" customWidth="1" style="359" min="11020" max="11263"/>
    <col width="41.15" customWidth="1" style="359" min="11264" max="11264"/>
    <col width="12.86" customWidth="1" style="359" min="11265" max="11272"/>
    <col width="1.85" customWidth="1" style="359" min="11273" max="11273"/>
    <col width="9.140000000000001" customWidth="1" style="359" min="11274" max="11274"/>
    <col width="9" customWidth="1" style="359" min="11275" max="11275"/>
    <col width="9.140000000000001" customWidth="1" style="359" min="11276" max="11519"/>
    <col width="41.15" customWidth="1" style="359" min="11520" max="11520"/>
    <col width="12.86" customWidth="1" style="359" min="11521" max="11528"/>
    <col width="1.85" customWidth="1" style="359" min="11529" max="11529"/>
    <col width="9.140000000000001" customWidth="1" style="359" min="11530" max="11530"/>
    <col width="9" customWidth="1" style="359" min="11531" max="11531"/>
    <col width="9.140000000000001" customWidth="1" style="359" min="11532" max="11775"/>
    <col width="41.15" customWidth="1" style="359" min="11776" max="11776"/>
    <col width="12.86" customWidth="1" style="359" min="11777" max="11784"/>
    <col width="1.85" customWidth="1" style="359" min="11785" max="11785"/>
    <col width="9.140000000000001" customWidth="1" style="359" min="11786" max="11786"/>
    <col width="9" customWidth="1" style="359" min="11787" max="11787"/>
    <col width="9.140000000000001" customWidth="1" style="359" min="11788" max="12031"/>
    <col width="41.15" customWidth="1" style="359" min="12032" max="12032"/>
    <col width="12.86" customWidth="1" style="359" min="12033" max="12040"/>
    <col width="1.85" customWidth="1" style="359" min="12041" max="12041"/>
    <col width="9.140000000000001" customWidth="1" style="359" min="12042" max="12042"/>
    <col width="9" customWidth="1" style="359" min="12043" max="12043"/>
    <col width="9.140000000000001" customWidth="1" style="359" min="12044" max="12287"/>
    <col width="41.15" customWidth="1" style="359" min="12288" max="12288"/>
    <col width="12.86" customWidth="1" style="359" min="12289" max="12296"/>
    <col width="1.85" customWidth="1" style="359" min="12297" max="12297"/>
    <col width="9.140000000000001" customWidth="1" style="359" min="12298" max="12298"/>
    <col width="9" customWidth="1" style="359" min="12299" max="12299"/>
    <col width="9.140000000000001" customWidth="1" style="359" min="12300" max="12543"/>
    <col width="41.15" customWidth="1" style="359" min="12544" max="12544"/>
    <col width="12.86" customWidth="1" style="359" min="12545" max="12552"/>
    <col width="1.85" customWidth="1" style="359" min="12553" max="12553"/>
    <col width="9.140000000000001" customWidth="1" style="359" min="12554" max="12554"/>
    <col width="9" customWidth="1" style="359" min="12555" max="12555"/>
    <col width="9.140000000000001" customWidth="1" style="359" min="12556" max="12799"/>
    <col width="41.15" customWidth="1" style="359" min="12800" max="12800"/>
    <col width="12.86" customWidth="1" style="359" min="12801" max="12808"/>
    <col width="1.85" customWidth="1" style="359" min="12809" max="12809"/>
    <col width="9.140000000000001" customWidth="1" style="359" min="12810" max="12810"/>
    <col width="9" customWidth="1" style="359" min="12811" max="12811"/>
    <col width="9.140000000000001" customWidth="1" style="359" min="12812" max="13055"/>
    <col width="41.15" customWidth="1" style="359" min="13056" max="13056"/>
    <col width="12.86" customWidth="1" style="359" min="13057" max="13064"/>
    <col width="1.85" customWidth="1" style="359" min="13065" max="13065"/>
    <col width="9.140000000000001" customWidth="1" style="359" min="13066" max="13066"/>
    <col width="9" customWidth="1" style="359" min="13067" max="13067"/>
    <col width="9.140000000000001" customWidth="1" style="359" min="13068" max="13311"/>
    <col width="41.15" customWidth="1" style="359" min="13312" max="13312"/>
    <col width="12.86" customWidth="1" style="359" min="13313" max="13320"/>
    <col width="1.85" customWidth="1" style="359" min="13321" max="13321"/>
    <col width="9.140000000000001" customWidth="1" style="359" min="13322" max="13322"/>
    <col width="9" customWidth="1" style="359" min="13323" max="13323"/>
    <col width="9.140000000000001" customWidth="1" style="359" min="13324" max="13567"/>
    <col width="41.15" customWidth="1" style="359" min="13568" max="13568"/>
    <col width="12.86" customWidth="1" style="359" min="13569" max="13576"/>
    <col width="1.85" customWidth="1" style="359" min="13577" max="13577"/>
    <col width="9.140000000000001" customWidth="1" style="359" min="13578" max="13578"/>
    <col width="9" customWidth="1" style="359" min="13579" max="13579"/>
    <col width="9.140000000000001" customWidth="1" style="359" min="13580" max="13823"/>
    <col width="41.15" customWidth="1" style="359" min="13824" max="13824"/>
    <col width="12.86" customWidth="1" style="359" min="13825" max="13832"/>
    <col width="1.85" customWidth="1" style="359" min="13833" max="13833"/>
    <col width="9.140000000000001" customWidth="1" style="359" min="13834" max="13834"/>
    <col width="9" customWidth="1" style="359" min="13835" max="13835"/>
    <col width="9.140000000000001" customWidth="1" style="359" min="13836" max="14079"/>
    <col width="41.15" customWidth="1" style="359" min="14080" max="14080"/>
    <col width="12.86" customWidth="1" style="359" min="14081" max="14088"/>
    <col width="1.85" customWidth="1" style="359" min="14089" max="14089"/>
    <col width="9.140000000000001" customWidth="1" style="359" min="14090" max="14090"/>
    <col width="9" customWidth="1" style="359" min="14091" max="14091"/>
    <col width="9.140000000000001" customWidth="1" style="359" min="14092" max="14335"/>
    <col width="41.15" customWidth="1" style="359" min="14336" max="14336"/>
    <col width="12.86" customWidth="1" style="359" min="14337" max="14344"/>
    <col width="1.85" customWidth="1" style="359" min="14345" max="14345"/>
    <col width="9.140000000000001" customWidth="1" style="359" min="14346" max="14346"/>
    <col width="9" customWidth="1" style="359" min="14347" max="14347"/>
    <col width="9.140000000000001" customWidth="1" style="359" min="14348" max="14591"/>
    <col width="41.15" customWidth="1" style="359" min="14592" max="14592"/>
    <col width="12.86" customWidth="1" style="359" min="14593" max="14600"/>
    <col width="1.85" customWidth="1" style="359" min="14601" max="14601"/>
    <col width="9.140000000000001" customWidth="1" style="359" min="14602" max="14602"/>
    <col width="9" customWidth="1" style="359" min="14603" max="14603"/>
    <col width="9.140000000000001" customWidth="1" style="359" min="14604" max="14847"/>
    <col width="41.15" customWidth="1" style="359" min="14848" max="14848"/>
    <col width="12.86" customWidth="1" style="359" min="14849" max="14856"/>
    <col width="1.85" customWidth="1" style="359" min="14857" max="14857"/>
    <col width="9.140000000000001" customWidth="1" style="359" min="14858" max="14858"/>
    <col width="9" customWidth="1" style="359" min="14859" max="14859"/>
    <col width="9.140000000000001" customWidth="1" style="359" min="14860" max="15103"/>
    <col width="41.15" customWidth="1" style="359" min="15104" max="15104"/>
    <col width="12.86" customWidth="1" style="359" min="15105" max="15112"/>
    <col width="1.85" customWidth="1" style="359" min="15113" max="15113"/>
    <col width="9.140000000000001" customWidth="1" style="359" min="15114" max="15114"/>
    <col width="9" customWidth="1" style="359" min="15115" max="15115"/>
    <col width="9.140000000000001" customWidth="1" style="359" min="15116" max="15359"/>
    <col width="41.15" customWidth="1" style="359" min="15360" max="15360"/>
    <col width="12.86" customWidth="1" style="359" min="15361" max="15368"/>
    <col width="1.85" customWidth="1" style="359" min="15369" max="15369"/>
    <col width="9.140000000000001" customWidth="1" style="359" min="15370" max="15370"/>
    <col width="9" customWidth="1" style="359" min="15371" max="15371"/>
    <col width="9.140000000000001" customWidth="1" style="359" min="15372" max="15615"/>
    <col width="41.15" customWidth="1" style="359" min="15616" max="15616"/>
    <col width="12.86" customWidth="1" style="359" min="15617" max="15624"/>
    <col width="1.85" customWidth="1" style="359" min="15625" max="15625"/>
    <col width="9.140000000000001" customWidth="1" style="359" min="15626" max="15626"/>
    <col width="9" customWidth="1" style="359" min="15627" max="15627"/>
    <col width="9.140000000000001" customWidth="1" style="359" min="15628" max="15871"/>
    <col width="41.15" customWidth="1" style="359" min="15872" max="15872"/>
    <col width="12.86" customWidth="1" style="359" min="15873" max="15880"/>
    <col width="1.85" customWidth="1" style="359" min="15881" max="15881"/>
    <col width="9.140000000000001" customWidth="1" style="359" min="15882" max="15882"/>
    <col width="9" customWidth="1" style="359" min="15883" max="15883"/>
    <col width="9.140000000000001" customWidth="1" style="359" min="15884" max="16127"/>
    <col width="41.15" customWidth="1" style="359" min="16128" max="16128"/>
    <col width="12.86" customWidth="1" style="359" min="16129" max="16136"/>
    <col width="1.85" customWidth="1" style="359" min="16137" max="16137"/>
    <col width="9.140000000000001" customWidth="1" style="359" min="16138" max="16138"/>
    <col width="9" customWidth="1" style="359" min="16139" max="16139"/>
    <col width="9.140000000000001" customWidth="1" style="359" min="16140" max="16384"/>
  </cols>
  <sheetData>
    <row r="1" ht="12.75" customHeight="1" s="226">
      <c r="A1" s="244" t="inlineStr">
        <is>
          <t xml:space="preserve">          К содержанию</t>
        </is>
      </c>
      <c r="B1" s="361" t="n"/>
    </row>
    <row r="2" ht="28.5" customHeight="1" s="226">
      <c r="B2" s="362" t="n"/>
      <c r="C2" s="362" t="n"/>
      <c r="D2" s="362" t="n"/>
      <c r="E2" s="362" t="n"/>
      <c r="F2" s="362" t="n"/>
      <c r="G2" s="362" t="n"/>
      <c r="H2" s="362" t="n"/>
      <c r="I2" s="362" t="n"/>
    </row>
    <row r="3" ht="12.75" customHeight="1" s="226">
      <c r="A3" s="363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5" t="n"/>
    </row>
    <row r="4" ht="48.75" customFormat="1" customHeight="1" s="359">
      <c r="A4" s="292" t="inlineStr">
        <is>
          <t>Фактическое конечное потребление домашних хозяйств по субъектам Российской Федерации в 2016-2023 гг.
(в текущих рыночных ценах; миллионов рублей)</t>
        </is>
      </c>
      <c r="E4" s="365" t="n"/>
      <c r="F4" s="365" t="n"/>
      <c r="G4" s="365" t="n"/>
      <c r="H4" s="365" t="n"/>
      <c r="I4" s="365" t="n"/>
      <c r="J4" s="365" t="n"/>
      <c r="K4" s="360" t="n"/>
      <c r="L4" s="360" t="n"/>
      <c r="N4" s="359" t="n"/>
      <c r="O4" s="359" t="n"/>
    </row>
    <row r="5" ht="12.75" customHeight="1" s="226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</row>
    <row r="6" ht="15" customHeight="1" s="226">
      <c r="A6" s="251" t="n"/>
      <c r="B6" s="251" t="n">
        <v>2016</v>
      </c>
      <c r="C6" s="251" t="n">
        <v>2017</v>
      </c>
      <c r="D6" s="251" t="n">
        <v>2018</v>
      </c>
      <c r="E6" s="251" t="n">
        <v>2019</v>
      </c>
      <c r="F6" s="251" t="n">
        <v>2020</v>
      </c>
      <c r="G6" s="251" t="n">
        <v>2021</v>
      </c>
      <c r="H6" s="251" t="n">
        <v>2022</v>
      </c>
      <c r="I6" s="251" t="n">
        <v>2023</v>
      </c>
      <c r="J6" s="366" t="n"/>
      <c r="P6" s="359" t="n"/>
      <c r="Q6" s="359" t="n"/>
      <c r="R6" s="359" t="n"/>
      <c r="S6" s="359" t="n"/>
      <c r="T6" s="359" t="n"/>
      <c r="U6" s="359" t="n"/>
    </row>
    <row r="7" ht="15" customHeight="1" s="226">
      <c r="A7" s="276" t="inlineStr">
        <is>
          <t>Российская Федерация</t>
        </is>
      </c>
      <c r="B7" s="252">
        <f>B8+B27+B40+B49+B57+B72+B80+B91</f>
        <v/>
      </c>
      <c r="C7" s="252">
        <f>C8+C27+C40+C49+C57+C72+C80+C91</f>
        <v/>
      </c>
      <c r="D7" s="252">
        <f>D8+D27+D40+D49+D57+D72+D80+D91</f>
        <v/>
      </c>
      <c r="E7" s="252">
        <f>E8+E27+E40+E49+E57+E72+E80+E91</f>
        <v/>
      </c>
      <c r="F7" s="252">
        <f>F8+F27+F40+F49+F57+F72+F80+F91</f>
        <v/>
      </c>
      <c r="G7" s="252">
        <f>G8+G27+G40+G49+G57+G72+G80+G91</f>
        <v/>
      </c>
      <c r="H7" s="252">
        <f>H8+H27+H40+H49+H57+H72+H80+H91</f>
        <v/>
      </c>
      <c r="I7" s="252">
        <f>I8+I27+I40+I49+I57+I72+I80+I91</f>
        <v/>
      </c>
      <c r="J7" s="367" t="n"/>
      <c r="K7" s="368" t="n"/>
      <c r="L7" s="368" t="n"/>
      <c r="M7" s="369" t="n"/>
      <c r="P7" s="367" t="n"/>
      <c r="Q7" s="367" t="n"/>
      <c r="R7" s="369" t="n"/>
      <c r="S7" s="369" t="n"/>
      <c r="T7" s="359" t="n"/>
      <c r="U7" s="359" t="n"/>
    </row>
    <row r="8" ht="15" customHeight="1" s="226">
      <c r="A8" s="276" t="inlineStr">
        <is>
          <t>Центральный федеральный округ</t>
        </is>
      </c>
      <c r="B8" s="370">
        <f>SUM(B9:B26)</f>
        <v/>
      </c>
      <c r="C8" s="254">
        <f>SUM(C9:C26)</f>
        <v/>
      </c>
      <c r="D8" s="254">
        <f>SUM(D9:D26)</f>
        <v/>
      </c>
      <c r="E8" s="254">
        <f>SUM(E9:E26)</f>
        <v/>
      </c>
      <c r="F8" s="254">
        <f>SUM(F9:F26)</f>
        <v/>
      </c>
      <c r="G8" s="254">
        <f>SUM(G9:G26)</f>
        <v/>
      </c>
      <c r="H8" s="254">
        <f>SUM(H9:H26)</f>
        <v/>
      </c>
      <c r="I8" s="254">
        <f>SUM(I9:I26)</f>
        <v/>
      </c>
      <c r="J8" s="371" t="n"/>
      <c r="K8" s="368" t="n"/>
      <c r="L8" s="368" t="n"/>
      <c r="M8" s="369" t="n"/>
      <c r="N8" s="372" t="n"/>
      <c r="O8" s="369" t="n"/>
      <c r="P8" s="372" t="n"/>
      <c r="Q8" s="372" t="n"/>
      <c r="R8" s="369" t="n"/>
      <c r="S8" s="369" t="n"/>
      <c r="T8" s="359" t="n"/>
      <c r="U8" s="359" t="n"/>
    </row>
    <row r="9" ht="15" customHeight="1" s="226">
      <c r="A9" s="373" t="inlineStr">
        <is>
          <t xml:space="preserve"> Белгородская область</t>
        </is>
      </c>
      <c r="B9" s="336" t="n">
        <v>466164.6</v>
      </c>
      <c r="C9" s="262" t="n">
        <v>499493.2</v>
      </c>
      <c r="D9" s="262" t="n">
        <v>533129.3</v>
      </c>
      <c r="E9" s="262" t="n">
        <v>562519.8</v>
      </c>
      <c r="F9" s="262" t="n">
        <v>599043.4</v>
      </c>
      <c r="G9" s="262" t="n">
        <v>666668.6</v>
      </c>
      <c r="H9" s="262" t="n">
        <v>745134.6</v>
      </c>
      <c r="I9" s="263" t="n">
        <v>775985.3</v>
      </c>
      <c r="J9" s="374" t="n"/>
      <c r="M9" s="369" t="n"/>
      <c r="N9" s="374" t="n"/>
      <c r="O9" s="369" t="n"/>
      <c r="P9" s="374" t="n"/>
      <c r="Q9" s="374" t="n"/>
      <c r="R9" s="369" t="n"/>
      <c r="S9" s="369" t="n"/>
      <c r="T9" s="359" t="n"/>
      <c r="U9" s="359" t="n"/>
    </row>
    <row r="10" ht="15" customHeight="1" s="226">
      <c r="A10" s="268" t="inlineStr">
        <is>
          <t xml:space="preserve"> Брянская область</t>
        </is>
      </c>
      <c r="B10" s="336" t="n">
        <v>335477.2</v>
      </c>
      <c r="C10" s="262" t="n">
        <v>360416</v>
      </c>
      <c r="D10" s="262" t="n">
        <v>388483.3</v>
      </c>
      <c r="E10" s="262" t="n">
        <v>417202.9</v>
      </c>
      <c r="F10" s="262" t="n">
        <v>420982</v>
      </c>
      <c r="G10" s="262" t="n">
        <v>475894.4</v>
      </c>
      <c r="H10" s="262" t="n">
        <v>519582.4</v>
      </c>
      <c r="I10" s="263" t="n">
        <v>561200.7</v>
      </c>
      <c r="J10" s="374" t="n"/>
      <c r="M10" s="369" t="n"/>
      <c r="N10" s="374" t="n"/>
      <c r="O10" s="369" t="n"/>
      <c r="P10" s="374" t="n"/>
      <c r="Q10" s="374" t="n"/>
      <c r="R10" s="369" t="n"/>
      <c r="S10" s="369" t="n"/>
      <c r="T10" s="359" t="n"/>
      <c r="U10" s="359" t="n"/>
    </row>
    <row r="11" ht="15" customFormat="1" customHeight="1" s="360">
      <c r="A11" s="268" t="inlineStr">
        <is>
          <t xml:space="preserve"> Владимирская область</t>
        </is>
      </c>
      <c r="B11" s="336" t="n">
        <v>361023.4</v>
      </c>
      <c r="C11" s="262" t="n">
        <v>377323.1</v>
      </c>
      <c r="D11" s="262" t="n">
        <v>402254.2</v>
      </c>
      <c r="E11" s="262" t="n">
        <v>426810.5</v>
      </c>
      <c r="F11" s="262" t="n">
        <v>438855.6</v>
      </c>
      <c r="G11" s="262" t="n">
        <v>487485.2</v>
      </c>
      <c r="H11" s="262" t="n">
        <v>552703.1</v>
      </c>
      <c r="I11" s="263" t="n">
        <v>605429.2</v>
      </c>
      <c r="J11" s="374" t="n"/>
      <c r="M11" s="369" t="n"/>
      <c r="N11" s="374" t="n"/>
      <c r="O11" s="369" t="n"/>
      <c r="P11" s="374" t="n"/>
      <c r="Q11" s="374" t="n"/>
      <c r="R11" s="369" t="n"/>
      <c r="S11" s="369" t="n"/>
      <c r="T11" s="360" t="n"/>
      <c r="U11" s="360" t="n"/>
    </row>
    <row r="12" ht="15" customFormat="1" customHeight="1" s="360">
      <c r="A12" s="268" t="inlineStr">
        <is>
          <t xml:space="preserve"> Воронежская область</t>
        </is>
      </c>
      <c r="B12" s="336" t="n">
        <v>752220.5</v>
      </c>
      <c r="C12" s="262" t="n">
        <v>792182.4</v>
      </c>
      <c r="D12" s="262" t="n">
        <v>851665.8</v>
      </c>
      <c r="E12" s="262" t="n">
        <v>840346.9</v>
      </c>
      <c r="F12" s="262" t="n">
        <v>849856.3</v>
      </c>
      <c r="G12" s="262" t="n">
        <v>1002234.6</v>
      </c>
      <c r="H12" s="262" t="n">
        <v>1110043.9</v>
      </c>
      <c r="I12" s="263" t="n">
        <v>1172379.3</v>
      </c>
      <c r="J12" s="374" t="n"/>
      <c r="M12" s="369" t="n"/>
      <c r="N12" s="374" t="n"/>
      <c r="O12" s="369" t="n"/>
      <c r="P12" s="374" t="n"/>
      <c r="Q12" s="374" t="n"/>
      <c r="R12" s="369" t="n"/>
      <c r="S12" s="369" t="n"/>
      <c r="T12" s="360" t="n"/>
      <c r="U12" s="360" t="n"/>
    </row>
    <row r="13" ht="15" customFormat="1" customHeight="1" s="360">
      <c r="A13" s="268" t="inlineStr">
        <is>
          <t xml:space="preserve"> Ивановская область</t>
        </is>
      </c>
      <c r="B13" s="336" t="n">
        <v>240558.5</v>
      </c>
      <c r="C13" s="262" t="n">
        <v>249711.8</v>
      </c>
      <c r="D13" s="262" t="n">
        <v>271214</v>
      </c>
      <c r="E13" s="262" t="n">
        <v>290995.9</v>
      </c>
      <c r="F13" s="262" t="n">
        <v>298369.4</v>
      </c>
      <c r="G13" s="262" t="n">
        <v>341850.4</v>
      </c>
      <c r="H13" s="262" t="n">
        <v>393087.7</v>
      </c>
      <c r="I13" s="263" t="n">
        <v>421012.5</v>
      </c>
      <c r="J13" s="374" t="n"/>
      <c r="M13" s="369" t="n"/>
      <c r="N13" s="374" t="n"/>
      <c r="O13" s="369" t="n"/>
      <c r="P13" s="374" t="n"/>
      <c r="Q13" s="374" t="n"/>
      <c r="R13" s="369" t="n"/>
      <c r="S13" s="369" t="n"/>
      <c r="T13" s="360" t="n"/>
      <c r="U13" s="360" t="n"/>
    </row>
    <row r="14" ht="15" customFormat="1" customHeight="1" s="360">
      <c r="A14" s="268" t="inlineStr">
        <is>
          <t xml:space="preserve"> Калужская область</t>
        </is>
      </c>
      <c r="B14" s="336" t="n">
        <v>306913.4</v>
      </c>
      <c r="C14" s="262" t="n">
        <v>325020</v>
      </c>
      <c r="D14" s="262" t="n">
        <v>346679.6</v>
      </c>
      <c r="E14" s="262" t="n">
        <v>367543.1</v>
      </c>
      <c r="F14" s="262" t="n">
        <v>374009.5</v>
      </c>
      <c r="G14" s="262" t="n">
        <v>421469.9</v>
      </c>
      <c r="H14" s="262" t="n">
        <v>474983.9</v>
      </c>
      <c r="I14" s="263" t="n">
        <v>509563.5</v>
      </c>
      <c r="J14" s="374" t="n"/>
      <c r="M14" s="369" t="n"/>
      <c r="N14" s="374" t="n"/>
      <c r="O14" s="369" t="n"/>
      <c r="P14" s="374" t="n"/>
      <c r="Q14" s="374" t="n"/>
      <c r="R14" s="369" t="n"/>
      <c r="S14" s="369" t="n"/>
      <c r="T14" s="360" t="n"/>
      <c r="U14" s="360" t="n"/>
    </row>
    <row r="15" ht="15" customFormat="1" customHeight="1" s="360">
      <c r="A15" s="268" t="inlineStr">
        <is>
          <t xml:space="preserve"> Костромская область</t>
        </is>
      </c>
      <c r="B15" s="336" t="n">
        <v>157762.7</v>
      </c>
      <c r="C15" s="262" t="n">
        <v>164981.5</v>
      </c>
      <c r="D15" s="262" t="n">
        <v>171784.5</v>
      </c>
      <c r="E15" s="262" t="n">
        <v>179558.9</v>
      </c>
      <c r="F15" s="262" t="n">
        <v>185287.3</v>
      </c>
      <c r="G15" s="262" t="n">
        <v>216481.7</v>
      </c>
      <c r="H15" s="262" t="n">
        <v>250367.8</v>
      </c>
      <c r="I15" s="263" t="n">
        <v>272629</v>
      </c>
      <c r="J15" s="374" t="n"/>
      <c r="M15" s="369" t="n"/>
      <c r="N15" s="374" t="n"/>
      <c r="O15" s="369" t="n"/>
      <c r="P15" s="374" t="n"/>
      <c r="Q15" s="374" t="n"/>
      <c r="R15" s="369" t="n"/>
      <c r="S15" s="369" t="n"/>
      <c r="T15" s="360" t="n"/>
      <c r="U15" s="360" t="n"/>
    </row>
    <row r="16" ht="15" customFormat="1" customHeight="1" s="360">
      <c r="A16" s="268" t="inlineStr">
        <is>
          <t xml:space="preserve"> Курская область </t>
        </is>
      </c>
      <c r="B16" s="336" t="n">
        <v>299788.1</v>
      </c>
      <c r="C16" s="262" t="n">
        <v>317271.7</v>
      </c>
      <c r="D16" s="262" t="n">
        <v>344414</v>
      </c>
      <c r="E16" s="262" t="n">
        <v>363162.3</v>
      </c>
      <c r="F16" s="262" t="n">
        <v>372498</v>
      </c>
      <c r="G16" s="262" t="n">
        <v>427824.9</v>
      </c>
      <c r="H16" s="262" t="n">
        <v>475114.4</v>
      </c>
      <c r="I16" s="263" t="n">
        <v>508601.8</v>
      </c>
      <c r="J16" s="374" t="n"/>
      <c r="M16" s="369" t="n"/>
      <c r="N16" s="374" t="n"/>
      <c r="O16" s="369" t="n"/>
      <c r="P16" s="374" t="n"/>
      <c r="Q16" s="374" t="n"/>
      <c r="R16" s="369" t="n"/>
      <c r="S16" s="369" t="n"/>
      <c r="T16" s="360" t="n"/>
      <c r="U16" s="360" t="n"/>
    </row>
    <row r="17" ht="15" customFormat="1" customHeight="1" s="360">
      <c r="A17" s="268" t="inlineStr">
        <is>
          <t xml:space="preserve"> Липецкая область</t>
        </is>
      </c>
      <c r="B17" s="336" t="n">
        <v>354126.5</v>
      </c>
      <c r="C17" s="262" t="n">
        <v>371886.3</v>
      </c>
      <c r="D17" s="262" t="n">
        <v>407843.7</v>
      </c>
      <c r="E17" s="262" t="n">
        <v>411371.8</v>
      </c>
      <c r="F17" s="262" t="n">
        <v>416289.4</v>
      </c>
      <c r="G17" s="262" t="n">
        <v>478148.7</v>
      </c>
      <c r="H17" s="262" t="n">
        <v>538765.1</v>
      </c>
      <c r="I17" s="263" t="n">
        <v>569398.1</v>
      </c>
      <c r="J17" s="374" t="n"/>
      <c r="M17" s="369" t="n"/>
      <c r="N17" s="374" t="n"/>
      <c r="O17" s="369" t="n"/>
      <c r="P17" s="374" t="n"/>
      <c r="Q17" s="374" t="n"/>
      <c r="R17" s="369" t="n"/>
      <c r="S17" s="369" t="n"/>
      <c r="T17" s="360" t="n"/>
      <c r="U17" s="360" t="n"/>
    </row>
    <row r="18" ht="15" customFormat="1" customHeight="1" s="360">
      <c r="A18" s="268" t="inlineStr">
        <is>
          <t xml:space="preserve"> Московская область</t>
        </is>
      </c>
      <c r="B18" s="336" t="n">
        <v>3214500.6</v>
      </c>
      <c r="C18" s="262" t="n">
        <v>3445081.9</v>
      </c>
      <c r="D18" s="262" t="n">
        <v>3819916.3</v>
      </c>
      <c r="E18" s="262" t="n">
        <v>4086297.1</v>
      </c>
      <c r="F18" s="262" t="n">
        <v>4315336.7</v>
      </c>
      <c r="G18" s="262" t="n">
        <v>5278734.4</v>
      </c>
      <c r="H18" s="262" t="n">
        <v>5780530.2</v>
      </c>
      <c r="I18" s="263" t="n">
        <v>6369874.4</v>
      </c>
      <c r="J18" s="374" t="n"/>
      <c r="M18" s="369" t="n"/>
      <c r="N18" s="374" t="n"/>
      <c r="O18" s="369" t="n"/>
      <c r="P18" s="374" t="n"/>
      <c r="Q18" s="374" t="n"/>
      <c r="R18" s="369" t="n"/>
      <c r="S18" s="369" t="n"/>
      <c r="T18" s="360" t="n"/>
      <c r="U18" s="360" t="n"/>
    </row>
    <row r="19" ht="15" customFormat="1" customHeight="1" s="360">
      <c r="A19" s="268" t="inlineStr">
        <is>
          <t xml:space="preserve"> Орловская область</t>
        </is>
      </c>
      <c r="B19" s="336" t="n">
        <v>190227.6</v>
      </c>
      <c r="C19" s="262" t="n">
        <v>202386.9</v>
      </c>
      <c r="D19" s="262" t="n">
        <v>216616.8</v>
      </c>
      <c r="E19" s="262" t="n">
        <v>226101.9</v>
      </c>
      <c r="F19" s="262" t="n">
        <v>234493.8</v>
      </c>
      <c r="G19" s="262" t="n">
        <v>266894.9</v>
      </c>
      <c r="H19" s="262" t="n">
        <v>308785.2</v>
      </c>
      <c r="I19" s="263" t="n">
        <v>326052.2</v>
      </c>
      <c r="J19" s="374" t="n"/>
      <c r="M19" s="369" t="n"/>
      <c r="N19" s="374" t="n"/>
      <c r="O19" s="369" t="n"/>
      <c r="P19" s="374" t="n"/>
      <c r="Q19" s="374" t="n"/>
      <c r="R19" s="369" t="n"/>
      <c r="S19" s="369" t="n"/>
      <c r="T19" s="360" t="n"/>
      <c r="U19" s="360" t="n"/>
    </row>
    <row r="20" ht="15" customFormat="1" customHeight="1" s="360">
      <c r="A20" s="268" t="inlineStr">
        <is>
          <t xml:space="preserve"> Рязанская область</t>
        </is>
      </c>
      <c r="B20" s="336" t="n">
        <v>289439.7</v>
      </c>
      <c r="C20" s="262" t="n">
        <v>311125.2</v>
      </c>
      <c r="D20" s="262" t="n">
        <v>333454.9</v>
      </c>
      <c r="E20" s="262" t="n">
        <v>354207.9</v>
      </c>
      <c r="F20" s="262" t="n">
        <v>374638.5</v>
      </c>
      <c r="G20" s="262" t="n">
        <v>430095.6</v>
      </c>
      <c r="H20" s="262" t="n">
        <v>481062</v>
      </c>
      <c r="I20" s="263" t="n">
        <v>527781.4</v>
      </c>
      <c r="J20" s="374" t="n"/>
      <c r="M20" s="369" t="n"/>
      <c r="N20" s="374" t="n"/>
      <c r="O20" s="369" t="n"/>
      <c r="P20" s="374" t="n"/>
      <c r="Q20" s="374" t="n"/>
      <c r="R20" s="369" t="n"/>
      <c r="S20" s="369" t="n"/>
      <c r="T20" s="360" t="n"/>
      <c r="U20" s="360" t="n"/>
    </row>
    <row r="21" ht="15" customFormat="1" customHeight="1" s="360">
      <c r="A21" s="268" t="inlineStr">
        <is>
          <t xml:space="preserve"> Смоленская область</t>
        </is>
      </c>
      <c r="B21" s="336" t="n">
        <v>245284.3</v>
      </c>
      <c r="C21" s="262" t="n">
        <v>254062.2</v>
      </c>
      <c r="D21" s="262" t="n">
        <v>273545.1</v>
      </c>
      <c r="E21" s="262" t="n">
        <v>283265.8</v>
      </c>
      <c r="F21" s="262" t="n">
        <v>287736</v>
      </c>
      <c r="G21" s="262" t="n">
        <v>316927.8</v>
      </c>
      <c r="H21" s="262" t="n">
        <v>349610.6</v>
      </c>
      <c r="I21" s="263" t="n">
        <v>392604.1</v>
      </c>
      <c r="J21" s="374" t="n"/>
      <c r="M21" s="369" t="n"/>
      <c r="N21" s="374" t="n"/>
      <c r="O21" s="369" t="n"/>
      <c r="P21" s="374" t="n"/>
      <c r="Q21" s="374" t="n"/>
      <c r="R21" s="369" t="n"/>
      <c r="S21" s="369" t="n"/>
      <c r="T21" s="360" t="n"/>
      <c r="U21" s="360" t="n"/>
    </row>
    <row r="22" ht="15" customFormat="1" customHeight="1" s="360">
      <c r="A22" s="268" t="inlineStr">
        <is>
          <t xml:space="preserve"> Тамбовская область</t>
        </is>
      </c>
      <c r="B22" s="336" t="n">
        <v>291784.3</v>
      </c>
      <c r="C22" s="262" t="n">
        <v>300667.2</v>
      </c>
      <c r="D22" s="262" t="n">
        <v>315867.5</v>
      </c>
      <c r="E22" s="262" t="n">
        <v>330973.1</v>
      </c>
      <c r="F22" s="262" t="n">
        <v>324886.8</v>
      </c>
      <c r="G22" s="262" t="n">
        <v>358493.6</v>
      </c>
      <c r="H22" s="262" t="n">
        <v>397824.6</v>
      </c>
      <c r="I22" s="263" t="n">
        <v>423837.9</v>
      </c>
      <c r="J22" s="374" t="n"/>
      <c r="M22" s="369" t="n"/>
      <c r="N22" s="374" t="n"/>
      <c r="O22" s="369" t="n"/>
      <c r="P22" s="374" t="n"/>
      <c r="Q22" s="374" t="n"/>
      <c r="R22" s="369" t="n"/>
      <c r="S22" s="369" t="n"/>
      <c r="T22" s="360" t="n"/>
      <c r="U22" s="360" t="n"/>
    </row>
    <row r="23" ht="15" customFormat="1" customHeight="1" s="360">
      <c r="A23" s="268" t="inlineStr">
        <is>
          <t xml:space="preserve"> Тверская область</t>
        </is>
      </c>
      <c r="B23" s="336" t="n">
        <v>351346.9</v>
      </c>
      <c r="C23" s="262" t="n">
        <v>357355.9</v>
      </c>
      <c r="D23" s="262" t="n">
        <v>378108.9</v>
      </c>
      <c r="E23" s="262" t="n">
        <v>403233.2</v>
      </c>
      <c r="F23" s="262" t="n">
        <v>423225.2</v>
      </c>
      <c r="G23" s="262" t="n">
        <v>495070.2</v>
      </c>
      <c r="H23" s="262" t="n">
        <v>555392.8</v>
      </c>
      <c r="I23" s="263" t="n">
        <v>603796.1</v>
      </c>
      <c r="J23" s="374" t="n"/>
      <c r="M23" s="369" t="n"/>
      <c r="N23" s="374" t="n"/>
      <c r="O23" s="369" t="n"/>
      <c r="P23" s="374" t="n"/>
      <c r="Q23" s="374" t="n"/>
      <c r="R23" s="369" t="n"/>
      <c r="S23" s="369" t="n"/>
      <c r="T23" s="360" t="n"/>
      <c r="U23" s="360" t="n"/>
    </row>
    <row r="24" ht="15" customFormat="1" customHeight="1" s="360">
      <c r="A24" s="268" t="inlineStr">
        <is>
          <t xml:space="preserve"> Тульская область</t>
        </is>
      </c>
      <c r="B24" s="336" t="n">
        <v>424128.6</v>
      </c>
      <c r="C24" s="262" t="n">
        <v>454645.7</v>
      </c>
      <c r="D24" s="262" t="n">
        <v>480866.1</v>
      </c>
      <c r="E24" s="262" t="n">
        <v>501366</v>
      </c>
      <c r="F24" s="262" t="n">
        <v>509983</v>
      </c>
      <c r="G24" s="262" t="n">
        <v>590499</v>
      </c>
      <c r="H24" s="262" t="n">
        <v>646196.4</v>
      </c>
      <c r="I24" s="263" t="n">
        <v>758961.9</v>
      </c>
      <c r="J24" s="374" t="n"/>
      <c r="M24" s="369" t="n"/>
      <c r="N24" s="374" t="n"/>
      <c r="O24" s="369" t="n"/>
      <c r="P24" s="374" t="n"/>
      <c r="Q24" s="374" t="n"/>
      <c r="R24" s="369" t="n"/>
      <c r="S24" s="369" t="n"/>
      <c r="T24" s="360" t="n"/>
      <c r="U24" s="360" t="n"/>
    </row>
    <row r="25" ht="15" customFormat="1" customHeight="1" s="360">
      <c r="A25" s="268" t="inlineStr">
        <is>
          <t xml:space="preserve"> Ярославская область</t>
        </is>
      </c>
      <c r="B25" s="336" t="n">
        <v>351478.8</v>
      </c>
      <c r="C25" s="262" t="n">
        <v>377196.2</v>
      </c>
      <c r="D25" s="262" t="n">
        <v>403090</v>
      </c>
      <c r="E25" s="262" t="n">
        <v>418583.5</v>
      </c>
      <c r="F25" s="262" t="n">
        <v>433768.4</v>
      </c>
      <c r="G25" s="262" t="n">
        <v>514516.3</v>
      </c>
      <c r="H25" s="262" t="n">
        <v>564008.3</v>
      </c>
      <c r="I25" s="263" t="n">
        <v>613725.7</v>
      </c>
      <c r="J25" s="374" t="n"/>
      <c r="M25" s="369" t="n"/>
      <c r="N25" s="374" t="n"/>
      <c r="O25" s="369" t="n"/>
      <c r="P25" s="374" t="n"/>
      <c r="Q25" s="374" t="n"/>
      <c r="R25" s="369" t="n"/>
      <c r="S25" s="369" t="n"/>
      <c r="T25" s="360" t="n"/>
      <c r="U25" s="360" t="n"/>
    </row>
    <row r="26" ht="15" customFormat="1" customHeight="1" s="360">
      <c r="A26" s="268" t="inlineStr">
        <is>
          <t xml:space="preserve"> г.Москва</t>
        </is>
      </c>
      <c r="B26" s="336" t="n">
        <v>8402812.5</v>
      </c>
      <c r="C26" s="262" t="n">
        <v>8801547.699999999</v>
      </c>
      <c r="D26" s="262" t="n">
        <v>9486110.199999999</v>
      </c>
      <c r="E26" s="262" t="n">
        <v>9878917.800000001</v>
      </c>
      <c r="F26" s="262" t="n">
        <v>10244798.5</v>
      </c>
      <c r="G26" s="262" t="n">
        <v>12335764.2</v>
      </c>
      <c r="H26" s="262" t="n">
        <v>12855983.5</v>
      </c>
      <c r="I26" s="263" t="n">
        <v>14590026.7</v>
      </c>
      <c r="J26" s="374" t="n"/>
      <c r="M26" s="369" t="n"/>
      <c r="N26" s="374" t="n"/>
      <c r="O26" s="369" t="n"/>
      <c r="P26" s="374" t="n"/>
      <c r="Q26" s="374" t="n"/>
      <c r="R26" s="369" t="n"/>
      <c r="S26" s="369" t="n"/>
      <c r="T26" s="360" t="n"/>
      <c r="U26" s="360" t="n"/>
    </row>
    <row r="27" ht="15" customHeight="1" s="226">
      <c r="A27" s="276" t="inlineStr">
        <is>
          <t>Северо-Западный федеральный округ</t>
        </is>
      </c>
      <c r="B27" s="370">
        <f>SUM(B28:B30,B33:B39)</f>
        <v/>
      </c>
      <c r="C27" s="254">
        <f>SUM(C28:C30,C33:C39)</f>
        <v/>
      </c>
      <c r="D27" s="254">
        <f>SUM(D28:D30,D33:D39)</f>
        <v/>
      </c>
      <c r="E27" s="254">
        <f>SUM(E28:E30,E33:E39)</f>
        <v/>
      </c>
      <c r="F27" s="254">
        <f>SUM(F28:F30,F33:F39)</f>
        <v/>
      </c>
      <c r="G27" s="254">
        <f>SUM(G28:G30,G33:G39)</f>
        <v/>
      </c>
      <c r="H27" s="254">
        <f>SUM(H28:H30,H33:H39)</f>
        <v/>
      </c>
      <c r="I27" s="254">
        <f>SUM(I28:I30,I33:I39)</f>
        <v/>
      </c>
      <c r="J27" s="371" t="n"/>
      <c r="K27" s="368" t="n"/>
      <c r="L27" s="368" t="n"/>
      <c r="M27" s="369" t="n"/>
      <c r="P27" s="372" t="n"/>
      <c r="Q27" s="372" t="n"/>
      <c r="R27" s="369" t="n"/>
      <c r="S27" s="369" t="n"/>
      <c r="T27" s="359" t="n"/>
      <c r="U27" s="359" t="n"/>
    </row>
    <row r="28" ht="15" customHeight="1" s="226">
      <c r="A28" s="268" t="inlineStr">
        <is>
          <t xml:space="preserve"> Республика Карелия</t>
        </is>
      </c>
      <c r="B28" s="336" t="n">
        <v>188585.2</v>
      </c>
      <c r="C28" s="262" t="n">
        <v>197621.1</v>
      </c>
      <c r="D28" s="262" t="n">
        <v>216225</v>
      </c>
      <c r="E28" s="262" t="n">
        <v>222878.6</v>
      </c>
      <c r="F28" s="262" t="n">
        <v>242461.5</v>
      </c>
      <c r="G28" s="262" t="n">
        <v>268751.9</v>
      </c>
      <c r="H28" s="262" t="n">
        <v>291212.4</v>
      </c>
      <c r="I28" s="263" t="n">
        <v>333318.1</v>
      </c>
      <c r="J28" s="374" t="n"/>
      <c r="M28" s="369" t="n"/>
      <c r="P28" s="374" t="n"/>
      <c r="Q28" s="374" t="n"/>
      <c r="R28" s="369" t="n"/>
      <c r="S28" s="369" t="n"/>
      <c r="T28" s="359" t="n"/>
      <c r="U28" s="359" t="n"/>
    </row>
    <row r="29" ht="15" customHeight="1" s="226">
      <c r="A29" s="268" t="inlineStr">
        <is>
          <t xml:space="preserve"> Республика Коми</t>
        </is>
      </c>
      <c r="B29" s="336" t="n">
        <v>274274.3</v>
      </c>
      <c r="C29" s="262" t="n">
        <v>283794.5</v>
      </c>
      <c r="D29" s="262" t="n">
        <v>296873.5</v>
      </c>
      <c r="E29" s="262" t="n">
        <v>315473.2</v>
      </c>
      <c r="F29" s="262" t="n">
        <v>325948.6</v>
      </c>
      <c r="G29" s="262" t="n">
        <v>353939.1</v>
      </c>
      <c r="H29" s="262" t="n">
        <v>392467.4</v>
      </c>
      <c r="I29" s="263" t="n">
        <v>430207.5</v>
      </c>
      <c r="J29" s="374" t="n"/>
      <c r="M29" s="369" t="n"/>
      <c r="P29" s="374" t="n"/>
      <c r="Q29" s="374" t="n"/>
      <c r="R29" s="369" t="n"/>
      <c r="S29" s="369" t="n"/>
      <c r="T29" s="359" t="n"/>
      <c r="U29" s="359" t="n"/>
    </row>
    <row r="30" ht="15" customHeight="1" s="226">
      <c r="A30" s="268" t="inlineStr">
        <is>
          <t xml:space="preserve"> Архангельская область</t>
        </is>
      </c>
      <c r="B30" s="336" t="n">
        <v>408457.6</v>
      </c>
      <c r="C30" s="262" t="n">
        <v>430453.3</v>
      </c>
      <c r="D30" s="262" t="n">
        <v>455612</v>
      </c>
      <c r="E30" s="262" t="n">
        <v>464750.9</v>
      </c>
      <c r="F30" s="262" t="n">
        <v>475040.5</v>
      </c>
      <c r="G30" s="262" t="n">
        <v>541260.4</v>
      </c>
      <c r="H30" s="262" t="n">
        <v>590849.5</v>
      </c>
      <c r="I30" s="263" t="n">
        <v>641535</v>
      </c>
      <c r="J30" s="374" t="n"/>
      <c r="K30" s="368" t="n"/>
      <c r="L30" s="368" t="n"/>
      <c r="M30" s="369" t="n"/>
      <c r="P30" s="374" t="n"/>
      <c r="Q30" s="374" t="n"/>
      <c r="R30" s="369" t="n"/>
      <c r="S30" s="369" t="n"/>
      <c r="T30" s="359" t="n"/>
      <c r="U30" s="359" t="n"/>
    </row>
    <row r="31" ht="15" customHeight="1" s="226">
      <c r="A31" s="268" t="inlineStr">
        <is>
          <t xml:space="preserve">     в т.ч. Ненецкий АО</t>
        </is>
      </c>
      <c r="B31" s="336" t="n">
        <v>22242.6</v>
      </c>
      <c r="C31" s="262" t="n">
        <v>22208.1</v>
      </c>
      <c r="D31" s="262" t="n">
        <v>24316.9</v>
      </c>
      <c r="E31" s="262" t="n">
        <v>24534.8</v>
      </c>
      <c r="F31" s="262" t="n">
        <v>24577.5</v>
      </c>
      <c r="G31" s="262" t="n">
        <v>27780.9</v>
      </c>
      <c r="H31" s="262" t="n">
        <v>29133.6</v>
      </c>
      <c r="I31" s="263" t="n">
        <v>31749.5</v>
      </c>
      <c r="J31" s="374" t="n"/>
      <c r="M31" s="369" t="n"/>
      <c r="P31" s="374" t="n"/>
      <c r="Q31" s="374" t="n"/>
      <c r="R31" s="369" t="n"/>
      <c r="S31" s="369" t="n"/>
      <c r="T31" s="359" t="n"/>
      <c r="U31" s="359" t="n"/>
    </row>
    <row r="32" ht="17.25" customHeight="1" s="226">
      <c r="A32" s="268" t="inlineStr">
        <is>
          <t>Архангельская область без Ненецкого АО</t>
        </is>
      </c>
      <c r="B32" s="375" t="n">
        <v>386215</v>
      </c>
      <c r="C32" s="269" t="n">
        <v>408245.2</v>
      </c>
      <c r="D32" s="262" t="n">
        <v>431295.1</v>
      </c>
      <c r="E32" s="262" t="n">
        <v>440216.1</v>
      </c>
      <c r="F32" s="262" t="n">
        <v>450463</v>
      </c>
      <c r="G32" s="262" t="n">
        <v>513479.5</v>
      </c>
      <c r="H32" s="262" t="n">
        <v>561715.9</v>
      </c>
      <c r="I32" s="263" t="n">
        <v>609785.5</v>
      </c>
      <c r="J32" s="374" t="n"/>
      <c r="M32" s="369" t="n"/>
      <c r="P32" s="374" t="n"/>
      <c r="Q32" s="374" t="n"/>
      <c r="R32" s="369" t="n"/>
      <c r="S32" s="369" t="n"/>
      <c r="T32" s="359" t="n"/>
      <c r="U32" s="359" t="n"/>
    </row>
    <row r="33" ht="15" customHeight="1" s="226">
      <c r="A33" s="268" t="inlineStr">
        <is>
          <t xml:space="preserve"> Вологодская область</t>
        </is>
      </c>
      <c r="B33" s="336" t="n">
        <v>281150</v>
      </c>
      <c r="C33" s="262" t="n">
        <v>296705.9</v>
      </c>
      <c r="D33" s="262" t="n">
        <v>320903.2</v>
      </c>
      <c r="E33" s="262" t="n">
        <v>345919.8</v>
      </c>
      <c r="F33" s="262" t="n">
        <v>378112</v>
      </c>
      <c r="G33" s="262" t="n">
        <v>432696.1</v>
      </c>
      <c r="H33" s="262" t="n">
        <v>472730.2</v>
      </c>
      <c r="I33" s="263" t="n">
        <v>512725.2</v>
      </c>
      <c r="J33" s="374" t="n"/>
      <c r="M33" s="369" t="n"/>
      <c r="P33" s="374" t="n"/>
      <c r="Q33" s="374" t="n"/>
      <c r="R33" s="369" t="n"/>
      <c r="S33" s="369" t="n"/>
      <c r="T33" s="359" t="n"/>
      <c r="U33" s="359" t="n"/>
    </row>
    <row r="34" ht="15" customHeight="1" s="226">
      <c r="A34" s="268" t="inlineStr">
        <is>
          <t xml:space="preserve"> Калининградская область</t>
        </is>
      </c>
      <c r="B34" s="336" t="n">
        <v>277922.2</v>
      </c>
      <c r="C34" s="262" t="n">
        <v>291262.4</v>
      </c>
      <c r="D34" s="262" t="n">
        <v>314726.1</v>
      </c>
      <c r="E34" s="262" t="n">
        <v>324415</v>
      </c>
      <c r="F34" s="262" t="n">
        <v>332230.2</v>
      </c>
      <c r="G34" s="262" t="n">
        <v>420549.8</v>
      </c>
      <c r="H34" s="262" t="n">
        <v>499958</v>
      </c>
      <c r="I34" s="263" t="n">
        <v>538978.1</v>
      </c>
      <c r="J34" s="374" t="n"/>
      <c r="M34" s="369" t="n"/>
      <c r="P34" s="374" t="n"/>
      <c r="Q34" s="374" t="n"/>
      <c r="R34" s="369" t="n"/>
      <c r="S34" s="369" t="n"/>
      <c r="T34" s="359" t="n"/>
      <c r="U34" s="359" t="n"/>
    </row>
    <row r="35" ht="15" customHeight="1" s="226">
      <c r="A35" s="268" t="inlineStr">
        <is>
          <t xml:space="preserve"> Ленинградская область</t>
        </is>
      </c>
      <c r="B35" s="336" t="n">
        <v>555917.8</v>
      </c>
      <c r="C35" s="262" t="n">
        <v>593415.9</v>
      </c>
      <c r="D35" s="262" t="n">
        <v>655642.6</v>
      </c>
      <c r="E35" s="262" t="n">
        <v>670937.4</v>
      </c>
      <c r="F35" s="262" t="n">
        <v>738278.7</v>
      </c>
      <c r="G35" s="262" t="n">
        <v>843477.9</v>
      </c>
      <c r="H35" s="262" t="n">
        <v>928418.7</v>
      </c>
      <c r="I35" s="263" t="n">
        <v>1088872.2</v>
      </c>
      <c r="J35" s="374" t="n"/>
      <c r="M35" s="369" t="n"/>
      <c r="P35" s="374" t="n"/>
      <c r="Q35" s="374" t="n"/>
      <c r="R35" s="369" t="n"/>
      <c r="S35" s="369" t="n"/>
      <c r="T35" s="359" t="n"/>
      <c r="U35" s="359" t="n"/>
    </row>
    <row r="36" ht="15" customHeight="1" s="226">
      <c r="A36" s="268" t="inlineStr">
        <is>
          <t xml:space="preserve"> Мурманская область</t>
        </is>
      </c>
      <c r="B36" s="336" t="n">
        <v>292336.6</v>
      </c>
      <c r="C36" s="262" t="n">
        <v>306461.4</v>
      </c>
      <c r="D36" s="262" t="n">
        <v>326437</v>
      </c>
      <c r="E36" s="262" t="n">
        <v>336077</v>
      </c>
      <c r="F36" s="262" t="n">
        <v>346783.9</v>
      </c>
      <c r="G36" s="262" t="n">
        <v>386743.7</v>
      </c>
      <c r="H36" s="262" t="n">
        <v>443641.5</v>
      </c>
      <c r="I36" s="263" t="n">
        <v>478478.3</v>
      </c>
      <c r="J36" s="374" t="n"/>
      <c r="M36" s="369" t="n"/>
      <c r="P36" s="374" t="n"/>
      <c r="Q36" s="374" t="n"/>
      <c r="R36" s="369" t="n"/>
      <c r="S36" s="369" t="n"/>
      <c r="T36" s="359" t="n"/>
      <c r="U36" s="359" t="n"/>
    </row>
    <row r="37" ht="15" customHeight="1" s="226">
      <c r="A37" s="268" t="inlineStr">
        <is>
          <t xml:space="preserve"> Новгородская область</t>
        </is>
      </c>
      <c r="B37" s="336" t="n">
        <v>180899</v>
      </c>
      <c r="C37" s="262" t="n">
        <v>186567.6</v>
      </c>
      <c r="D37" s="262" t="n">
        <v>191933</v>
      </c>
      <c r="E37" s="262" t="n">
        <v>190581</v>
      </c>
      <c r="F37" s="262" t="n">
        <v>193650.9</v>
      </c>
      <c r="G37" s="262" t="n">
        <v>214982.5</v>
      </c>
      <c r="H37" s="262" t="n">
        <v>247428.9</v>
      </c>
      <c r="I37" s="263" t="n">
        <v>271009.7</v>
      </c>
      <c r="J37" s="374" t="n"/>
      <c r="M37" s="369" t="n"/>
      <c r="P37" s="374" t="n"/>
      <c r="Q37" s="374" t="n"/>
      <c r="R37" s="369" t="n"/>
      <c r="S37" s="369" t="n"/>
      <c r="T37" s="359" t="n"/>
      <c r="U37" s="359" t="n"/>
    </row>
    <row r="38" ht="15" customHeight="1" s="226">
      <c r="A38" s="268" t="inlineStr">
        <is>
          <t xml:space="preserve"> Псковская область</t>
        </is>
      </c>
      <c r="B38" s="336" t="n">
        <v>156584.6</v>
      </c>
      <c r="C38" s="262" t="n">
        <v>165366.7</v>
      </c>
      <c r="D38" s="262" t="n">
        <v>174648.7</v>
      </c>
      <c r="E38" s="262" t="n">
        <v>188195.3</v>
      </c>
      <c r="F38" s="262" t="n">
        <v>198774.5</v>
      </c>
      <c r="G38" s="262" t="n">
        <v>230039.3</v>
      </c>
      <c r="H38" s="262" t="n">
        <v>263978.5</v>
      </c>
      <c r="I38" s="263" t="n">
        <v>287168</v>
      </c>
      <c r="J38" s="374" t="n"/>
      <c r="M38" s="369" t="n"/>
      <c r="P38" s="374" t="n"/>
      <c r="Q38" s="374" t="n"/>
      <c r="R38" s="369" t="n"/>
      <c r="S38" s="369" t="n"/>
      <c r="T38" s="359" t="n"/>
      <c r="U38" s="359" t="n"/>
    </row>
    <row r="39" ht="15" customHeight="1" s="226">
      <c r="A39" s="268" t="inlineStr">
        <is>
          <t xml:space="preserve"> г.Санкт-Петербург</t>
        </is>
      </c>
      <c r="B39" s="337" t="n">
        <v>2569852.8</v>
      </c>
      <c r="C39" s="270" t="n">
        <v>2773786.4</v>
      </c>
      <c r="D39" s="270" t="n">
        <v>3019034.8</v>
      </c>
      <c r="E39" s="270" t="n">
        <v>3193478.8</v>
      </c>
      <c r="F39" s="270" t="n">
        <v>3338054.3</v>
      </c>
      <c r="G39" s="270" t="n">
        <v>4186298.1</v>
      </c>
      <c r="H39" s="270" t="n">
        <v>4411839.7</v>
      </c>
      <c r="I39" s="271" t="n">
        <v>5189287.3</v>
      </c>
      <c r="J39" s="374" t="n"/>
      <c r="M39" s="369" t="n"/>
      <c r="P39" s="374" t="n"/>
      <c r="Q39" s="374" t="n"/>
      <c r="R39" s="369" t="n"/>
      <c r="S39" s="369" t="n"/>
      <c r="T39" s="359" t="n"/>
      <c r="U39" s="359" t="n"/>
    </row>
    <row r="40" ht="15" customHeight="1" s="226">
      <c r="A40" s="267" t="inlineStr">
        <is>
          <t>Южный федеральный округ</t>
        </is>
      </c>
      <c r="B40" s="370">
        <f>SUM(B41:B48)</f>
        <v/>
      </c>
      <c r="C40" s="254">
        <f>SUM(C41:C48)</f>
        <v/>
      </c>
      <c r="D40" s="254">
        <f>SUM(D41:D48)</f>
        <v/>
      </c>
      <c r="E40" s="254">
        <f>SUM(E41:E48)</f>
        <v/>
      </c>
      <c r="F40" s="254">
        <f>SUM(F41:F48)</f>
        <v/>
      </c>
      <c r="G40" s="254">
        <f>SUM(G41:G48)</f>
        <v/>
      </c>
      <c r="H40" s="254">
        <f>SUM(H41:H48)</f>
        <v/>
      </c>
      <c r="I40" s="254">
        <f>SUM(I41:I48)</f>
        <v/>
      </c>
      <c r="J40" s="371" t="n"/>
      <c r="K40" s="368" t="n"/>
      <c r="L40" s="359" t="n"/>
      <c r="M40" s="369" t="n"/>
      <c r="P40" s="372" t="n"/>
      <c r="Q40" s="372" t="n"/>
      <c r="R40" s="369" t="n"/>
      <c r="S40" s="369" t="n"/>
      <c r="T40" s="359" t="n"/>
      <c r="U40" s="359" t="n"/>
    </row>
    <row r="41" ht="15" customHeight="1" s="226">
      <c r="A41" s="268" t="inlineStr">
        <is>
          <t xml:space="preserve"> Республика Адыгея (Адыгея)</t>
        </is>
      </c>
      <c r="B41" s="335" t="n">
        <v>122035.6</v>
      </c>
      <c r="C41" s="273" t="n">
        <v>131362.1</v>
      </c>
      <c r="D41" s="273" t="n">
        <v>144055.4</v>
      </c>
      <c r="E41" s="273" t="n">
        <v>153586.7</v>
      </c>
      <c r="F41" s="273" t="n">
        <v>163092</v>
      </c>
      <c r="G41" s="273" t="n">
        <v>212999.4</v>
      </c>
      <c r="H41" s="273" t="n">
        <v>229783.1</v>
      </c>
      <c r="I41" s="274" t="n">
        <v>257284.6</v>
      </c>
      <c r="J41" s="374" t="n"/>
      <c r="M41" s="369" t="n"/>
      <c r="P41" s="374" t="n"/>
      <c r="Q41" s="374" t="n"/>
      <c r="R41" s="369" t="n"/>
      <c r="S41" s="369" t="n"/>
      <c r="T41" s="359" t="n"/>
      <c r="U41" s="359" t="n"/>
    </row>
    <row r="42" ht="15" customHeight="1" s="226">
      <c r="A42" s="268" t="inlineStr">
        <is>
          <t xml:space="preserve"> Республика Калмыкия </t>
        </is>
      </c>
      <c r="B42" s="336" t="n">
        <v>42241</v>
      </c>
      <c r="C42" s="262" t="n">
        <v>44800.8</v>
      </c>
      <c r="D42" s="262" t="n">
        <v>50423.3</v>
      </c>
      <c r="E42" s="262" t="n">
        <v>49150.9</v>
      </c>
      <c r="F42" s="262" t="n">
        <v>54648</v>
      </c>
      <c r="G42" s="262" t="n">
        <v>58114.3</v>
      </c>
      <c r="H42" s="262" t="n">
        <v>64768</v>
      </c>
      <c r="I42" s="263" t="n">
        <v>94565.5</v>
      </c>
      <c r="J42" s="374" t="n"/>
      <c r="M42" s="369" t="n"/>
      <c r="P42" s="374" t="n"/>
      <c r="Q42" s="374" t="n"/>
      <c r="R42" s="369" t="n"/>
      <c r="S42" s="369" t="n"/>
      <c r="T42" s="359" t="n"/>
      <c r="U42" s="359" t="n"/>
    </row>
    <row r="43" ht="15" customHeight="1" s="226">
      <c r="A43" s="268" t="inlineStr">
        <is>
          <t xml:space="preserve"> Республика Крым</t>
        </is>
      </c>
      <c r="B43" s="336" t="n">
        <v>396743.1</v>
      </c>
      <c r="C43" s="262" t="n">
        <v>416464.1</v>
      </c>
      <c r="D43" s="262" t="n">
        <v>447904.4</v>
      </c>
      <c r="E43" s="262" t="n">
        <v>465446.4</v>
      </c>
      <c r="F43" s="262" t="n">
        <v>497922.2</v>
      </c>
      <c r="G43" s="262" t="n">
        <v>642254.6</v>
      </c>
      <c r="H43" s="262" t="n">
        <v>700588.2</v>
      </c>
      <c r="I43" s="263" t="n">
        <v>777842.4</v>
      </c>
      <c r="J43" s="374" t="n"/>
      <c r="M43" s="369" t="n"/>
      <c r="P43" s="374" t="n"/>
      <c r="Q43" s="374" t="n"/>
      <c r="R43" s="369" t="n"/>
      <c r="S43" s="369" t="n"/>
      <c r="T43" s="359" t="n"/>
      <c r="U43" s="359" t="n"/>
    </row>
    <row r="44" ht="15" customHeight="1" s="226">
      <c r="A44" s="268" t="inlineStr">
        <is>
          <t xml:space="preserve"> Краснодарский край</t>
        </is>
      </c>
      <c r="B44" s="336" t="n">
        <v>2015061.1</v>
      </c>
      <c r="C44" s="262" t="n">
        <v>2141957.3</v>
      </c>
      <c r="D44" s="262" t="n">
        <v>2317059.8</v>
      </c>
      <c r="E44" s="262" t="n">
        <v>2425470.2</v>
      </c>
      <c r="F44" s="262" t="n">
        <v>2572218.3</v>
      </c>
      <c r="G44" s="262" t="n">
        <v>3255666.7</v>
      </c>
      <c r="H44" s="262" t="n">
        <v>4110625.5</v>
      </c>
      <c r="I44" s="263" t="n">
        <v>4698975.9</v>
      </c>
      <c r="J44" s="374" t="n"/>
      <c r="M44" s="369" t="n"/>
      <c r="P44" s="374" t="n"/>
      <c r="Q44" s="374" t="n"/>
      <c r="R44" s="369" t="n"/>
      <c r="S44" s="369" t="n"/>
      <c r="T44" s="359" t="n"/>
      <c r="U44" s="359" t="n"/>
    </row>
    <row r="45" ht="15" customHeight="1" s="226">
      <c r="A45" s="268" t="inlineStr">
        <is>
          <t xml:space="preserve"> Астраханская область</t>
        </is>
      </c>
      <c r="B45" s="336" t="n">
        <v>257518.8</v>
      </c>
      <c r="C45" s="262" t="n">
        <v>261482.1</v>
      </c>
      <c r="D45" s="262" t="n">
        <v>279055.4</v>
      </c>
      <c r="E45" s="262" t="n">
        <v>289405.3</v>
      </c>
      <c r="F45" s="262" t="n">
        <v>288632.6</v>
      </c>
      <c r="G45" s="262" t="n">
        <v>324523.1</v>
      </c>
      <c r="H45" s="262" t="n">
        <v>358241.1</v>
      </c>
      <c r="I45" s="263" t="n">
        <v>379083</v>
      </c>
      <c r="J45" s="374" t="n"/>
      <c r="M45" s="369" t="n"/>
      <c r="P45" s="374" t="n"/>
      <c r="Q45" s="374" t="n"/>
      <c r="R45" s="369" t="n"/>
      <c r="S45" s="369" t="n"/>
      <c r="T45" s="359" t="n"/>
      <c r="U45" s="359" t="n"/>
    </row>
    <row r="46" ht="15" customHeight="1" s="226">
      <c r="A46" s="268" t="inlineStr">
        <is>
          <t xml:space="preserve"> Волгоградская область</t>
        </is>
      </c>
      <c r="B46" s="336" t="n">
        <v>637501</v>
      </c>
      <c r="C46" s="262" t="n">
        <v>661638.9</v>
      </c>
      <c r="D46" s="262" t="n">
        <v>707039.2</v>
      </c>
      <c r="E46" s="262" t="n">
        <v>740991.9</v>
      </c>
      <c r="F46" s="262" t="n">
        <v>766657.3</v>
      </c>
      <c r="G46" s="262" t="n">
        <v>863712.4</v>
      </c>
      <c r="H46" s="262" t="n">
        <v>955880.5</v>
      </c>
      <c r="I46" s="263" t="n">
        <v>1076719.9</v>
      </c>
      <c r="J46" s="374" t="n"/>
      <c r="M46" s="369" t="n"/>
      <c r="P46" s="374" t="n"/>
      <c r="Q46" s="374" t="n"/>
      <c r="R46" s="369" t="n"/>
      <c r="S46" s="369" t="n"/>
      <c r="T46" s="359" t="n"/>
      <c r="U46" s="359" t="n"/>
    </row>
    <row r="47" ht="15" customFormat="1" customHeight="1" s="359">
      <c r="A47" s="268" t="inlineStr">
        <is>
          <t xml:space="preserve"> Ростовская область</t>
        </is>
      </c>
      <c r="B47" s="336" t="n">
        <v>1325991</v>
      </c>
      <c r="C47" s="262" t="n">
        <v>1387507.7</v>
      </c>
      <c r="D47" s="262" t="n">
        <v>1470766.1</v>
      </c>
      <c r="E47" s="262" t="n">
        <v>1516574.8</v>
      </c>
      <c r="F47" s="262" t="n">
        <v>1543939.3</v>
      </c>
      <c r="G47" s="262" t="n">
        <v>1801419.6</v>
      </c>
      <c r="H47" s="262" t="n">
        <v>2039928.4</v>
      </c>
      <c r="I47" s="263" t="n">
        <v>2358018.6</v>
      </c>
      <c r="J47" s="374" t="n"/>
      <c r="K47" s="360" t="n"/>
      <c r="L47" s="360" t="n"/>
      <c r="M47" s="369" t="n"/>
      <c r="N47" s="359" t="n"/>
      <c r="O47" s="359" t="n"/>
      <c r="P47" s="374" t="n"/>
      <c r="Q47" s="374" t="n"/>
      <c r="R47" s="369" t="n"/>
      <c r="S47" s="369" t="n"/>
      <c r="T47" s="359" t="n"/>
      <c r="U47" s="359" t="n"/>
    </row>
    <row r="48" ht="15" customFormat="1" customHeight="1" s="359">
      <c r="A48" s="268" t="inlineStr">
        <is>
          <t xml:space="preserve"> г.Севастополь</t>
        </is>
      </c>
      <c r="B48" s="336" t="n">
        <v>117749</v>
      </c>
      <c r="C48" s="262" t="n">
        <v>132200.7</v>
      </c>
      <c r="D48" s="262" t="n">
        <v>144950.9</v>
      </c>
      <c r="E48" s="262" t="n">
        <v>151743.1</v>
      </c>
      <c r="F48" s="262" t="n">
        <v>157131.7</v>
      </c>
      <c r="G48" s="262" t="n">
        <v>212955.9</v>
      </c>
      <c r="H48" s="262" t="n">
        <v>229283.9</v>
      </c>
      <c r="I48" s="263" t="n">
        <v>251466.8</v>
      </c>
      <c r="J48" s="374" t="n"/>
      <c r="K48" s="360" t="n"/>
      <c r="L48" s="360" t="n"/>
      <c r="M48" s="369" t="n"/>
      <c r="N48" s="359" t="n"/>
      <c r="O48" s="359" t="n"/>
      <c r="P48" s="374" t="n"/>
      <c r="Q48" s="374" t="n"/>
      <c r="R48" s="369" t="n"/>
      <c r="S48" s="369" t="n"/>
      <c r="T48" s="359" t="n"/>
      <c r="U48" s="359" t="n"/>
    </row>
    <row r="49" ht="15" customHeight="1" s="226">
      <c r="A49" s="276" t="inlineStr">
        <is>
          <t>Северо-Кавказский федеральный округ</t>
        </is>
      </c>
      <c r="B49" s="376">
        <f>SUM(B50:B56)</f>
        <v/>
      </c>
      <c r="C49" s="275">
        <f>SUM(C50:C56)</f>
        <v/>
      </c>
      <c r="D49" s="275">
        <f>SUM(D50:D56)</f>
        <v/>
      </c>
      <c r="E49" s="275">
        <f>SUM(E50:E56)</f>
        <v/>
      </c>
      <c r="F49" s="275">
        <f>SUM(F50:F56)</f>
        <v/>
      </c>
      <c r="G49" s="275">
        <f>SUM(G50:G56)</f>
        <v/>
      </c>
      <c r="H49" s="254">
        <f>SUM(H50:H56)</f>
        <v/>
      </c>
      <c r="I49" s="254">
        <f>SUM(I50:I56)</f>
        <v/>
      </c>
      <c r="J49" s="377" t="n"/>
      <c r="K49" s="368" t="n"/>
      <c r="L49" s="368" t="n"/>
      <c r="M49" s="369" t="n"/>
      <c r="P49" s="372" t="n"/>
      <c r="Q49" s="372" t="n"/>
      <c r="R49" s="369" t="n"/>
      <c r="S49" s="369" t="n"/>
      <c r="T49" s="359" t="n"/>
      <c r="U49" s="359" t="n"/>
    </row>
    <row r="50" ht="15" customHeight="1" s="226">
      <c r="A50" s="268" t="inlineStr">
        <is>
          <t xml:space="preserve"> Республика Дагестан</t>
        </is>
      </c>
      <c r="B50" s="336" t="n">
        <v>899466.3</v>
      </c>
      <c r="C50" s="262" t="n">
        <v>918139.7</v>
      </c>
      <c r="D50" s="262" t="n">
        <v>888712.8</v>
      </c>
      <c r="E50" s="262" t="n">
        <v>963648.6</v>
      </c>
      <c r="F50" s="262" t="n">
        <v>969756.6</v>
      </c>
      <c r="G50" s="262" t="n">
        <v>1058907.5</v>
      </c>
      <c r="H50" s="262" t="n">
        <v>1251793.3</v>
      </c>
      <c r="I50" s="263" t="n">
        <v>1364659.5</v>
      </c>
      <c r="J50" s="374" t="n"/>
      <c r="M50" s="369" t="n"/>
      <c r="P50" s="374" t="n"/>
      <c r="Q50" s="374" t="n"/>
      <c r="R50" s="369" t="n"/>
      <c r="S50" s="369" t="n"/>
      <c r="T50" s="359" t="n"/>
      <c r="U50" s="359" t="n"/>
    </row>
    <row r="51" ht="15" customHeight="1" s="226">
      <c r="A51" s="268" t="inlineStr">
        <is>
          <t xml:space="preserve"> Республика Ингушетия</t>
        </is>
      </c>
      <c r="B51" s="336" t="n">
        <v>49383.3</v>
      </c>
      <c r="C51" s="262" t="n">
        <v>54610.9</v>
      </c>
      <c r="D51" s="262" t="n">
        <v>60173.8</v>
      </c>
      <c r="E51" s="262" t="n">
        <v>63569.5</v>
      </c>
      <c r="F51" s="262" t="n">
        <v>65015.1</v>
      </c>
      <c r="G51" s="262" t="n">
        <v>70311.39999999999</v>
      </c>
      <c r="H51" s="262" t="n">
        <v>84545.2</v>
      </c>
      <c r="I51" s="263" t="n">
        <v>97718.39999999999</v>
      </c>
      <c r="J51" s="374" t="n"/>
      <c r="M51" s="369" t="n"/>
      <c r="P51" s="374" t="n"/>
      <c r="Q51" s="374" t="n"/>
      <c r="R51" s="369" t="n"/>
      <c r="S51" s="369" t="n"/>
      <c r="T51" s="359" t="n"/>
      <c r="U51" s="359" t="n"/>
    </row>
    <row r="52" ht="15" customHeight="1" s="226">
      <c r="A52" s="268" t="inlineStr">
        <is>
          <t xml:space="preserve"> Кабардино-Балкарская Республика</t>
        </is>
      </c>
      <c r="B52" s="336" t="n">
        <v>183596.3</v>
      </c>
      <c r="C52" s="262" t="n">
        <v>193615.7</v>
      </c>
      <c r="D52" s="262" t="n">
        <v>203825.4</v>
      </c>
      <c r="E52" s="262" t="n">
        <v>215618.4</v>
      </c>
      <c r="F52" s="262" t="n">
        <v>221338.6</v>
      </c>
      <c r="G52" s="262" t="n">
        <v>287507.1</v>
      </c>
      <c r="H52" s="262" t="n">
        <v>360309.9</v>
      </c>
      <c r="I52" s="263" t="n">
        <v>414105.7</v>
      </c>
      <c r="J52" s="374" t="n"/>
      <c r="M52" s="369" t="n"/>
      <c r="P52" s="374" t="n"/>
      <c r="Q52" s="374" t="n"/>
      <c r="R52" s="369" t="n"/>
      <c r="S52" s="369" t="n"/>
      <c r="T52" s="359" t="n"/>
      <c r="U52" s="359" t="n"/>
    </row>
    <row r="53" ht="15" customHeight="1" s="226">
      <c r="A53" s="268" t="inlineStr">
        <is>
          <t xml:space="preserve"> Карачаево-Черкесская Республика</t>
        </is>
      </c>
      <c r="B53" s="336" t="n">
        <v>70705</v>
      </c>
      <c r="C53" s="262" t="n">
        <v>72127.39999999999</v>
      </c>
      <c r="D53" s="262" t="n">
        <v>78658.5</v>
      </c>
      <c r="E53" s="262" t="n">
        <v>84151</v>
      </c>
      <c r="F53" s="262" t="n">
        <v>87569.3</v>
      </c>
      <c r="G53" s="262" t="n">
        <v>97300.2</v>
      </c>
      <c r="H53" s="262" t="n">
        <v>110345.8</v>
      </c>
      <c r="I53" s="263" t="n">
        <v>127555.3</v>
      </c>
      <c r="J53" s="374" t="n"/>
      <c r="M53" s="369" t="n"/>
      <c r="P53" s="374" t="n"/>
      <c r="Q53" s="374" t="n"/>
      <c r="R53" s="369" t="n"/>
      <c r="S53" s="369" t="n"/>
      <c r="T53" s="359" t="n"/>
      <c r="U53" s="359" t="n"/>
    </row>
    <row r="54" ht="15" customHeight="1" s="226">
      <c r="A54" s="268" t="inlineStr">
        <is>
          <t xml:space="preserve"> Республика Северная Осетия - Алания</t>
        </is>
      </c>
      <c r="B54" s="336" t="n">
        <v>182145.7</v>
      </c>
      <c r="C54" s="262" t="n">
        <v>190297.5</v>
      </c>
      <c r="D54" s="262" t="n">
        <v>204673.4</v>
      </c>
      <c r="E54" s="262" t="n">
        <v>210012.1</v>
      </c>
      <c r="F54" s="262" t="n">
        <v>212891.7</v>
      </c>
      <c r="G54" s="262" t="n">
        <v>233344.5</v>
      </c>
      <c r="H54" s="262" t="n">
        <v>262802.2</v>
      </c>
      <c r="I54" s="263" t="n">
        <v>302765.6</v>
      </c>
      <c r="J54" s="374" t="n"/>
      <c r="M54" s="369" t="n"/>
      <c r="P54" s="374" t="n"/>
      <c r="Q54" s="374" t="n"/>
      <c r="R54" s="369" t="n"/>
      <c r="S54" s="369" t="n"/>
      <c r="T54" s="359" t="n"/>
      <c r="U54" s="359" t="n"/>
    </row>
    <row r="55" ht="15" customHeight="1" s="226">
      <c r="A55" s="268" t="inlineStr">
        <is>
          <t xml:space="preserve"> Чеченская Республика</t>
        </is>
      </c>
      <c r="B55" s="336" t="n">
        <v>283755.1</v>
      </c>
      <c r="C55" s="262" t="n">
        <v>304314.8</v>
      </c>
      <c r="D55" s="262" t="n">
        <v>330045.6</v>
      </c>
      <c r="E55" s="262" t="n">
        <v>349049.5</v>
      </c>
      <c r="F55" s="262" t="n">
        <v>370439.7</v>
      </c>
      <c r="G55" s="262" t="n">
        <v>400141.1</v>
      </c>
      <c r="H55" s="262" t="n">
        <v>465726.4</v>
      </c>
      <c r="I55" s="263" t="n">
        <v>509178.1</v>
      </c>
      <c r="J55" s="374" t="n"/>
      <c r="M55" s="369" t="n"/>
      <c r="P55" s="374" t="n"/>
      <c r="Q55" s="374" t="n"/>
      <c r="R55" s="369" t="n"/>
      <c r="S55" s="369" t="n"/>
      <c r="T55" s="359" t="n"/>
      <c r="U55" s="359" t="n"/>
    </row>
    <row r="56" ht="15" customHeight="1" s="226">
      <c r="A56" s="268" t="inlineStr">
        <is>
          <t xml:space="preserve"> Ставропольский край</t>
        </is>
      </c>
      <c r="B56" s="336" t="n">
        <v>737324.5</v>
      </c>
      <c r="C56" s="262" t="n">
        <v>781160.2</v>
      </c>
      <c r="D56" s="262" t="n">
        <v>836744.4</v>
      </c>
      <c r="E56" s="262" t="n">
        <v>869281.8</v>
      </c>
      <c r="F56" s="262" t="n">
        <v>858897.3</v>
      </c>
      <c r="G56" s="262" t="n">
        <v>995656.9</v>
      </c>
      <c r="H56" s="262" t="n">
        <v>1083930.5</v>
      </c>
      <c r="I56" s="263" t="n">
        <v>1273094</v>
      </c>
      <c r="J56" s="374" t="n"/>
      <c r="M56" s="369" t="n"/>
      <c r="P56" s="374" t="n"/>
      <c r="Q56" s="374" t="n"/>
      <c r="R56" s="369" t="n"/>
      <c r="S56" s="369" t="n"/>
      <c r="T56" s="359" t="n"/>
      <c r="U56" s="359" t="n"/>
    </row>
    <row r="57" ht="15" customHeight="1" s="226">
      <c r="A57" s="276" t="inlineStr">
        <is>
          <t>Приволжский федеральный округ</t>
        </is>
      </c>
      <c r="B57" s="376">
        <f>SUM(B58:B71)</f>
        <v/>
      </c>
      <c r="C57" s="275">
        <f>SUM(C58:C71)</f>
        <v/>
      </c>
      <c r="D57" s="275">
        <f>SUM(D58:D71)</f>
        <v/>
      </c>
      <c r="E57" s="275">
        <f>SUM(E58:E71)</f>
        <v/>
      </c>
      <c r="F57" s="275">
        <f>SUM(F58:F71)</f>
        <v/>
      </c>
      <c r="G57" s="275">
        <f>SUM(G58:G71)</f>
        <v/>
      </c>
      <c r="H57" s="254">
        <f>SUM(H58:H71)</f>
        <v/>
      </c>
      <c r="I57" s="254">
        <f>SUM(I58:I71)</f>
        <v/>
      </c>
      <c r="J57" s="371" t="n"/>
      <c r="K57" s="368" t="n"/>
      <c r="L57" s="368" t="n"/>
      <c r="M57" s="369" t="n"/>
      <c r="P57" s="372" t="n"/>
      <c r="Q57" s="372" t="n"/>
      <c r="R57" s="369" t="n"/>
      <c r="S57" s="369" t="n"/>
      <c r="T57" s="359" t="n"/>
      <c r="U57" s="359" t="n"/>
    </row>
    <row r="58" ht="15" customHeight="1" s="226">
      <c r="A58" s="277" t="inlineStr">
        <is>
          <t xml:space="preserve"> Республика Башкортостан</t>
        </is>
      </c>
      <c r="B58" s="336" t="n">
        <v>1249068.1</v>
      </c>
      <c r="C58" s="262" t="n">
        <v>1301923.1</v>
      </c>
      <c r="D58" s="262" t="n">
        <v>1380603.9</v>
      </c>
      <c r="E58" s="262" t="n">
        <v>1451508.1</v>
      </c>
      <c r="F58" s="262" t="n">
        <v>1460606.1</v>
      </c>
      <c r="G58" s="262" t="n">
        <v>1623152.1</v>
      </c>
      <c r="H58" s="262" t="n">
        <v>1837637.7</v>
      </c>
      <c r="I58" s="263" t="n">
        <v>2063975.9</v>
      </c>
      <c r="J58" s="374" t="n"/>
      <c r="M58" s="369" t="n"/>
      <c r="P58" s="374" t="n"/>
      <c r="Q58" s="374" t="n"/>
      <c r="R58" s="369" t="n"/>
      <c r="S58" s="369" t="n"/>
      <c r="T58" s="359" t="n"/>
      <c r="U58" s="359" t="n"/>
    </row>
    <row r="59" ht="15" customHeight="1" s="226">
      <c r="A59" s="277" t="inlineStr">
        <is>
          <t xml:space="preserve"> Республика Марий Эл</t>
        </is>
      </c>
      <c r="B59" s="336" t="n">
        <v>140203.5</v>
      </c>
      <c r="C59" s="262" t="n">
        <v>145165</v>
      </c>
      <c r="D59" s="262" t="n">
        <v>155315.5</v>
      </c>
      <c r="E59" s="262" t="n">
        <v>163610.2</v>
      </c>
      <c r="F59" s="262" t="n">
        <v>165572.3</v>
      </c>
      <c r="G59" s="262" t="n">
        <v>191741.6</v>
      </c>
      <c r="H59" s="262" t="n">
        <v>209223.1</v>
      </c>
      <c r="I59" s="263" t="n">
        <v>237361.8</v>
      </c>
      <c r="J59" s="374" t="n"/>
      <c r="M59" s="369" t="n"/>
      <c r="P59" s="374" t="n"/>
      <c r="Q59" s="374" t="n"/>
      <c r="R59" s="369" t="n"/>
      <c r="S59" s="369" t="n"/>
      <c r="T59" s="359" t="n"/>
      <c r="U59" s="359" t="n"/>
    </row>
    <row r="60" ht="15" customHeight="1" s="226">
      <c r="A60" s="277" t="inlineStr">
        <is>
          <t xml:space="preserve"> Республика Мордовия</t>
        </is>
      </c>
      <c r="B60" s="336" t="n">
        <v>157633.6</v>
      </c>
      <c r="C60" s="262" t="n">
        <v>164229.3</v>
      </c>
      <c r="D60" s="262" t="n">
        <v>174431</v>
      </c>
      <c r="E60" s="262" t="n">
        <v>183329.9</v>
      </c>
      <c r="F60" s="262" t="n">
        <v>190953.6</v>
      </c>
      <c r="G60" s="262" t="n">
        <v>218667</v>
      </c>
      <c r="H60" s="262" t="n">
        <v>251776</v>
      </c>
      <c r="I60" s="263" t="n">
        <v>311595.8</v>
      </c>
      <c r="J60" s="374" t="n"/>
      <c r="M60" s="369" t="n"/>
      <c r="P60" s="374" t="n"/>
      <c r="Q60" s="374" t="n"/>
      <c r="R60" s="369" t="n"/>
      <c r="S60" s="369" t="n"/>
      <c r="T60" s="359" t="n"/>
      <c r="U60" s="359" t="n"/>
    </row>
    <row r="61" ht="15" customHeight="1" s="226">
      <c r="A61" s="277" t="inlineStr">
        <is>
          <t xml:space="preserve"> Республика Татарстан (Татарстан)</t>
        </is>
      </c>
      <c r="B61" s="336" t="n">
        <v>1343863.1</v>
      </c>
      <c r="C61" s="262" t="n">
        <v>1424353.3</v>
      </c>
      <c r="D61" s="262" t="n">
        <v>1548362.2</v>
      </c>
      <c r="E61" s="262" t="n">
        <v>1590256.9</v>
      </c>
      <c r="F61" s="262" t="n">
        <v>1605917.1</v>
      </c>
      <c r="G61" s="262" t="n">
        <v>1927114.2</v>
      </c>
      <c r="H61" s="262" t="n">
        <v>2248634.2</v>
      </c>
      <c r="I61" s="263" t="n">
        <v>2530979.3</v>
      </c>
      <c r="J61" s="374" t="n"/>
      <c r="M61" s="369" t="n"/>
      <c r="P61" s="374" t="n"/>
      <c r="Q61" s="374" t="n"/>
      <c r="R61" s="369" t="n"/>
      <c r="S61" s="369" t="n"/>
      <c r="T61" s="359" t="n"/>
      <c r="U61" s="359" t="n"/>
    </row>
    <row r="62" ht="15" customHeight="1" s="226">
      <c r="A62" s="277" t="inlineStr">
        <is>
          <t xml:space="preserve"> Удмуртская Республика</t>
        </is>
      </c>
      <c r="B62" s="336" t="n">
        <v>373312.2</v>
      </c>
      <c r="C62" s="262" t="n">
        <v>391899.1</v>
      </c>
      <c r="D62" s="262" t="n">
        <v>415478.3</v>
      </c>
      <c r="E62" s="262" t="n">
        <v>436983.8</v>
      </c>
      <c r="F62" s="262" t="n">
        <v>450326.1</v>
      </c>
      <c r="G62" s="262" t="n">
        <v>515989.2</v>
      </c>
      <c r="H62" s="262" t="n">
        <v>581280.8</v>
      </c>
      <c r="I62" s="263" t="n">
        <v>646839.8</v>
      </c>
      <c r="J62" s="374" t="n"/>
      <c r="M62" s="369" t="n"/>
      <c r="P62" s="374" t="n"/>
      <c r="Q62" s="374" t="n"/>
      <c r="R62" s="369" t="n"/>
      <c r="S62" s="369" t="n"/>
      <c r="T62" s="359" t="n"/>
      <c r="U62" s="359" t="n"/>
    </row>
    <row r="63" ht="15" customHeight="1" s="226">
      <c r="A63" s="277" t="inlineStr">
        <is>
          <t xml:space="preserve"> Чувашская Республика - Чувашия</t>
        </is>
      </c>
      <c r="B63" s="336" t="n">
        <v>256984.2</v>
      </c>
      <c r="C63" s="262" t="n">
        <v>261996</v>
      </c>
      <c r="D63" s="262" t="n">
        <v>280628.5</v>
      </c>
      <c r="E63" s="262" t="n">
        <v>296960</v>
      </c>
      <c r="F63" s="262" t="n">
        <v>313432.4</v>
      </c>
      <c r="G63" s="262" t="n">
        <v>371375.8</v>
      </c>
      <c r="H63" s="262" t="n">
        <v>435337.2</v>
      </c>
      <c r="I63" s="263" t="n">
        <v>499367.3</v>
      </c>
      <c r="J63" s="374" t="n"/>
      <c r="M63" s="369" t="n"/>
      <c r="P63" s="374" t="n"/>
      <c r="Q63" s="374" t="n"/>
      <c r="R63" s="369" t="n"/>
      <c r="S63" s="369" t="n"/>
      <c r="T63" s="359" t="n"/>
      <c r="U63" s="359" t="n"/>
    </row>
    <row r="64" ht="15" customHeight="1" s="226">
      <c r="A64" s="268" t="inlineStr">
        <is>
          <t xml:space="preserve"> Пермский край</t>
        </is>
      </c>
      <c r="B64" s="336" t="n">
        <v>796739</v>
      </c>
      <c r="C64" s="262" t="n">
        <v>829646.1</v>
      </c>
      <c r="D64" s="262" t="n">
        <v>891836.2</v>
      </c>
      <c r="E64" s="262" t="n">
        <v>919297.7</v>
      </c>
      <c r="F64" s="262" t="n">
        <v>921389.9</v>
      </c>
      <c r="G64" s="262" t="n">
        <v>1044505.6</v>
      </c>
      <c r="H64" s="262" t="n">
        <v>1140227.1</v>
      </c>
      <c r="I64" s="263" t="n">
        <v>1225734.2</v>
      </c>
      <c r="J64" s="374" t="n"/>
      <c r="M64" s="369" t="n"/>
      <c r="P64" s="374" t="n"/>
      <c r="Q64" s="374" t="n"/>
      <c r="R64" s="369" t="n"/>
      <c r="S64" s="369" t="n"/>
      <c r="T64" s="359" t="n"/>
      <c r="U64" s="359" t="n"/>
    </row>
    <row r="65" ht="15" customHeight="1" s="226">
      <c r="A65" s="268" t="inlineStr">
        <is>
          <t xml:space="preserve"> Кировская область</t>
        </is>
      </c>
      <c r="B65" s="336" t="n">
        <v>301519.9</v>
      </c>
      <c r="C65" s="262" t="n">
        <v>318509.8</v>
      </c>
      <c r="D65" s="262" t="n">
        <v>337806.3</v>
      </c>
      <c r="E65" s="262" t="n">
        <v>352357.2</v>
      </c>
      <c r="F65" s="262" t="n">
        <v>365463.6</v>
      </c>
      <c r="G65" s="262" t="n">
        <v>415594.8</v>
      </c>
      <c r="H65" s="262" t="n">
        <v>472069.2</v>
      </c>
      <c r="I65" s="263" t="n">
        <v>514257.2</v>
      </c>
      <c r="J65" s="374" t="n"/>
      <c r="M65" s="369" t="n"/>
      <c r="P65" s="374" t="n"/>
      <c r="Q65" s="374" t="n"/>
      <c r="R65" s="369" t="n"/>
      <c r="S65" s="369" t="n"/>
      <c r="T65" s="359" t="n"/>
      <c r="U65" s="359" t="n"/>
    </row>
    <row r="66" ht="15" customHeight="1" s="226">
      <c r="A66" s="268" t="inlineStr">
        <is>
          <t xml:space="preserve"> Нижегородская область</t>
        </is>
      </c>
      <c r="B66" s="336" t="n">
        <v>1070923.7</v>
      </c>
      <c r="C66" s="262" t="n">
        <v>1135796.9</v>
      </c>
      <c r="D66" s="262" t="n">
        <v>1207127.6</v>
      </c>
      <c r="E66" s="262" t="n">
        <v>1275956.9</v>
      </c>
      <c r="F66" s="262" t="n">
        <v>1268170.3</v>
      </c>
      <c r="G66" s="262" t="n">
        <v>1485146.8</v>
      </c>
      <c r="H66" s="262" t="n">
        <v>1681293.3</v>
      </c>
      <c r="I66" s="263" t="n">
        <v>1880803.3</v>
      </c>
      <c r="J66" s="374" t="n"/>
      <c r="M66" s="369" t="n"/>
      <c r="P66" s="374" t="n"/>
      <c r="Q66" s="374" t="n"/>
      <c r="R66" s="369" t="n"/>
      <c r="S66" s="369" t="n"/>
      <c r="T66" s="359" t="n"/>
      <c r="U66" s="359" t="n"/>
    </row>
    <row r="67" ht="15" customHeight="1" s="226">
      <c r="A67" s="268" t="inlineStr">
        <is>
          <t xml:space="preserve"> Оренбургская область</t>
        </is>
      </c>
      <c r="B67" s="336" t="n">
        <v>492024.3</v>
      </c>
      <c r="C67" s="262" t="n">
        <v>517029.6</v>
      </c>
      <c r="D67" s="262" t="n">
        <v>552069.5</v>
      </c>
      <c r="E67" s="262" t="n">
        <v>581287.8</v>
      </c>
      <c r="F67" s="262" t="n">
        <v>597415.4</v>
      </c>
      <c r="G67" s="262" t="n">
        <v>669869.2</v>
      </c>
      <c r="H67" s="262" t="n">
        <v>735052.6</v>
      </c>
      <c r="I67" s="263" t="n">
        <v>835499.6</v>
      </c>
      <c r="J67" s="374" t="n"/>
      <c r="M67" s="369" t="n"/>
      <c r="P67" s="374" t="n"/>
      <c r="Q67" s="374" t="n"/>
      <c r="R67" s="369" t="n"/>
      <c r="S67" s="369" t="n"/>
      <c r="T67" s="359" t="n"/>
      <c r="U67" s="359" t="n"/>
    </row>
    <row r="68" ht="15" customHeight="1" s="226">
      <c r="A68" s="268" t="inlineStr">
        <is>
          <t xml:space="preserve"> Пензенская область</t>
        </is>
      </c>
      <c r="B68" s="336" t="n">
        <v>310868.6</v>
      </c>
      <c r="C68" s="262" t="n">
        <v>324902.9</v>
      </c>
      <c r="D68" s="262" t="n">
        <v>347751.7</v>
      </c>
      <c r="E68" s="262" t="n">
        <v>349485.4</v>
      </c>
      <c r="F68" s="262" t="n">
        <v>365852.6</v>
      </c>
      <c r="G68" s="262" t="n">
        <v>408821.2</v>
      </c>
      <c r="H68" s="262" t="n">
        <v>451374.6</v>
      </c>
      <c r="I68" s="263" t="n">
        <v>499567.7</v>
      </c>
      <c r="J68" s="374" t="n"/>
      <c r="M68" s="369" t="n"/>
      <c r="P68" s="374" t="n"/>
      <c r="Q68" s="374" t="n"/>
      <c r="R68" s="369" t="n"/>
      <c r="S68" s="369" t="n"/>
      <c r="T68" s="359" t="n"/>
      <c r="U68" s="359" t="n"/>
    </row>
    <row r="69" ht="15" customHeight="1" s="226">
      <c r="A69" s="268" t="inlineStr">
        <is>
          <t xml:space="preserve"> Самарская область</t>
        </is>
      </c>
      <c r="B69" s="336" t="n">
        <v>999876.7</v>
      </c>
      <c r="C69" s="262" t="n">
        <v>1024239</v>
      </c>
      <c r="D69" s="262" t="n">
        <v>1089236.6</v>
      </c>
      <c r="E69" s="262" t="n">
        <v>1136257.1</v>
      </c>
      <c r="F69" s="262" t="n">
        <v>1147619.6</v>
      </c>
      <c r="G69" s="262" t="n">
        <v>1301291</v>
      </c>
      <c r="H69" s="262" t="n">
        <v>1458232.6</v>
      </c>
      <c r="I69" s="263" t="n">
        <v>1668744</v>
      </c>
      <c r="J69" s="374" t="n"/>
      <c r="M69" s="369" t="n"/>
      <c r="P69" s="374" t="n"/>
      <c r="Q69" s="374" t="n"/>
      <c r="R69" s="369" t="n"/>
      <c r="S69" s="369" t="n"/>
      <c r="T69" s="359" t="n"/>
      <c r="U69" s="359" t="n"/>
    </row>
    <row r="70" ht="15" customHeight="1" s="226">
      <c r="A70" s="277" t="inlineStr">
        <is>
          <t xml:space="preserve"> Саратовская область</t>
        </is>
      </c>
      <c r="B70" s="336" t="n">
        <v>546477.7</v>
      </c>
      <c r="C70" s="262" t="n">
        <v>568255.2</v>
      </c>
      <c r="D70" s="262" t="n">
        <v>607635.6</v>
      </c>
      <c r="E70" s="262" t="n">
        <v>643936</v>
      </c>
      <c r="F70" s="262" t="n">
        <v>694278.1</v>
      </c>
      <c r="G70" s="262" t="n">
        <v>774372.8</v>
      </c>
      <c r="H70" s="262" t="n">
        <v>926562.6</v>
      </c>
      <c r="I70" s="263" t="n">
        <v>1015692.6</v>
      </c>
      <c r="J70" s="374" t="n"/>
      <c r="M70" s="369" t="n"/>
      <c r="P70" s="374" t="n"/>
      <c r="Q70" s="374" t="n"/>
      <c r="R70" s="369" t="n"/>
      <c r="S70" s="369" t="n"/>
      <c r="T70" s="359" t="n"/>
      <c r="U70" s="359" t="n"/>
    </row>
    <row r="71" ht="15" customHeight="1" s="226">
      <c r="A71" s="277" t="inlineStr">
        <is>
          <t xml:space="preserve"> Ульяновская область</t>
        </is>
      </c>
      <c r="B71" s="336" t="n">
        <v>293512</v>
      </c>
      <c r="C71" s="262" t="n">
        <v>307517.5</v>
      </c>
      <c r="D71" s="262" t="n">
        <v>330319.9</v>
      </c>
      <c r="E71" s="262" t="n">
        <v>346320.2</v>
      </c>
      <c r="F71" s="262" t="n">
        <v>362312.8</v>
      </c>
      <c r="G71" s="262" t="n">
        <v>399558</v>
      </c>
      <c r="H71" s="262" t="n">
        <v>446357.8</v>
      </c>
      <c r="I71" s="263" t="n">
        <v>493078.5</v>
      </c>
      <c r="J71" s="374" t="n"/>
      <c r="M71" s="369" t="n"/>
      <c r="P71" s="374" t="n"/>
      <c r="Q71" s="374" t="n"/>
      <c r="R71" s="369" t="n"/>
      <c r="S71" s="369" t="n"/>
      <c r="T71" s="359" t="n"/>
      <c r="U71" s="359" t="n"/>
    </row>
    <row r="72" ht="15" customHeight="1" s="226">
      <c r="A72" s="267" t="inlineStr">
        <is>
          <t>Уральский федеральный округ</t>
        </is>
      </c>
      <c r="B72" s="376">
        <f>SUM(B73:B75,B79)</f>
        <v/>
      </c>
      <c r="C72" s="275">
        <f>SUM(C73:C75,C79)</f>
        <v/>
      </c>
      <c r="D72" s="275">
        <f>SUM(D73:D75,D79)</f>
        <v/>
      </c>
      <c r="E72" s="275">
        <f>SUM(E73:E75,E79)</f>
        <v/>
      </c>
      <c r="F72" s="275">
        <f>SUM(F73:F75,F79)</f>
        <v/>
      </c>
      <c r="G72" s="275">
        <f>SUM(G73:G75,G79)</f>
        <v/>
      </c>
      <c r="H72" s="254">
        <f>SUM(H73:H75,H79)</f>
        <v/>
      </c>
      <c r="I72" s="254">
        <f>SUM(I73:I75,I79)</f>
        <v/>
      </c>
      <c r="J72" s="371" t="n"/>
      <c r="K72" s="368" t="n"/>
      <c r="L72" s="368" t="n"/>
      <c r="M72" s="369" t="n"/>
      <c r="P72" s="372" t="n"/>
      <c r="Q72" s="372" t="n"/>
      <c r="R72" s="369" t="n"/>
      <c r="S72" s="369" t="n"/>
      <c r="T72" s="359" t="n"/>
      <c r="U72" s="359" t="n"/>
    </row>
    <row r="73" ht="15" customHeight="1" s="226">
      <c r="A73" s="278" t="inlineStr">
        <is>
          <t xml:space="preserve"> Курганская область</t>
        </is>
      </c>
      <c r="B73" s="336" t="n">
        <v>183973.2</v>
      </c>
      <c r="C73" s="262" t="n">
        <v>188863.5</v>
      </c>
      <c r="D73" s="262" t="n">
        <v>201555.9</v>
      </c>
      <c r="E73" s="262" t="n">
        <v>213065.8</v>
      </c>
      <c r="F73" s="262" t="n">
        <v>214103.7</v>
      </c>
      <c r="G73" s="262" t="n">
        <v>232119</v>
      </c>
      <c r="H73" s="262" t="n">
        <v>263149.7</v>
      </c>
      <c r="I73" s="263" t="n">
        <v>289796.6</v>
      </c>
      <c r="J73" s="374" t="n"/>
      <c r="M73" s="369" t="n"/>
      <c r="P73" s="374" t="n"/>
      <c r="Q73" s="374" t="n"/>
      <c r="R73" s="369" t="n"/>
      <c r="S73" s="369" t="n"/>
      <c r="T73" s="359" t="n"/>
      <c r="U73" s="359" t="n"/>
    </row>
    <row r="74" ht="15" customHeight="1" s="226">
      <c r="A74" s="278" t="inlineStr">
        <is>
          <t xml:space="preserve"> Свердловская область</t>
        </is>
      </c>
      <c r="B74" s="336" t="n">
        <v>1693163.1</v>
      </c>
      <c r="C74" s="262" t="n">
        <v>1756638.1</v>
      </c>
      <c r="D74" s="262" t="n">
        <v>1865610.7</v>
      </c>
      <c r="E74" s="262" t="n">
        <v>1961428.2</v>
      </c>
      <c r="F74" s="262" t="n">
        <v>1872890.5</v>
      </c>
      <c r="G74" s="262" t="n">
        <v>2148730.6</v>
      </c>
      <c r="H74" s="262" t="n">
        <v>2388153.5</v>
      </c>
      <c r="I74" s="263" t="n">
        <v>2650093.8</v>
      </c>
      <c r="J74" s="374" t="n"/>
      <c r="M74" s="369" t="n"/>
      <c r="P74" s="374" t="n"/>
      <c r="Q74" s="374" t="n"/>
      <c r="R74" s="369" t="n"/>
      <c r="S74" s="369" t="n"/>
      <c r="T74" s="359" t="n"/>
      <c r="U74" s="359" t="n"/>
    </row>
    <row r="75" ht="15" customHeight="1" s="226">
      <c r="A75" s="278" t="inlineStr">
        <is>
          <t xml:space="preserve"> Тюменская область</t>
        </is>
      </c>
      <c r="B75" s="336" t="n">
        <v>1529019.9</v>
      </c>
      <c r="C75" s="262" t="n">
        <v>1640315.3</v>
      </c>
      <c r="D75" s="262" t="n">
        <v>1797887.4</v>
      </c>
      <c r="E75" s="262" t="n">
        <v>1839085</v>
      </c>
      <c r="F75" s="262" t="n">
        <v>1902733.8</v>
      </c>
      <c r="G75" s="262" t="n">
        <v>2201649.5</v>
      </c>
      <c r="H75" s="262" t="n">
        <v>2302661.9</v>
      </c>
      <c r="I75" s="263" t="n">
        <v>2606752.5</v>
      </c>
      <c r="J75" s="374" t="n"/>
      <c r="K75" s="368" t="n"/>
      <c r="L75" s="368" t="n"/>
      <c r="M75" s="369" t="n"/>
      <c r="P75" s="374" t="n"/>
      <c r="Q75" s="374" t="n"/>
      <c r="R75" s="369" t="n"/>
      <c r="S75" s="369" t="n"/>
      <c r="T75" s="359" t="n"/>
      <c r="U75" s="359" t="n"/>
    </row>
    <row r="76" ht="15" customHeight="1" s="226">
      <c r="A76" s="268" t="inlineStr">
        <is>
          <t xml:space="preserve"> в т.ч. Ханты-Мансийский АО-Югра</t>
        </is>
      </c>
      <c r="B76" s="336" t="n">
        <v>712221.2</v>
      </c>
      <c r="C76" s="262" t="n">
        <v>770666.4</v>
      </c>
      <c r="D76" s="262" t="n">
        <v>838442.1</v>
      </c>
      <c r="E76" s="262" t="n">
        <v>857815.3</v>
      </c>
      <c r="F76" s="262" t="n">
        <v>872993.4</v>
      </c>
      <c r="G76" s="262" t="n">
        <v>984590.6</v>
      </c>
      <c r="H76" s="262" t="n">
        <v>1035868</v>
      </c>
      <c r="I76" s="263" t="n">
        <v>1136102.3</v>
      </c>
      <c r="J76" s="374" t="n"/>
      <c r="M76" s="369" t="n"/>
      <c r="P76" s="374" t="n"/>
      <c r="Q76" s="374" t="n"/>
      <c r="R76" s="369" t="n"/>
      <c r="S76" s="369" t="n"/>
      <c r="T76" s="359" t="n"/>
      <c r="U76" s="359" t="n"/>
    </row>
    <row r="77" ht="15" customHeight="1" s="226">
      <c r="A77" s="268" t="inlineStr">
        <is>
          <t xml:space="preserve">          Ямало-Ненецкий АО</t>
        </is>
      </c>
      <c r="B77" s="336" t="n">
        <v>250774.4</v>
      </c>
      <c r="C77" s="262" t="n">
        <v>271091.4</v>
      </c>
      <c r="D77" s="262" t="n">
        <v>307650.1</v>
      </c>
      <c r="E77" s="262" t="n">
        <v>311226.4</v>
      </c>
      <c r="F77" s="262" t="n">
        <v>320664.6</v>
      </c>
      <c r="G77" s="262" t="n">
        <v>353904.2</v>
      </c>
      <c r="H77" s="262" t="n">
        <v>384126.8</v>
      </c>
      <c r="I77" s="263" t="n">
        <v>438070.1</v>
      </c>
      <c r="J77" s="374" t="n"/>
      <c r="M77" s="369" t="n"/>
      <c r="P77" s="374" t="n"/>
      <c r="Q77" s="374" t="n"/>
      <c r="R77" s="369" t="n"/>
      <c r="S77" s="369" t="n"/>
      <c r="T77" s="359" t="n"/>
      <c r="U77" s="359" t="n"/>
    </row>
    <row r="78" ht="33" customHeight="1" s="226">
      <c r="A78" s="268" t="inlineStr">
        <is>
          <t>Тюменская область (кроме Ханты-Мансийского АО-Югры и Ямало-Ненецкого АО)</t>
        </is>
      </c>
      <c r="B78" s="336" t="n">
        <v>566024.3</v>
      </c>
      <c r="C78" s="262" t="n">
        <v>598557.5</v>
      </c>
      <c r="D78" s="262" t="n">
        <v>651795.2</v>
      </c>
      <c r="E78" s="262" t="n">
        <v>670043.3</v>
      </c>
      <c r="F78" s="262" t="n">
        <v>709075.8</v>
      </c>
      <c r="G78" s="262" t="n">
        <v>863154.7</v>
      </c>
      <c r="H78" s="262" t="n">
        <v>882667.1</v>
      </c>
      <c r="I78" s="263" t="n">
        <v>1032580.1</v>
      </c>
      <c r="J78" s="374" t="n"/>
      <c r="M78" s="369" t="n"/>
      <c r="P78" s="374" t="n"/>
      <c r="Q78" s="374" t="n"/>
      <c r="R78" s="369" t="n"/>
      <c r="S78" s="369" t="n"/>
      <c r="T78" s="359" t="n"/>
      <c r="U78" s="359" t="n"/>
    </row>
    <row r="79" ht="15" customHeight="1" s="226">
      <c r="A79" s="278" t="inlineStr">
        <is>
          <t xml:space="preserve"> Челябинская область</t>
        </is>
      </c>
      <c r="B79" s="336" t="n">
        <v>864636.2</v>
      </c>
      <c r="C79" s="262" t="n">
        <v>890723.2</v>
      </c>
      <c r="D79" s="262" t="n">
        <v>957942.4</v>
      </c>
      <c r="E79" s="262" t="n">
        <v>984033.4</v>
      </c>
      <c r="F79" s="262" t="n">
        <v>1063131.5</v>
      </c>
      <c r="G79" s="262" t="n">
        <v>1207039.4</v>
      </c>
      <c r="H79" s="262" t="n">
        <v>1396840.9</v>
      </c>
      <c r="I79" s="263" t="n">
        <v>1580263.1</v>
      </c>
      <c r="J79" s="374" t="n"/>
      <c r="M79" s="369" t="n"/>
      <c r="P79" s="374" t="n"/>
      <c r="Q79" s="374" t="n"/>
      <c r="R79" s="369" t="n"/>
      <c r="S79" s="369" t="n"/>
      <c r="T79" s="359" t="n"/>
      <c r="U79" s="359" t="n"/>
    </row>
    <row r="80" ht="15" customHeight="1" s="226">
      <c r="A80" s="279" t="inlineStr">
        <is>
          <t>Сибирский федеральный округ</t>
        </is>
      </c>
      <c r="B80" s="370">
        <f>SUM(B81:B90)</f>
        <v/>
      </c>
      <c r="C80" s="254">
        <f>SUM(C81:C90)</f>
        <v/>
      </c>
      <c r="D80" s="254">
        <f>SUM(D81:D90)</f>
        <v/>
      </c>
      <c r="E80" s="254">
        <f>SUM(E81:E90)</f>
        <v/>
      </c>
      <c r="F80" s="254">
        <f>SUM(F81:F90)</f>
        <v/>
      </c>
      <c r="G80" s="254">
        <f>SUM(G81:G90)</f>
        <v/>
      </c>
      <c r="H80" s="254">
        <f>SUM(H81:H90)</f>
        <v/>
      </c>
      <c r="I80" s="254">
        <f>SUM(I81:I90)</f>
        <v/>
      </c>
      <c r="J80" s="371" t="n"/>
      <c r="K80" s="368" t="n"/>
      <c r="L80" s="368" t="n"/>
      <c r="M80" s="369" t="n"/>
      <c r="P80" s="372" t="n"/>
      <c r="Q80" s="372" t="n"/>
      <c r="R80" s="369" t="n"/>
      <c r="S80" s="369" t="n"/>
      <c r="T80" s="359" t="n"/>
      <c r="U80" s="359" t="n"/>
    </row>
    <row r="81" ht="15" customHeight="1" s="226">
      <c r="A81" s="278" t="inlineStr">
        <is>
          <t xml:space="preserve"> Республика Алтай</t>
        </is>
      </c>
      <c r="B81" s="336" t="n">
        <v>44241.3</v>
      </c>
      <c r="C81" s="262" t="n">
        <v>46527.7</v>
      </c>
      <c r="D81" s="262" t="n">
        <v>52026.6</v>
      </c>
      <c r="E81" s="262" t="n">
        <v>56001.2</v>
      </c>
      <c r="F81" s="262" t="n">
        <v>61337</v>
      </c>
      <c r="G81" s="262" t="n">
        <v>70208</v>
      </c>
      <c r="H81" s="262" t="n">
        <v>85190.2</v>
      </c>
      <c r="I81" s="263" t="n">
        <v>95390.5</v>
      </c>
      <c r="J81" s="374" t="n"/>
      <c r="M81" s="369" t="n"/>
      <c r="P81" s="374" t="n"/>
      <c r="Q81" s="374" t="n"/>
      <c r="R81" s="369" t="n"/>
      <c r="S81" s="369" t="n"/>
      <c r="T81" s="359" t="n"/>
      <c r="U81" s="359" t="n"/>
    </row>
    <row r="82" ht="15" customHeight="1" s="226">
      <c r="A82" s="278" t="inlineStr">
        <is>
          <t xml:space="preserve"> Республика Тыва</t>
        </is>
      </c>
      <c r="B82" s="336" t="n">
        <v>48954.4</v>
      </c>
      <c r="C82" s="262" t="n">
        <v>51631.3</v>
      </c>
      <c r="D82" s="262" t="n">
        <v>56701.1</v>
      </c>
      <c r="E82" s="262" t="n">
        <v>64487.4</v>
      </c>
      <c r="F82" s="262" t="n">
        <v>69988.7</v>
      </c>
      <c r="G82" s="262" t="n">
        <v>77411.2</v>
      </c>
      <c r="H82" s="262" t="n">
        <v>95432.10000000001</v>
      </c>
      <c r="I82" s="263" t="n">
        <v>113899.7</v>
      </c>
      <c r="J82" s="374" t="n"/>
      <c r="M82" s="369" t="n"/>
      <c r="P82" s="374" t="n"/>
      <c r="Q82" s="374" t="n"/>
      <c r="R82" s="369" t="n"/>
      <c r="S82" s="369" t="n"/>
      <c r="T82" s="359" t="n"/>
      <c r="U82" s="359" t="n"/>
    </row>
    <row r="83" ht="15" customHeight="1" s="226">
      <c r="A83" s="278" t="inlineStr">
        <is>
          <t xml:space="preserve"> Республика Хакасия</t>
        </is>
      </c>
      <c r="B83" s="336" t="n">
        <v>131734.4</v>
      </c>
      <c r="C83" s="262" t="n">
        <v>138109.9</v>
      </c>
      <c r="D83" s="262" t="n">
        <v>148265.7</v>
      </c>
      <c r="E83" s="262" t="n">
        <v>153940.9</v>
      </c>
      <c r="F83" s="262" t="n">
        <v>164081.1</v>
      </c>
      <c r="G83" s="262" t="n">
        <v>182766.2</v>
      </c>
      <c r="H83" s="262" t="n">
        <v>200818.3</v>
      </c>
      <c r="I83" s="263" t="n">
        <v>231481.9</v>
      </c>
      <c r="J83" s="374" t="n"/>
      <c r="M83" s="369" t="n"/>
      <c r="P83" s="374" t="n"/>
      <c r="Q83" s="374" t="n"/>
      <c r="R83" s="369" t="n"/>
      <c r="S83" s="369" t="n"/>
      <c r="T83" s="359" t="n"/>
      <c r="U83" s="359" t="n"/>
    </row>
    <row r="84" ht="15" customHeight="1" s="226">
      <c r="A84" s="278" t="inlineStr">
        <is>
          <t xml:space="preserve"> Алтайский край</t>
        </is>
      </c>
      <c r="B84" s="336" t="n">
        <v>536572.5</v>
      </c>
      <c r="C84" s="262" t="n">
        <v>552332.2</v>
      </c>
      <c r="D84" s="262" t="n">
        <v>589598.7</v>
      </c>
      <c r="E84" s="262" t="n">
        <v>601410.1</v>
      </c>
      <c r="F84" s="262" t="n">
        <v>604082.6</v>
      </c>
      <c r="G84" s="262" t="n">
        <v>689718.9</v>
      </c>
      <c r="H84" s="262" t="n">
        <v>804287.9</v>
      </c>
      <c r="I84" s="263" t="n">
        <v>885848.2</v>
      </c>
      <c r="J84" s="374" t="n"/>
      <c r="M84" s="369" t="n"/>
      <c r="P84" s="374" t="n"/>
      <c r="Q84" s="374" t="n"/>
      <c r="R84" s="369" t="n"/>
      <c r="S84" s="369" t="n"/>
      <c r="T84" s="359" t="n"/>
      <c r="U84" s="359" t="n"/>
    </row>
    <row r="85" ht="15" customHeight="1" s="226">
      <c r="A85" s="278" t="inlineStr">
        <is>
          <t xml:space="preserve"> Красноярский край</t>
        </is>
      </c>
      <c r="B85" s="336" t="n">
        <v>889769.9</v>
      </c>
      <c r="C85" s="262" t="n">
        <v>911754.4</v>
      </c>
      <c r="D85" s="262" t="n">
        <v>981552.7</v>
      </c>
      <c r="E85" s="262" t="n">
        <v>1056444.4</v>
      </c>
      <c r="F85" s="262" t="n">
        <v>1071466.5</v>
      </c>
      <c r="G85" s="262" t="n">
        <v>1235833.9</v>
      </c>
      <c r="H85" s="262" t="n">
        <v>1398728.2</v>
      </c>
      <c r="I85" s="263" t="n">
        <v>1583244.6</v>
      </c>
      <c r="J85" s="374" t="n"/>
      <c r="M85" s="369" t="n"/>
      <c r="P85" s="374" t="n"/>
      <c r="Q85" s="374" t="n"/>
      <c r="R85" s="369" t="n"/>
      <c r="S85" s="369" t="n"/>
      <c r="T85" s="359" t="n"/>
      <c r="U85" s="359" t="n"/>
    </row>
    <row r="86" ht="15" customHeight="1" s="226">
      <c r="A86" s="278" t="inlineStr">
        <is>
          <t xml:space="preserve"> Иркутская область</t>
        </is>
      </c>
      <c r="B86" s="336" t="n">
        <v>563658</v>
      </c>
      <c r="C86" s="262" t="n">
        <v>606946.1</v>
      </c>
      <c r="D86" s="262" t="n">
        <v>665364.8</v>
      </c>
      <c r="E86" s="262" t="n">
        <v>726877.9</v>
      </c>
      <c r="F86" s="262" t="n">
        <v>758747.3</v>
      </c>
      <c r="G86" s="262" t="n">
        <v>906160.7</v>
      </c>
      <c r="H86" s="262" t="n">
        <v>1034007.3</v>
      </c>
      <c r="I86" s="263" t="n">
        <v>1181645.3</v>
      </c>
      <c r="J86" s="374" t="n"/>
      <c r="M86" s="369" t="n"/>
      <c r="P86" s="374" t="n"/>
      <c r="Q86" s="374" t="n"/>
      <c r="R86" s="369" t="n"/>
      <c r="S86" s="369" t="n"/>
      <c r="T86" s="359" t="n"/>
      <c r="U86" s="359" t="n"/>
    </row>
    <row r="87" ht="15" customHeight="1" s="226">
      <c r="A87" s="278" t="inlineStr">
        <is>
          <t xml:space="preserve"> Кемеровская область</t>
        </is>
      </c>
      <c r="B87" s="336" t="n">
        <v>599055.8</v>
      </c>
      <c r="C87" s="262" t="n">
        <v>623223</v>
      </c>
      <c r="D87" s="262" t="n">
        <v>679715.6</v>
      </c>
      <c r="E87" s="262" t="n">
        <v>728113.9</v>
      </c>
      <c r="F87" s="262" t="n">
        <v>753696</v>
      </c>
      <c r="G87" s="262" t="n">
        <v>845771.6</v>
      </c>
      <c r="H87" s="262" t="n">
        <v>995281.3</v>
      </c>
      <c r="I87" s="263" t="n">
        <v>1132678.9</v>
      </c>
      <c r="J87" s="374" t="n"/>
      <c r="M87" s="369" t="n"/>
      <c r="P87" s="374" t="n"/>
      <c r="Q87" s="374" t="n"/>
      <c r="R87" s="369" t="n"/>
      <c r="S87" s="369" t="n"/>
      <c r="T87" s="359" t="n"/>
      <c r="U87" s="359" t="n"/>
    </row>
    <row r="88" ht="15" customHeight="1" s="226">
      <c r="A88" s="278" t="inlineStr">
        <is>
          <t xml:space="preserve"> Новосибирская область</t>
        </is>
      </c>
      <c r="B88" s="336" t="n">
        <v>786799.8</v>
      </c>
      <c r="C88" s="262" t="n">
        <v>834050.3</v>
      </c>
      <c r="D88" s="262" t="n">
        <v>914979.6</v>
      </c>
      <c r="E88" s="262" t="n">
        <v>921009.3</v>
      </c>
      <c r="F88" s="262" t="n">
        <v>956911.5</v>
      </c>
      <c r="G88" s="262" t="n">
        <v>1134171.4</v>
      </c>
      <c r="H88" s="262" t="n">
        <v>1334763</v>
      </c>
      <c r="I88" s="263" t="n">
        <v>1603604.7</v>
      </c>
      <c r="J88" s="374" t="n"/>
      <c r="M88" s="369" t="n"/>
      <c r="P88" s="374" t="n"/>
      <c r="Q88" s="374" t="n"/>
      <c r="R88" s="369" t="n"/>
      <c r="S88" s="369" t="n"/>
      <c r="T88" s="359" t="n"/>
      <c r="U88" s="359" t="n"/>
    </row>
    <row r="89" ht="15" customHeight="1" s="226">
      <c r="A89" s="278" t="inlineStr">
        <is>
          <t xml:space="preserve"> Омская область</t>
        </is>
      </c>
      <c r="B89" s="336" t="n">
        <v>503692.8</v>
      </c>
      <c r="C89" s="262" t="n">
        <v>535407.2</v>
      </c>
      <c r="D89" s="262" t="n">
        <v>564056.3</v>
      </c>
      <c r="E89" s="262" t="n">
        <v>613673.4</v>
      </c>
      <c r="F89" s="262" t="n">
        <v>629119.6</v>
      </c>
      <c r="G89" s="262" t="n">
        <v>726036.5</v>
      </c>
      <c r="H89" s="262" t="n">
        <v>811510.5</v>
      </c>
      <c r="I89" s="263" t="n">
        <v>916333.8</v>
      </c>
      <c r="J89" s="374" t="n"/>
      <c r="M89" s="369" t="n"/>
      <c r="P89" s="374" t="n"/>
      <c r="Q89" s="374" t="n"/>
      <c r="R89" s="369" t="n"/>
      <c r="S89" s="369" t="n"/>
      <c r="T89" s="359" t="n"/>
      <c r="U89" s="359" t="n"/>
    </row>
    <row r="90" ht="15" customHeight="1" s="226">
      <c r="A90" s="278" t="inlineStr">
        <is>
          <t xml:space="preserve"> Томская область</t>
        </is>
      </c>
      <c r="B90" s="337" t="n">
        <v>275111.4</v>
      </c>
      <c r="C90" s="270" t="n">
        <v>288981.8</v>
      </c>
      <c r="D90" s="270" t="n">
        <v>312518.3</v>
      </c>
      <c r="E90" s="270" t="n">
        <v>333414.3</v>
      </c>
      <c r="F90" s="270" t="n">
        <v>344052.8</v>
      </c>
      <c r="G90" s="270" t="n">
        <v>400369.7</v>
      </c>
      <c r="H90" s="270" t="n">
        <v>457792.2</v>
      </c>
      <c r="I90" s="271" t="n">
        <v>514423.2</v>
      </c>
      <c r="J90" s="374" t="n"/>
      <c r="M90" s="369" t="n"/>
      <c r="P90" s="374" t="n"/>
      <c r="Q90" s="374" t="n"/>
      <c r="R90" s="369" t="n"/>
      <c r="S90" s="369" t="n"/>
      <c r="T90" s="359" t="n"/>
      <c r="U90" s="359" t="n"/>
    </row>
    <row r="91" ht="15" customHeight="1" s="226">
      <c r="A91" s="279" t="inlineStr">
        <is>
          <t>Дальневосточный федеральный округ</t>
        </is>
      </c>
      <c r="B91" s="376">
        <f>SUM(B92:B102)</f>
        <v/>
      </c>
      <c r="C91" s="275">
        <f>SUM(C92:C102)</f>
        <v/>
      </c>
      <c r="D91" s="275">
        <f>SUM(D92:D102)</f>
        <v/>
      </c>
      <c r="E91" s="275">
        <f>SUM(E92:E102)</f>
        <v/>
      </c>
      <c r="F91" s="275">
        <f>SUM(F92:F102)</f>
        <v/>
      </c>
      <c r="G91" s="275">
        <f>SUM(G92:G102)</f>
        <v/>
      </c>
      <c r="H91" s="254">
        <f>SUM(H92:H102)</f>
        <v/>
      </c>
      <c r="I91" s="254">
        <f>SUM(I92:I102)</f>
        <v/>
      </c>
      <c r="J91" s="371" t="n"/>
      <c r="K91" s="368" t="n"/>
      <c r="L91" s="368" t="n"/>
      <c r="M91" s="369" t="n"/>
      <c r="P91" s="372" t="n"/>
      <c r="Q91" s="372" t="n"/>
      <c r="R91" s="369" t="n"/>
      <c r="S91" s="369" t="n"/>
      <c r="T91" s="359" t="n"/>
      <c r="U91" s="359" t="n"/>
    </row>
    <row r="92" ht="15" customHeight="1" s="226">
      <c r="A92" s="278" t="inlineStr">
        <is>
          <t xml:space="preserve"> Республика Бурятия</t>
        </is>
      </c>
      <c r="B92" s="335" t="n">
        <v>270603.1</v>
      </c>
      <c r="C92" s="273" t="n">
        <v>276796.5</v>
      </c>
      <c r="D92" s="273" t="n">
        <v>293286.2</v>
      </c>
      <c r="E92" s="273" t="n">
        <v>315252.4</v>
      </c>
      <c r="F92" s="273" t="n">
        <v>334934.5</v>
      </c>
      <c r="G92" s="273" t="n">
        <v>379627.9</v>
      </c>
      <c r="H92" s="273" t="n">
        <v>414460.8</v>
      </c>
      <c r="I92" s="274" t="n">
        <v>464613.9</v>
      </c>
      <c r="J92" s="371" t="n"/>
      <c r="K92" s="368" t="n"/>
      <c r="L92" s="368" t="n"/>
      <c r="M92" s="369" t="n"/>
      <c r="P92" s="374" t="n"/>
      <c r="Q92" s="374" t="n"/>
      <c r="R92" s="369" t="n"/>
      <c r="S92" s="369" t="n"/>
      <c r="T92" s="359" t="n"/>
      <c r="U92" s="359" t="n"/>
    </row>
    <row r="93" ht="15" customHeight="1" s="226">
      <c r="A93" s="278" t="inlineStr">
        <is>
          <t xml:space="preserve"> Республика Саха (Якутия)</t>
        </is>
      </c>
      <c r="B93" s="336" t="n">
        <v>402718.3</v>
      </c>
      <c r="C93" s="262" t="n">
        <v>435233.1</v>
      </c>
      <c r="D93" s="262" t="n">
        <v>482055.1</v>
      </c>
      <c r="E93" s="262" t="n">
        <v>532753</v>
      </c>
      <c r="F93" s="262" t="n">
        <v>529745.7</v>
      </c>
      <c r="G93" s="262" t="n">
        <v>598647.2</v>
      </c>
      <c r="H93" s="262" t="n">
        <v>665018.9</v>
      </c>
      <c r="I93" s="263" t="n">
        <v>746985.5</v>
      </c>
      <c r="J93" s="374" t="n"/>
      <c r="M93" s="369" t="n"/>
      <c r="P93" s="374" t="n"/>
      <c r="Q93" s="374" t="n"/>
      <c r="R93" s="369" t="n"/>
      <c r="S93" s="369" t="n"/>
      <c r="T93" s="359" t="n"/>
      <c r="U93" s="359" t="n"/>
    </row>
    <row r="94" ht="15" customHeight="1" s="226">
      <c r="A94" s="278" t="inlineStr">
        <is>
          <t xml:space="preserve"> Забайкальский край</t>
        </is>
      </c>
      <c r="B94" s="336" t="n">
        <v>259004.4</v>
      </c>
      <c r="C94" s="262" t="n">
        <v>272430.5</v>
      </c>
      <c r="D94" s="262" t="n">
        <v>307704</v>
      </c>
      <c r="E94" s="262" t="n">
        <v>302444.2</v>
      </c>
      <c r="F94" s="262" t="n">
        <v>309782.5</v>
      </c>
      <c r="G94" s="262" t="n">
        <v>352394.1</v>
      </c>
      <c r="H94" s="262" t="n">
        <v>395303.8</v>
      </c>
      <c r="I94" s="263" t="n">
        <v>429776.6</v>
      </c>
      <c r="J94" s="374" t="n"/>
      <c r="M94" s="369" t="n"/>
      <c r="P94" s="374" t="n"/>
      <c r="Q94" s="374" t="n"/>
      <c r="R94" s="369" t="n"/>
      <c r="S94" s="369" t="n"/>
      <c r="T94" s="359" t="n"/>
      <c r="U94" s="359" t="n"/>
    </row>
    <row r="95" ht="15" customHeight="1" s="226">
      <c r="A95" s="278" t="inlineStr">
        <is>
          <t xml:space="preserve"> Камчатский край</t>
        </is>
      </c>
      <c r="B95" s="336" t="n">
        <v>129237.8</v>
      </c>
      <c r="C95" s="262" t="n">
        <v>136183.1</v>
      </c>
      <c r="D95" s="262" t="n">
        <v>143272.1</v>
      </c>
      <c r="E95" s="262" t="n">
        <v>155050.4</v>
      </c>
      <c r="F95" s="262" t="n">
        <v>158131.6</v>
      </c>
      <c r="G95" s="262" t="n">
        <v>177398</v>
      </c>
      <c r="H95" s="262" t="n">
        <v>201463.3</v>
      </c>
      <c r="I95" s="263" t="n">
        <v>224607.4</v>
      </c>
      <c r="J95" s="374" t="n"/>
      <c r="M95" s="369" t="n"/>
      <c r="P95" s="374" t="n"/>
      <c r="Q95" s="374" t="n"/>
      <c r="R95" s="369" t="n"/>
      <c r="S95" s="369" t="n"/>
      <c r="T95" s="359" t="n"/>
      <c r="U95" s="359" t="n"/>
    </row>
    <row r="96" ht="15" customHeight="1" s="226">
      <c r="A96" s="278" t="inlineStr">
        <is>
          <t xml:space="preserve"> Приморский край</t>
        </is>
      </c>
      <c r="B96" s="336" t="n">
        <v>627156.4</v>
      </c>
      <c r="C96" s="262" t="n">
        <v>666507.5</v>
      </c>
      <c r="D96" s="262" t="n">
        <v>729652</v>
      </c>
      <c r="E96" s="262" t="n">
        <v>790888.2</v>
      </c>
      <c r="F96" s="262" t="n">
        <v>781942.8</v>
      </c>
      <c r="G96" s="262" t="n">
        <v>932014.3</v>
      </c>
      <c r="H96" s="262" t="n">
        <v>1066757.4</v>
      </c>
      <c r="I96" s="263" t="n">
        <v>1169533.9</v>
      </c>
      <c r="J96" s="374" t="n"/>
      <c r="M96" s="369" t="n"/>
      <c r="P96" s="374" t="n"/>
      <c r="Q96" s="374" t="n"/>
      <c r="R96" s="369" t="n"/>
      <c r="S96" s="369" t="n"/>
      <c r="T96" s="359" t="n"/>
      <c r="U96" s="359" t="n"/>
    </row>
    <row r="97" ht="15" customHeight="1" s="226">
      <c r="A97" s="278" t="inlineStr">
        <is>
          <t xml:space="preserve"> Хабаровский край</t>
        </is>
      </c>
      <c r="B97" s="336" t="n">
        <v>543081.3</v>
      </c>
      <c r="C97" s="262" t="n">
        <v>571629.5</v>
      </c>
      <c r="D97" s="262" t="n">
        <v>614710.3</v>
      </c>
      <c r="E97" s="262" t="n">
        <v>640553</v>
      </c>
      <c r="F97" s="262" t="n">
        <v>652378.7</v>
      </c>
      <c r="G97" s="262" t="n">
        <v>735903.6</v>
      </c>
      <c r="H97" s="262" t="n">
        <v>798663.4</v>
      </c>
      <c r="I97" s="263" t="n">
        <v>864890.1</v>
      </c>
      <c r="J97" s="374" t="n"/>
      <c r="M97" s="369" t="n"/>
      <c r="P97" s="374" t="n"/>
      <c r="Q97" s="374" t="n"/>
      <c r="R97" s="369" t="n"/>
      <c r="S97" s="369" t="n"/>
      <c r="T97" s="359" t="n"/>
      <c r="U97" s="359" t="n"/>
    </row>
    <row r="98" ht="15" customHeight="1" s="226">
      <c r="A98" s="278" t="inlineStr">
        <is>
          <t xml:space="preserve"> Амурская область</t>
        </is>
      </c>
      <c r="B98" s="336" t="n">
        <v>259032.4</v>
      </c>
      <c r="C98" s="262" t="n">
        <v>270106.3</v>
      </c>
      <c r="D98" s="262" t="n">
        <v>291494.1</v>
      </c>
      <c r="E98" s="262" t="n">
        <v>318326.3</v>
      </c>
      <c r="F98" s="262" t="n">
        <v>345390.8</v>
      </c>
      <c r="G98" s="262" t="n">
        <v>383853.4</v>
      </c>
      <c r="H98" s="262" t="n">
        <v>430391.3</v>
      </c>
      <c r="I98" s="263" t="n">
        <v>467853.4</v>
      </c>
      <c r="J98" s="374" t="n"/>
      <c r="M98" s="369" t="n"/>
      <c r="P98" s="374" t="n"/>
      <c r="Q98" s="374" t="n"/>
      <c r="R98" s="369" t="n"/>
      <c r="S98" s="369" t="n"/>
      <c r="T98" s="359" t="n"/>
      <c r="U98" s="359" t="n"/>
    </row>
    <row r="99" ht="15" customHeight="1" s="226">
      <c r="A99" s="278" t="inlineStr">
        <is>
          <t xml:space="preserve"> Магаданская область</t>
        </is>
      </c>
      <c r="B99" s="336" t="n">
        <v>67375.8</v>
      </c>
      <c r="C99" s="262" t="n">
        <v>71224.39999999999</v>
      </c>
      <c r="D99" s="262" t="n">
        <v>77626.7</v>
      </c>
      <c r="E99" s="262" t="n">
        <v>83235.8</v>
      </c>
      <c r="F99" s="262" t="n">
        <v>84918.89999999999</v>
      </c>
      <c r="G99" s="262" t="n">
        <v>93923.5</v>
      </c>
      <c r="H99" s="262" t="n">
        <v>106185.8</v>
      </c>
      <c r="I99" s="263" t="n">
        <v>115551.3</v>
      </c>
      <c r="J99" s="374" t="n"/>
      <c r="M99" s="369" t="n"/>
      <c r="P99" s="374" t="n"/>
      <c r="Q99" s="374" t="n"/>
      <c r="R99" s="369" t="n"/>
      <c r="S99" s="369" t="n"/>
      <c r="T99" s="359" t="n"/>
      <c r="U99" s="359" t="n"/>
    </row>
    <row r="100" ht="15" customFormat="1" customHeight="1" s="360">
      <c r="A100" s="278" t="inlineStr">
        <is>
          <t xml:space="preserve"> Сахалинская область</t>
        </is>
      </c>
      <c r="B100" s="336" t="n">
        <v>248389.1</v>
      </c>
      <c r="C100" s="262" t="n">
        <v>262435.5</v>
      </c>
      <c r="D100" s="262" t="n">
        <v>287361.9</v>
      </c>
      <c r="E100" s="262" t="n">
        <v>307593.2</v>
      </c>
      <c r="F100" s="262" t="n">
        <v>320426.8</v>
      </c>
      <c r="G100" s="262" t="n">
        <v>330285.6</v>
      </c>
      <c r="H100" s="262" t="n">
        <v>361804.6</v>
      </c>
      <c r="I100" s="263" t="n">
        <v>389057.3</v>
      </c>
      <c r="J100" s="374" t="n"/>
      <c r="M100" s="369" t="n"/>
      <c r="N100" s="360" t="n"/>
      <c r="O100" s="360" t="n"/>
      <c r="P100" s="374" t="n"/>
      <c r="Q100" s="374" t="n"/>
      <c r="R100" s="369" t="n"/>
      <c r="S100" s="369" t="n"/>
      <c r="T100" s="360" t="n"/>
      <c r="U100" s="360" t="n"/>
    </row>
    <row r="101" ht="15" customFormat="1" customHeight="1" s="360">
      <c r="A101" s="278" t="inlineStr">
        <is>
          <t xml:space="preserve"> Еврейская автономная область</t>
        </is>
      </c>
      <c r="B101" s="336" t="n">
        <v>41530.4</v>
      </c>
      <c r="C101" s="262" t="n">
        <v>42123.1</v>
      </c>
      <c r="D101" s="262" t="n">
        <v>45786.6</v>
      </c>
      <c r="E101" s="262" t="n">
        <v>47805.4</v>
      </c>
      <c r="F101" s="262" t="n">
        <v>49268.9</v>
      </c>
      <c r="G101" s="262" t="n">
        <v>53198.2</v>
      </c>
      <c r="H101" s="262" t="n">
        <v>61209</v>
      </c>
      <c r="I101" s="263" t="n">
        <v>70294.2</v>
      </c>
      <c r="J101" s="374" t="n"/>
      <c r="M101" s="369" t="n"/>
      <c r="N101" s="360" t="n"/>
      <c r="O101" s="360" t="n"/>
      <c r="P101" s="374" t="n"/>
      <c r="Q101" s="374" t="n"/>
      <c r="R101" s="369" t="n"/>
      <c r="S101" s="369" t="n"/>
      <c r="T101" s="360" t="n"/>
      <c r="U101" s="360" t="n"/>
    </row>
    <row r="102" ht="15" customFormat="1" customHeight="1" s="360">
      <c r="A102" s="278" t="inlineStr">
        <is>
          <t xml:space="preserve"> Чукотский автономный округ</t>
        </is>
      </c>
      <c r="B102" s="344" t="n">
        <v>22206.6</v>
      </c>
      <c r="C102" s="265" t="n">
        <v>26043.1</v>
      </c>
      <c r="D102" s="265" t="n">
        <v>28396.6</v>
      </c>
      <c r="E102" s="265" t="n">
        <v>30922.8</v>
      </c>
      <c r="F102" s="265" t="n">
        <v>33501.3</v>
      </c>
      <c r="G102" s="265" t="n">
        <v>35314.9</v>
      </c>
      <c r="H102" s="265" t="n">
        <v>38553.1</v>
      </c>
      <c r="I102" s="266" t="n">
        <v>41859.6</v>
      </c>
      <c r="J102" s="374" t="n"/>
      <c r="M102" s="369" t="n"/>
      <c r="N102" s="360" t="n"/>
      <c r="O102" s="360" t="n"/>
      <c r="P102" s="374" t="n"/>
      <c r="Q102" s="374" t="n"/>
      <c r="R102" s="369" t="n"/>
      <c r="S102" s="369" t="n"/>
      <c r="T102" s="360" t="n"/>
      <c r="U102" s="360" t="n"/>
    </row>
    <row r="103" ht="12.75" customFormat="1" customHeight="1" s="360">
      <c r="A103" s="365" t="n"/>
      <c r="B103" s="365" t="n"/>
      <c r="C103" s="359" t="n"/>
      <c r="D103" s="359" t="n"/>
      <c r="E103" s="365" t="n"/>
      <c r="F103" s="365" t="n"/>
      <c r="G103" s="365" t="n"/>
      <c r="H103" s="365" t="n"/>
      <c r="I103" s="359" t="n"/>
      <c r="J103" s="359" t="n"/>
      <c r="M103" s="369" t="n"/>
      <c r="N103" s="360" t="n"/>
      <c r="O103" s="360" t="n"/>
      <c r="P103" s="359" t="n"/>
      <c r="Q103" s="359" t="n"/>
      <c r="R103" s="360" t="n"/>
      <c r="S103" s="360" t="n"/>
      <c r="T103" s="360" t="n"/>
      <c r="U103" s="360" t="n"/>
    </row>
    <row r="104" ht="14.25" customFormat="1" customHeight="1" s="360">
      <c r="A104" s="378" t="n"/>
      <c r="B104" s="359" t="n"/>
      <c r="C104" s="359" t="n"/>
      <c r="D104" s="359" t="n"/>
      <c r="E104" s="359" t="n"/>
      <c r="F104" s="359" t="n"/>
      <c r="G104" s="359" t="n"/>
      <c r="H104" s="359" t="n"/>
      <c r="I104" s="359" t="n"/>
      <c r="J104" s="359" t="n"/>
      <c r="M104" s="369" t="n"/>
      <c r="N104" s="360" t="n"/>
      <c r="O104" s="360" t="n"/>
      <c r="P104" s="359" t="n"/>
      <c r="Q104" s="359" t="n"/>
    </row>
  </sheetData>
  <mergeCells count="2">
    <mergeCell ref="A4:D4"/>
    <mergeCell ref="A1:A2"/>
  </mergeCells>
  <conditionalFormatting sqref="A95 A104">
    <cfRule type="cellIs" rank="0" priority="2" equalAverage="0" operator="lessThan" aboveAverage="0" dxfId="0" text="" percent="0" bottom="0">
      <formula>0</formula>
    </cfRule>
  </conditionalFormatting>
  <conditionalFormatting sqref="K3:K29 K31:K74 K75 K76:K65523 L7:L8 L27 L49 L57 L72 L80 L91">
    <cfRule type="cellIs" rank="0" priority="3" equalAverage="0" operator="notEqual" aboveAverage="0" dxfId="1" text="" percent="0" bottom="0">
      <formula>0</formula>
    </cfRule>
  </conditionalFormatting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X10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4" activeCellId="0" sqref="A4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9"/>
    <col width="9.140000000000001" customWidth="1" style="359" min="10" max="256"/>
    <col width="41.15" customWidth="1" style="359" min="257" max="257"/>
    <col width="9.289999999999999" customWidth="1" style="359" min="258" max="262"/>
    <col width="12.15" customWidth="1" style="359" min="263" max="264"/>
    <col width="10.85" customWidth="1" style="359" min="265" max="265"/>
    <col width="9.140000000000001" customWidth="1" style="359" min="266" max="512"/>
    <col width="41.15" customWidth="1" style="359" min="513" max="513"/>
    <col width="9.289999999999999" customWidth="1" style="359" min="514" max="518"/>
    <col width="12.15" customWidth="1" style="359" min="519" max="520"/>
    <col width="10.85" customWidth="1" style="359" min="521" max="521"/>
    <col width="9.140000000000001" customWidth="1" style="359" min="522" max="768"/>
    <col width="41.15" customWidth="1" style="359" min="769" max="769"/>
    <col width="9.289999999999999" customWidth="1" style="359" min="770" max="774"/>
    <col width="12.15" customWidth="1" style="359" min="775" max="776"/>
    <col width="10.85" customWidth="1" style="359" min="777" max="777"/>
    <col width="9.140000000000001" customWidth="1" style="359" min="778" max="1024"/>
    <col width="41.15" customWidth="1" style="359" min="1025" max="1025"/>
    <col width="9.289999999999999" customWidth="1" style="359" min="1026" max="1030"/>
    <col width="12.15" customWidth="1" style="359" min="1031" max="1032"/>
    <col width="10.85" customWidth="1" style="359" min="1033" max="1033"/>
    <col width="9.140000000000001" customWidth="1" style="359" min="1034" max="1280"/>
    <col width="41.15" customWidth="1" style="359" min="1281" max="1281"/>
    <col width="9.289999999999999" customWidth="1" style="359" min="1282" max="1286"/>
    <col width="12.15" customWidth="1" style="359" min="1287" max="1288"/>
    <col width="10.85" customWidth="1" style="359" min="1289" max="1289"/>
    <col width="9.140000000000001" customWidth="1" style="359" min="1290" max="1536"/>
    <col width="41.15" customWidth="1" style="359" min="1537" max="1537"/>
    <col width="9.289999999999999" customWidth="1" style="359" min="1538" max="1542"/>
    <col width="12.15" customWidth="1" style="359" min="1543" max="1544"/>
    <col width="10.85" customWidth="1" style="359" min="1545" max="1545"/>
    <col width="9.140000000000001" customWidth="1" style="359" min="1546" max="1792"/>
    <col width="41.15" customWidth="1" style="359" min="1793" max="1793"/>
    <col width="9.289999999999999" customWidth="1" style="359" min="1794" max="1798"/>
    <col width="12.15" customWidth="1" style="359" min="1799" max="1800"/>
    <col width="10.85" customWidth="1" style="359" min="1801" max="1801"/>
    <col width="9.140000000000001" customWidth="1" style="359" min="1802" max="2048"/>
    <col width="41.15" customWidth="1" style="359" min="2049" max="2049"/>
    <col width="9.289999999999999" customWidth="1" style="359" min="2050" max="2054"/>
    <col width="12.15" customWidth="1" style="359" min="2055" max="2056"/>
    <col width="10.85" customWidth="1" style="359" min="2057" max="2057"/>
    <col width="9.140000000000001" customWidth="1" style="359" min="2058" max="2304"/>
    <col width="41.15" customWidth="1" style="359" min="2305" max="2305"/>
    <col width="9.289999999999999" customWidth="1" style="359" min="2306" max="2310"/>
    <col width="12.15" customWidth="1" style="359" min="2311" max="2312"/>
    <col width="10.85" customWidth="1" style="359" min="2313" max="2313"/>
    <col width="9.140000000000001" customWidth="1" style="359" min="2314" max="2560"/>
    <col width="41.15" customWidth="1" style="359" min="2561" max="2561"/>
    <col width="9.289999999999999" customWidth="1" style="359" min="2562" max="2566"/>
    <col width="12.15" customWidth="1" style="359" min="2567" max="2568"/>
    <col width="10.85" customWidth="1" style="359" min="2569" max="2569"/>
    <col width="9.140000000000001" customWidth="1" style="359" min="2570" max="2816"/>
    <col width="41.15" customWidth="1" style="359" min="2817" max="2817"/>
    <col width="9.289999999999999" customWidth="1" style="359" min="2818" max="2822"/>
    <col width="12.15" customWidth="1" style="359" min="2823" max="2824"/>
    <col width="10.85" customWidth="1" style="359" min="2825" max="2825"/>
    <col width="9.140000000000001" customWidth="1" style="359" min="2826" max="3072"/>
    <col width="41.15" customWidth="1" style="359" min="3073" max="3073"/>
    <col width="9.289999999999999" customWidth="1" style="359" min="3074" max="3078"/>
    <col width="12.15" customWidth="1" style="359" min="3079" max="3080"/>
    <col width="10.85" customWidth="1" style="359" min="3081" max="3081"/>
    <col width="9.140000000000001" customWidth="1" style="359" min="3082" max="3328"/>
    <col width="41.15" customWidth="1" style="359" min="3329" max="3329"/>
    <col width="9.289999999999999" customWidth="1" style="359" min="3330" max="3334"/>
    <col width="12.15" customWidth="1" style="359" min="3335" max="3336"/>
    <col width="10.85" customWidth="1" style="359" min="3337" max="3337"/>
    <col width="9.140000000000001" customWidth="1" style="359" min="3338" max="3584"/>
    <col width="41.15" customWidth="1" style="359" min="3585" max="3585"/>
    <col width="9.289999999999999" customWidth="1" style="359" min="3586" max="3590"/>
    <col width="12.15" customWidth="1" style="359" min="3591" max="3592"/>
    <col width="10.85" customWidth="1" style="359" min="3593" max="3593"/>
    <col width="9.140000000000001" customWidth="1" style="359" min="3594" max="3840"/>
    <col width="41.15" customWidth="1" style="359" min="3841" max="3841"/>
    <col width="9.289999999999999" customWidth="1" style="359" min="3842" max="3846"/>
    <col width="12.15" customWidth="1" style="359" min="3847" max="3848"/>
    <col width="10.85" customWidth="1" style="359" min="3849" max="3849"/>
    <col width="9.140000000000001" customWidth="1" style="359" min="3850" max="4096"/>
    <col width="41.15" customWidth="1" style="359" min="4097" max="4097"/>
    <col width="9.289999999999999" customWidth="1" style="359" min="4098" max="4102"/>
    <col width="12.15" customWidth="1" style="359" min="4103" max="4104"/>
    <col width="10.85" customWidth="1" style="359" min="4105" max="4105"/>
    <col width="9.140000000000001" customWidth="1" style="359" min="4106" max="4352"/>
    <col width="41.15" customWidth="1" style="359" min="4353" max="4353"/>
    <col width="9.289999999999999" customWidth="1" style="359" min="4354" max="4358"/>
    <col width="12.15" customWidth="1" style="359" min="4359" max="4360"/>
    <col width="10.85" customWidth="1" style="359" min="4361" max="4361"/>
    <col width="9.140000000000001" customWidth="1" style="359" min="4362" max="4608"/>
    <col width="41.15" customWidth="1" style="359" min="4609" max="4609"/>
    <col width="9.289999999999999" customWidth="1" style="359" min="4610" max="4614"/>
    <col width="12.15" customWidth="1" style="359" min="4615" max="4616"/>
    <col width="10.85" customWidth="1" style="359" min="4617" max="4617"/>
    <col width="9.140000000000001" customWidth="1" style="359" min="4618" max="4864"/>
    <col width="41.15" customWidth="1" style="359" min="4865" max="4865"/>
    <col width="9.289999999999999" customWidth="1" style="359" min="4866" max="4870"/>
    <col width="12.15" customWidth="1" style="359" min="4871" max="4872"/>
    <col width="10.85" customWidth="1" style="359" min="4873" max="4873"/>
    <col width="9.140000000000001" customWidth="1" style="359" min="4874" max="5120"/>
    <col width="41.15" customWidth="1" style="359" min="5121" max="5121"/>
    <col width="9.289999999999999" customWidth="1" style="359" min="5122" max="5126"/>
    <col width="12.15" customWidth="1" style="359" min="5127" max="5128"/>
    <col width="10.85" customWidth="1" style="359" min="5129" max="5129"/>
    <col width="9.140000000000001" customWidth="1" style="359" min="5130" max="5376"/>
    <col width="41.15" customWidth="1" style="359" min="5377" max="5377"/>
    <col width="9.289999999999999" customWidth="1" style="359" min="5378" max="5382"/>
    <col width="12.15" customWidth="1" style="359" min="5383" max="5384"/>
    <col width="10.85" customWidth="1" style="359" min="5385" max="5385"/>
    <col width="9.140000000000001" customWidth="1" style="359" min="5386" max="5632"/>
    <col width="41.15" customWidth="1" style="359" min="5633" max="5633"/>
    <col width="9.289999999999999" customWidth="1" style="359" min="5634" max="5638"/>
    <col width="12.15" customWidth="1" style="359" min="5639" max="5640"/>
    <col width="10.85" customWidth="1" style="359" min="5641" max="5641"/>
    <col width="9.140000000000001" customWidth="1" style="359" min="5642" max="5888"/>
    <col width="41.15" customWidth="1" style="359" min="5889" max="5889"/>
    <col width="9.289999999999999" customWidth="1" style="359" min="5890" max="5894"/>
    <col width="12.15" customWidth="1" style="359" min="5895" max="5896"/>
    <col width="10.85" customWidth="1" style="359" min="5897" max="5897"/>
    <col width="9.140000000000001" customWidth="1" style="359" min="5898" max="6144"/>
    <col width="41.15" customWidth="1" style="359" min="6145" max="6145"/>
    <col width="9.289999999999999" customWidth="1" style="359" min="6146" max="6150"/>
    <col width="12.15" customWidth="1" style="359" min="6151" max="6152"/>
    <col width="10.85" customWidth="1" style="359" min="6153" max="6153"/>
    <col width="9.140000000000001" customWidth="1" style="359" min="6154" max="6400"/>
    <col width="41.15" customWidth="1" style="359" min="6401" max="6401"/>
    <col width="9.289999999999999" customWidth="1" style="359" min="6402" max="6406"/>
    <col width="12.15" customWidth="1" style="359" min="6407" max="6408"/>
    <col width="10.85" customWidth="1" style="359" min="6409" max="6409"/>
    <col width="9.140000000000001" customWidth="1" style="359" min="6410" max="6656"/>
    <col width="41.15" customWidth="1" style="359" min="6657" max="6657"/>
    <col width="9.289999999999999" customWidth="1" style="359" min="6658" max="6662"/>
    <col width="12.15" customWidth="1" style="359" min="6663" max="6664"/>
    <col width="10.85" customWidth="1" style="359" min="6665" max="6665"/>
    <col width="9.140000000000001" customWidth="1" style="359" min="6666" max="6912"/>
    <col width="41.15" customWidth="1" style="359" min="6913" max="6913"/>
    <col width="9.289999999999999" customWidth="1" style="359" min="6914" max="6918"/>
    <col width="12.15" customWidth="1" style="359" min="6919" max="6920"/>
    <col width="10.85" customWidth="1" style="359" min="6921" max="6921"/>
    <col width="9.140000000000001" customWidth="1" style="359" min="6922" max="7168"/>
    <col width="41.15" customWidth="1" style="359" min="7169" max="7169"/>
    <col width="9.289999999999999" customWidth="1" style="359" min="7170" max="7174"/>
    <col width="12.15" customWidth="1" style="359" min="7175" max="7176"/>
    <col width="10.85" customWidth="1" style="359" min="7177" max="7177"/>
    <col width="9.140000000000001" customWidth="1" style="359" min="7178" max="7424"/>
    <col width="41.15" customWidth="1" style="359" min="7425" max="7425"/>
    <col width="9.289999999999999" customWidth="1" style="359" min="7426" max="7430"/>
    <col width="12.15" customWidth="1" style="359" min="7431" max="7432"/>
    <col width="10.85" customWidth="1" style="359" min="7433" max="7433"/>
    <col width="9.140000000000001" customWidth="1" style="359" min="7434" max="7680"/>
    <col width="41.15" customWidth="1" style="359" min="7681" max="7681"/>
    <col width="9.289999999999999" customWidth="1" style="359" min="7682" max="7686"/>
    <col width="12.15" customWidth="1" style="359" min="7687" max="7688"/>
    <col width="10.85" customWidth="1" style="359" min="7689" max="7689"/>
    <col width="9.140000000000001" customWidth="1" style="359" min="7690" max="7936"/>
    <col width="41.15" customWidth="1" style="359" min="7937" max="7937"/>
    <col width="9.289999999999999" customWidth="1" style="359" min="7938" max="7942"/>
    <col width="12.15" customWidth="1" style="359" min="7943" max="7944"/>
    <col width="10.85" customWidth="1" style="359" min="7945" max="7945"/>
    <col width="9.140000000000001" customWidth="1" style="359" min="7946" max="8192"/>
    <col width="41.15" customWidth="1" style="359" min="8193" max="8193"/>
    <col width="9.289999999999999" customWidth="1" style="359" min="8194" max="8198"/>
    <col width="12.15" customWidth="1" style="359" min="8199" max="8200"/>
    <col width="10.85" customWidth="1" style="359" min="8201" max="8201"/>
    <col width="9.140000000000001" customWidth="1" style="359" min="8202" max="8448"/>
    <col width="41.15" customWidth="1" style="359" min="8449" max="8449"/>
    <col width="9.289999999999999" customWidth="1" style="359" min="8450" max="8454"/>
    <col width="12.15" customWidth="1" style="359" min="8455" max="8456"/>
    <col width="10.85" customWidth="1" style="359" min="8457" max="8457"/>
    <col width="9.140000000000001" customWidth="1" style="359" min="8458" max="8704"/>
    <col width="41.15" customWidth="1" style="359" min="8705" max="8705"/>
    <col width="9.289999999999999" customWidth="1" style="359" min="8706" max="8710"/>
    <col width="12.15" customWidth="1" style="359" min="8711" max="8712"/>
    <col width="10.85" customWidth="1" style="359" min="8713" max="8713"/>
    <col width="9.140000000000001" customWidth="1" style="359" min="8714" max="8960"/>
    <col width="41.15" customWidth="1" style="359" min="8961" max="8961"/>
    <col width="9.289999999999999" customWidth="1" style="359" min="8962" max="8966"/>
    <col width="12.15" customWidth="1" style="359" min="8967" max="8968"/>
    <col width="10.85" customWidth="1" style="359" min="8969" max="8969"/>
    <col width="9.140000000000001" customWidth="1" style="359" min="8970" max="9216"/>
    <col width="41.15" customWidth="1" style="359" min="9217" max="9217"/>
    <col width="9.289999999999999" customWidth="1" style="359" min="9218" max="9222"/>
    <col width="12.15" customWidth="1" style="359" min="9223" max="9224"/>
    <col width="10.85" customWidth="1" style="359" min="9225" max="9225"/>
    <col width="9.140000000000001" customWidth="1" style="359" min="9226" max="9472"/>
    <col width="41.15" customWidth="1" style="359" min="9473" max="9473"/>
    <col width="9.289999999999999" customWidth="1" style="359" min="9474" max="9478"/>
    <col width="12.15" customWidth="1" style="359" min="9479" max="9480"/>
    <col width="10.85" customWidth="1" style="359" min="9481" max="9481"/>
    <col width="9.140000000000001" customWidth="1" style="359" min="9482" max="9728"/>
    <col width="41.15" customWidth="1" style="359" min="9729" max="9729"/>
    <col width="9.289999999999999" customWidth="1" style="359" min="9730" max="9734"/>
    <col width="12.15" customWidth="1" style="359" min="9735" max="9736"/>
    <col width="10.85" customWidth="1" style="359" min="9737" max="9737"/>
    <col width="9.140000000000001" customWidth="1" style="359" min="9738" max="9984"/>
    <col width="41.15" customWidth="1" style="359" min="9985" max="9985"/>
    <col width="9.289999999999999" customWidth="1" style="359" min="9986" max="9990"/>
    <col width="12.15" customWidth="1" style="359" min="9991" max="9992"/>
    <col width="10.85" customWidth="1" style="359" min="9993" max="9993"/>
    <col width="9.140000000000001" customWidth="1" style="359" min="9994" max="10240"/>
    <col width="41.15" customWidth="1" style="359" min="10241" max="10241"/>
    <col width="9.289999999999999" customWidth="1" style="359" min="10242" max="10246"/>
    <col width="12.15" customWidth="1" style="359" min="10247" max="10248"/>
    <col width="10.85" customWidth="1" style="359" min="10249" max="10249"/>
    <col width="9.140000000000001" customWidth="1" style="359" min="10250" max="10496"/>
    <col width="41.15" customWidth="1" style="359" min="10497" max="10497"/>
    <col width="9.289999999999999" customWidth="1" style="359" min="10498" max="10502"/>
    <col width="12.15" customWidth="1" style="359" min="10503" max="10504"/>
    <col width="10.85" customWidth="1" style="359" min="10505" max="10505"/>
    <col width="9.140000000000001" customWidth="1" style="359" min="10506" max="10752"/>
    <col width="41.15" customWidth="1" style="359" min="10753" max="10753"/>
    <col width="9.289999999999999" customWidth="1" style="359" min="10754" max="10758"/>
    <col width="12.15" customWidth="1" style="359" min="10759" max="10760"/>
    <col width="10.85" customWidth="1" style="359" min="10761" max="10761"/>
    <col width="9.140000000000001" customWidth="1" style="359" min="10762" max="11008"/>
    <col width="41.15" customWidth="1" style="359" min="11009" max="11009"/>
    <col width="9.289999999999999" customWidth="1" style="359" min="11010" max="11014"/>
    <col width="12.15" customWidth="1" style="359" min="11015" max="11016"/>
    <col width="10.85" customWidth="1" style="359" min="11017" max="11017"/>
    <col width="9.140000000000001" customWidth="1" style="359" min="11018" max="11264"/>
    <col width="41.15" customWidth="1" style="359" min="11265" max="11265"/>
    <col width="9.289999999999999" customWidth="1" style="359" min="11266" max="11270"/>
    <col width="12.15" customWidth="1" style="359" min="11271" max="11272"/>
    <col width="10.85" customWidth="1" style="359" min="11273" max="11273"/>
    <col width="9.140000000000001" customWidth="1" style="359" min="11274" max="11520"/>
    <col width="41.15" customWidth="1" style="359" min="11521" max="11521"/>
    <col width="9.289999999999999" customWidth="1" style="359" min="11522" max="11526"/>
    <col width="12.15" customWidth="1" style="359" min="11527" max="11528"/>
    <col width="10.85" customWidth="1" style="359" min="11529" max="11529"/>
    <col width="9.140000000000001" customWidth="1" style="359" min="11530" max="11776"/>
    <col width="41.15" customWidth="1" style="359" min="11777" max="11777"/>
    <col width="9.289999999999999" customWidth="1" style="359" min="11778" max="11782"/>
    <col width="12.15" customWidth="1" style="359" min="11783" max="11784"/>
    <col width="10.85" customWidth="1" style="359" min="11785" max="11785"/>
    <col width="9.140000000000001" customWidth="1" style="359" min="11786" max="12032"/>
    <col width="41.15" customWidth="1" style="359" min="12033" max="12033"/>
    <col width="9.289999999999999" customWidth="1" style="359" min="12034" max="12038"/>
    <col width="12.15" customWidth="1" style="359" min="12039" max="12040"/>
    <col width="10.85" customWidth="1" style="359" min="12041" max="12041"/>
    <col width="9.140000000000001" customWidth="1" style="359" min="12042" max="12288"/>
    <col width="41.15" customWidth="1" style="359" min="12289" max="12289"/>
    <col width="9.289999999999999" customWidth="1" style="359" min="12290" max="12294"/>
    <col width="12.15" customWidth="1" style="359" min="12295" max="12296"/>
    <col width="10.85" customWidth="1" style="359" min="12297" max="12297"/>
    <col width="9.140000000000001" customWidth="1" style="359" min="12298" max="12544"/>
    <col width="41.15" customWidth="1" style="359" min="12545" max="12545"/>
    <col width="9.289999999999999" customWidth="1" style="359" min="12546" max="12550"/>
    <col width="12.15" customWidth="1" style="359" min="12551" max="12552"/>
    <col width="10.85" customWidth="1" style="359" min="12553" max="12553"/>
    <col width="9.140000000000001" customWidth="1" style="359" min="12554" max="12800"/>
    <col width="41.15" customWidth="1" style="359" min="12801" max="12801"/>
    <col width="9.289999999999999" customWidth="1" style="359" min="12802" max="12806"/>
    <col width="12.15" customWidth="1" style="359" min="12807" max="12808"/>
    <col width="10.85" customWidth="1" style="359" min="12809" max="12809"/>
    <col width="9.140000000000001" customWidth="1" style="359" min="12810" max="13056"/>
    <col width="41.15" customWidth="1" style="359" min="13057" max="13057"/>
    <col width="9.289999999999999" customWidth="1" style="359" min="13058" max="13062"/>
    <col width="12.15" customWidth="1" style="359" min="13063" max="13064"/>
    <col width="10.85" customWidth="1" style="359" min="13065" max="13065"/>
    <col width="9.140000000000001" customWidth="1" style="359" min="13066" max="13312"/>
    <col width="41.15" customWidth="1" style="359" min="13313" max="13313"/>
    <col width="9.289999999999999" customWidth="1" style="359" min="13314" max="13318"/>
    <col width="12.15" customWidth="1" style="359" min="13319" max="13320"/>
    <col width="10.85" customWidth="1" style="359" min="13321" max="13321"/>
    <col width="9.140000000000001" customWidth="1" style="359" min="13322" max="13568"/>
    <col width="41.15" customWidth="1" style="359" min="13569" max="13569"/>
    <col width="9.289999999999999" customWidth="1" style="359" min="13570" max="13574"/>
    <col width="12.15" customWidth="1" style="359" min="13575" max="13576"/>
    <col width="10.85" customWidth="1" style="359" min="13577" max="13577"/>
    <col width="9.140000000000001" customWidth="1" style="359" min="13578" max="13824"/>
    <col width="41.15" customWidth="1" style="359" min="13825" max="13825"/>
    <col width="9.289999999999999" customWidth="1" style="359" min="13826" max="13830"/>
    <col width="12.15" customWidth="1" style="359" min="13831" max="13832"/>
    <col width="10.85" customWidth="1" style="359" min="13833" max="13833"/>
    <col width="9.140000000000001" customWidth="1" style="359" min="13834" max="14080"/>
    <col width="41.15" customWidth="1" style="359" min="14081" max="14081"/>
    <col width="9.289999999999999" customWidth="1" style="359" min="14082" max="14086"/>
    <col width="12.15" customWidth="1" style="359" min="14087" max="14088"/>
    <col width="10.85" customWidth="1" style="359" min="14089" max="14089"/>
    <col width="9.140000000000001" customWidth="1" style="359" min="14090" max="14336"/>
    <col width="41.15" customWidth="1" style="359" min="14337" max="14337"/>
    <col width="9.289999999999999" customWidth="1" style="359" min="14338" max="14342"/>
    <col width="12.15" customWidth="1" style="359" min="14343" max="14344"/>
    <col width="10.85" customWidth="1" style="359" min="14345" max="14345"/>
    <col width="9.140000000000001" customWidth="1" style="359" min="14346" max="14592"/>
    <col width="41.15" customWidth="1" style="359" min="14593" max="14593"/>
    <col width="9.289999999999999" customWidth="1" style="359" min="14594" max="14598"/>
    <col width="12.15" customWidth="1" style="359" min="14599" max="14600"/>
    <col width="10.85" customWidth="1" style="359" min="14601" max="14601"/>
    <col width="9.140000000000001" customWidth="1" style="359" min="14602" max="14848"/>
    <col width="41.15" customWidth="1" style="359" min="14849" max="14849"/>
    <col width="9.289999999999999" customWidth="1" style="359" min="14850" max="14854"/>
    <col width="12.15" customWidth="1" style="359" min="14855" max="14856"/>
    <col width="10.85" customWidth="1" style="359" min="14857" max="14857"/>
    <col width="9.140000000000001" customWidth="1" style="359" min="14858" max="15104"/>
    <col width="41.15" customWidth="1" style="359" min="15105" max="15105"/>
    <col width="9.289999999999999" customWidth="1" style="359" min="15106" max="15110"/>
    <col width="12.15" customWidth="1" style="359" min="15111" max="15112"/>
    <col width="10.85" customWidth="1" style="359" min="15113" max="15113"/>
    <col width="9.140000000000001" customWidth="1" style="359" min="15114" max="15360"/>
    <col width="41.15" customWidth="1" style="359" min="15361" max="15361"/>
    <col width="9.289999999999999" customWidth="1" style="359" min="15362" max="15366"/>
    <col width="12.15" customWidth="1" style="359" min="15367" max="15368"/>
    <col width="10.85" customWidth="1" style="359" min="15369" max="15369"/>
    <col width="9.140000000000001" customWidth="1" style="359" min="15370" max="15616"/>
    <col width="41.15" customWidth="1" style="359" min="15617" max="15617"/>
    <col width="9.289999999999999" customWidth="1" style="359" min="15618" max="15622"/>
    <col width="12.15" customWidth="1" style="359" min="15623" max="15624"/>
    <col width="10.85" customWidth="1" style="359" min="15625" max="15625"/>
    <col width="9.140000000000001" customWidth="1" style="359" min="15626" max="15872"/>
    <col width="41.15" customWidth="1" style="359" min="15873" max="15873"/>
    <col width="9.289999999999999" customWidth="1" style="359" min="15874" max="15878"/>
    <col width="12.15" customWidth="1" style="359" min="15879" max="15880"/>
    <col width="10.85" customWidth="1" style="359" min="15881" max="15881"/>
    <col width="9.140000000000001" customWidth="1" style="359" min="15882" max="16128"/>
    <col width="41.15" customWidth="1" style="359" min="16129" max="16129"/>
    <col width="9.289999999999999" customWidth="1" style="359" min="16130" max="16134"/>
    <col width="12.15" customWidth="1" style="359" min="16135" max="16136"/>
    <col width="10.85" customWidth="1" style="359" min="16137" max="16137"/>
    <col width="9.140000000000001" customWidth="1" style="359" min="16138" max="16384"/>
  </cols>
  <sheetData>
    <row r="1" ht="12.75" customHeight="1" s="226">
      <c r="A1" s="244" t="inlineStr">
        <is>
          <t>К содержанию</t>
        </is>
      </c>
    </row>
    <row r="2" ht="20.25" customHeight="1" s="226"/>
    <row r="3" ht="12.75" customHeight="1" s="226">
      <c r="A3" s="363" t="n"/>
      <c r="B3" s="363" t="n"/>
      <c r="C3" s="363" t="n"/>
      <c r="D3" s="363" t="n"/>
      <c r="E3" s="363" t="n"/>
      <c r="F3" s="363" t="n"/>
      <c r="G3" s="365" t="n"/>
      <c r="H3" s="365" t="n"/>
    </row>
    <row r="4" ht="48" customHeight="1" s="226">
      <c r="A4" s="292" t="inlineStr">
        <is>
          <t>Фактическое конечное потребление домашних хозяйств на душу населения по субъектам Российской Федерации в 2016-2023 гг.
(в текущих рыночных ценах; рублей)</t>
        </is>
      </c>
      <c r="E4" s="379" t="n"/>
      <c r="F4" s="379" t="n"/>
      <c r="G4" s="365" t="n"/>
      <c r="H4" s="365" t="n"/>
    </row>
    <row r="5" ht="15.75" customHeight="1" s="226">
      <c r="A5" s="380" t="n"/>
      <c r="B5" s="380" t="n"/>
      <c r="C5" s="380" t="n"/>
      <c r="D5" s="380" t="n"/>
      <c r="E5" s="379" t="n"/>
      <c r="F5" s="379" t="n"/>
      <c r="G5" s="365" t="n"/>
      <c r="H5" s="365" t="n"/>
    </row>
    <row r="6" ht="15" customHeight="1" s="226">
      <c r="A6" s="251" t="n"/>
      <c r="B6" s="251" t="n">
        <v>2016</v>
      </c>
      <c r="C6" s="251" t="n">
        <v>2017</v>
      </c>
      <c r="D6" s="251" t="n">
        <v>2018</v>
      </c>
      <c r="E6" s="251" t="n">
        <v>2019</v>
      </c>
      <c r="F6" s="251" t="n">
        <v>2020</v>
      </c>
      <c r="G6" s="251" t="n">
        <v>2021</v>
      </c>
      <c r="H6" s="251" t="n">
        <v>2022</v>
      </c>
      <c r="I6" s="251" t="n">
        <v>2023</v>
      </c>
    </row>
    <row r="7" ht="15" customHeight="1" s="226">
      <c r="A7" s="276" t="inlineStr">
        <is>
          <t>Российская Федерация</t>
        </is>
      </c>
      <c r="B7" s="252" t="n">
        <v>335157.9</v>
      </c>
      <c r="C7" s="252" t="n">
        <v>352032.4</v>
      </c>
      <c r="D7" s="252" t="n">
        <v>378631.5</v>
      </c>
      <c r="E7" s="252" t="n">
        <v>396539.7</v>
      </c>
      <c r="F7" s="252" t="n">
        <v>409455.2</v>
      </c>
      <c r="G7" s="252" t="n">
        <v>482117.7</v>
      </c>
      <c r="H7" s="252" t="n">
        <v>537330.3</v>
      </c>
      <c r="I7" s="252" t="n">
        <v>605276.8</v>
      </c>
      <c r="L7" s="369" t="n"/>
      <c r="M7" s="369" t="n"/>
      <c r="N7" s="369" t="n"/>
      <c r="O7" s="369" t="n"/>
      <c r="P7" s="369" t="n"/>
      <c r="Q7" s="369" t="n"/>
      <c r="R7" s="369" t="n"/>
      <c r="S7" s="369" t="n"/>
      <c r="T7" s="369" t="n"/>
      <c r="U7" s="369" t="n"/>
      <c r="V7" s="369" t="n"/>
      <c r="W7" s="369" t="n"/>
      <c r="X7" s="369" t="n"/>
    </row>
    <row r="8" ht="15" customHeight="1" s="226">
      <c r="A8" s="276" t="inlineStr">
        <is>
          <t>Центральный федеральный округ</t>
        </is>
      </c>
      <c r="B8" s="370" t="n">
        <v>428461.6</v>
      </c>
      <c r="C8" s="254" t="n">
        <v>449367.4</v>
      </c>
      <c r="D8" s="254" t="n">
        <v>483617.8</v>
      </c>
      <c r="E8" s="254" t="n">
        <v>504322.7</v>
      </c>
      <c r="F8" s="254" t="n">
        <v>522640.3</v>
      </c>
      <c r="G8" s="254" t="n">
        <v>622652.4</v>
      </c>
      <c r="H8" s="254" t="n">
        <v>670468.1</v>
      </c>
      <c r="I8" s="254" t="n">
        <v>745978.7</v>
      </c>
      <c r="L8" s="369" t="n"/>
      <c r="M8" s="369" t="n"/>
      <c r="N8" s="369" t="n"/>
      <c r="O8" s="369" t="n"/>
      <c r="P8" s="369" t="n"/>
      <c r="R8" s="369" t="n"/>
      <c r="S8" s="369" t="n"/>
      <c r="T8" s="369" t="n"/>
      <c r="U8" s="369" t="n"/>
      <c r="V8" s="369" t="n"/>
      <c r="W8" s="369" t="n"/>
    </row>
    <row r="9" ht="15" customHeight="1" s="226">
      <c r="A9" s="373" t="inlineStr">
        <is>
          <t xml:space="preserve"> Белгородская область</t>
        </is>
      </c>
      <c r="B9" s="336" t="n">
        <v>299984</v>
      </c>
      <c r="C9" s="262" t="n">
        <v>321377.9</v>
      </c>
      <c r="D9" s="262" t="n">
        <v>343531.1</v>
      </c>
      <c r="E9" s="262" t="n">
        <v>362467</v>
      </c>
      <c r="F9" s="262" t="n">
        <v>386681</v>
      </c>
      <c r="G9" s="262" t="n">
        <v>432635.6</v>
      </c>
      <c r="H9" s="262" t="n">
        <v>488454</v>
      </c>
      <c r="I9" s="263" t="n">
        <v>514718</v>
      </c>
      <c r="L9" s="369" t="n"/>
      <c r="M9" s="369" t="n"/>
      <c r="N9" s="369" t="n"/>
      <c r="O9" s="369" t="n"/>
      <c r="P9" s="369" t="n"/>
      <c r="R9" s="369" t="n"/>
      <c r="S9" s="369" t="n"/>
      <c r="T9" s="369" t="n"/>
      <c r="U9" s="369" t="n"/>
      <c r="V9" s="369" t="n"/>
      <c r="W9" s="369" t="n"/>
    </row>
    <row r="10" ht="15" customHeight="1" s="226">
      <c r="A10" s="268" t="inlineStr">
        <is>
          <t xml:space="preserve"> Брянская область</t>
        </is>
      </c>
      <c r="B10" s="336" t="n">
        <v>274857.8</v>
      </c>
      <c r="C10" s="262" t="n">
        <v>297109.4</v>
      </c>
      <c r="D10" s="262" t="n">
        <v>323017.1</v>
      </c>
      <c r="E10" s="262" t="n">
        <v>349656.3</v>
      </c>
      <c r="F10" s="262" t="n">
        <v>355519.2</v>
      </c>
      <c r="G10" s="262" t="n">
        <v>406107</v>
      </c>
      <c r="H10" s="262" t="n">
        <v>448468.7</v>
      </c>
      <c r="I10" s="263" t="n">
        <v>489083.4</v>
      </c>
      <c r="L10" s="369" t="n"/>
      <c r="M10" s="369" t="n"/>
      <c r="N10" s="369" t="n"/>
      <c r="O10" s="369" t="n"/>
      <c r="P10" s="369" t="n"/>
      <c r="R10" s="369" t="n"/>
      <c r="S10" s="369" t="n"/>
      <c r="T10" s="369" t="n"/>
      <c r="U10" s="369" t="n"/>
      <c r="V10" s="369" t="n"/>
      <c r="W10" s="369" t="n"/>
    </row>
    <row r="11" ht="15" customHeight="1" s="226">
      <c r="A11" s="268" t="inlineStr">
        <is>
          <t xml:space="preserve"> Владимирская область</t>
        </is>
      </c>
      <c r="B11" s="336" t="n">
        <v>257385.6</v>
      </c>
      <c r="C11" s="262" t="n">
        <v>270483.3</v>
      </c>
      <c r="D11" s="262" t="n">
        <v>290474.2</v>
      </c>
      <c r="E11" s="262" t="n">
        <v>310050.9</v>
      </c>
      <c r="F11" s="262" t="n">
        <v>321180.3</v>
      </c>
      <c r="G11" s="262" t="n">
        <v>360929.3</v>
      </c>
      <c r="H11" s="262" t="n">
        <v>414359.9</v>
      </c>
      <c r="I11" s="263" t="n">
        <v>459450.1</v>
      </c>
      <c r="L11" s="369" t="n"/>
      <c r="M11" s="369" t="n"/>
      <c r="N11" s="369" t="n"/>
      <c r="O11" s="369" t="n"/>
      <c r="P11" s="369" t="n"/>
      <c r="R11" s="369" t="n"/>
      <c r="S11" s="369" t="n"/>
      <c r="T11" s="369" t="n"/>
      <c r="U11" s="369" t="n"/>
      <c r="V11" s="369" t="n"/>
      <c r="W11" s="369" t="n"/>
    </row>
    <row r="12" ht="15" customHeight="1" s="226">
      <c r="A12" s="268" t="inlineStr">
        <is>
          <t xml:space="preserve"> Воронежская область</t>
        </is>
      </c>
      <c r="B12" s="336" t="n">
        <v>321220.1</v>
      </c>
      <c r="C12" s="262" t="n">
        <v>338065.6</v>
      </c>
      <c r="D12" s="262" t="n">
        <v>363825.9</v>
      </c>
      <c r="E12" s="262" t="n">
        <v>359513.3</v>
      </c>
      <c r="F12" s="262" t="n">
        <v>365099.5</v>
      </c>
      <c r="G12" s="262" t="n">
        <v>433703.1</v>
      </c>
      <c r="H12" s="262" t="n">
        <v>483900.8</v>
      </c>
      <c r="I12" s="263" t="n">
        <v>514348.3</v>
      </c>
      <c r="L12" s="369" t="n"/>
      <c r="M12" s="369" t="n"/>
      <c r="N12" s="369" t="n"/>
      <c r="O12" s="369" t="n"/>
      <c r="P12" s="369" t="n"/>
      <c r="R12" s="369" t="n"/>
      <c r="S12" s="369" t="n"/>
      <c r="T12" s="369" t="n"/>
      <c r="U12" s="369" t="n"/>
      <c r="V12" s="369" t="n"/>
      <c r="W12" s="369" t="n"/>
    </row>
    <row r="13" ht="15" customHeight="1" s="226">
      <c r="A13" s="268" t="inlineStr">
        <is>
          <t xml:space="preserve"> Ивановская область</t>
        </is>
      </c>
      <c r="B13" s="336" t="n">
        <v>240666.6</v>
      </c>
      <c r="C13" s="262" t="n">
        <v>252948.8</v>
      </c>
      <c r="D13" s="262" t="n">
        <v>278758.6</v>
      </c>
      <c r="E13" s="262" t="n">
        <v>303291.7</v>
      </c>
      <c r="F13" s="262" t="n">
        <v>315327.1</v>
      </c>
      <c r="G13" s="262" t="n">
        <v>366999.9</v>
      </c>
      <c r="H13" s="262" t="n">
        <v>427538.8</v>
      </c>
      <c r="I13" s="263" t="n">
        <v>462492</v>
      </c>
      <c r="L13" s="369" t="n"/>
      <c r="M13" s="369" t="n"/>
      <c r="N13" s="369" t="n"/>
      <c r="O13" s="369" t="n"/>
      <c r="P13" s="369" t="n"/>
      <c r="R13" s="369" t="n"/>
      <c r="S13" s="369" t="n"/>
      <c r="T13" s="369" t="n"/>
      <c r="U13" s="369" t="n"/>
      <c r="V13" s="369" t="n"/>
      <c r="W13" s="369" t="n"/>
    </row>
    <row r="14" ht="15" customHeight="1" s="226">
      <c r="A14" s="268" t="inlineStr">
        <is>
          <t xml:space="preserve"> Калужская область</t>
        </is>
      </c>
      <c r="B14" s="336" t="n">
        <v>294494</v>
      </c>
      <c r="C14" s="262" t="n">
        <v>309850.7</v>
      </c>
      <c r="D14" s="262" t="n">
        <v>329558.1</v>
      </c>
      <c r="E14" s="262" t="n">
        <v>349116.4</v>
      </c>
      <c r="F14" s="262" t="n">
        <v>354815.7</v>
      </c>
      <c r="G14" s="262" t="n">
        <v>395883.9</v>
      </c>
      <c r="H14" s="262" t="n">
        <v>443060.1</v>
      </c>
      <c r="I14" s="263" t="n">
        <v>476391.4</v>
      </c>
      <c r="L14" s="369" t="n"/>
      <c r="M14" s="369" t="n"/>
      <c r="N14" s="369" t="n"/>
      <c r="O14" s="369" t="n"/>
      <c r="P14" s="369" t="n"/>
      <c r="R14" s="369" t="n"/>
      <c r="S14" s="369" t="n"/>
      <c r="T14" s="369" t="n"/>
      <c r="U14" s="369" t="n"/>
      <c r="V14" s="369" t="n"/>
      <c r="W14" s="369" t="n"/>
    </row>
    <row r="15" ht="15" customHeight="1" s="226">
      <c r="A15" s="268" t="inlineStr">
        <is>
          <t xml:space="preserve"> Костромская область</t>
        </is>
      </c>
      <c r="B15" s="336" t="n">
        <v>251165.4</v>
      </c>
      <c r="C15" s="262" t="n">
        <v>266059.6</v>
      </c>
      <c r="D15" s="262" t="n">
        <v>281295.7</v>
      </c>
      <c r="E15" s="262" t="n">
        <v>298362.3</v>
      </c>
      <c r="F15" s="262" t="n">
        <v>312151.1</v>
      </c>
      <c r="G15" s="262" t="n">
        <v>370944.4</v>
      </c>
      <c r="H15" s="262" t="n">
        <v>435461.7</v>
      </c>
      <c r="I15" s="263" t="n">
        <v>479067.1</v>
      </c>
      <c r="L15" s="369" t="n"/>
      <c r="M15" s="369" t="n"/>
      <c r="N15" s="369" t="n"/>
      <c r="O15" s="369" t="n"/>
      <c r="P15" s="369" t="n"/>
      <c r="R15" s="369" t="n"/>
      <c r="S15" s="369" t="n"/>
      <c r="T15" s="369" t="n"/>
      <c r="U15" s="369" t="n"/>
      <c r="V15" s="369" t="n"/>
      <c r="W15" s="369" t="n"/>
    </row>
    <row r="16" ht="15" customHeight="1" s="226">
      <c r="A16" s="268" t="inlineStr">
        <is>
          <t xml:space="preserve"> Курская область </t>
        </is>
      </c>
      <c r="B16" s="336" t="n">
        <v>267964.8</v>
      </c>
      <c r="C16" s="262" t="n">
        <v>284312.4</v>
      </c>
      <c r="D16" s="262" t="n">
        <v>310981</v>
      </c>
      <c r="E16" s="262" t="n">
        <v>329726.9</v>
      </c>
      <c r="F16" s="262" t="n">
        <v>339993.3</v>
      </c>
      <c r="G16" s="262" t="n">
        <v>394356.6</v>
      </c>
      <c r="H16" s="262" t="n">
        <v>442957.9</v>
      </c>
      <c r="I16" s="263" t="n">
        <v>478025.8</v>
      </c>
      <c r="L16" s="369" t="n"/>
      <c r="M16" s="369" t="n"/>
      <c r="N16" s="369" t="n"/>
      <c r="O16" s="369" t="n"/>
      <c r="P16" s="369" t="n"/>
      <c r="R16" s="369" t="n"/>
      <c r="S16" s="369" t="n"/>
      <c r="T16" s="369" t="n"/>
      <c r="U16" s="369" t="n"/>
      <c r="V16" s="369" t="n"/>
      <c r="W16" s="369" t="n"/>
    </row>
    <row r="17" ht="15" customHeight="1" s="226">
      <c r="A17" s="268" t="inlineStr">
        <is>
          <t xml:space="preserve"> Липецкая область</t>
        </is>
      </c>
      <c r="B17" s="336" t="n">
        <v>303120.4</v>
      </c>
      <c r="C17" s="262" t="n">
        <v>318491.5</v>
      </c>
      <c r="D17" s="262" t="n">
        <v>350416.7</v>
      </c>
      <c r="E17" s="262" t="n">
        <v>354375.5</v>
      </c>
      <c r="F17" s="262" t="n">
        <v>360380.6</v>
      </c>
      <c r="G17" s="262" t="n">
        <v>417825.6</v>
      </c>
      <c r="H17" s="262" t="n">
        <v>475856.1</v>
      </c>
      <c r="I17" s="263" t="n">
        <v>507818.1</v>
      </c>
      <c r="L17" s="369" t="n"/>
      <c r="M17" s="369" t="n"/>
      <c r="N17" s="369" t="n"/>
      <c r="O17" s="369" t="n"/>
      <c r="P17" s="369" t="n"/>
      <c r="R17" s="369" t="n"/>
      <c r="S17" s="369" t="n"/>
      <c r="T17" s="369" t="n"/>
      <c r="U17" s="369" t="n"/>
      <c r="V17" s="369" t="n"/>
      <c r="W17" s="369" t="n"/>
    </row>
    <row r="18" ht="15" customHeight="1" s="226">
      <c r="A18" s="268" t="inlineStr">
        <is>
          <t xml:space="preserve"> Московская область</t>
        </is>
      </c>
      <c r="B18" s="336" t="n">
        <v>407781.5</v>
      </c>
      <c r="C18" s="262" t="n">
        <v>429337.5</v>
      </c>
      <c r="D18" s="262" t="n">
        <v>468083.6</v>
      </c>
      <c r="E18" s="262" t="n">
        <v>492145.2</v>
      </c>
      <c r="F18" s="262" t="n">
        <v>513433.3</v>
      </c>
      <c r="G18" s="262" t="n">
        <v>621791.4</v>
      </c>
      <c r="H18" s="262" t="n">
        <v>674744.1</v>
      </c>
      <c r="I18" s="263" t="n">
        <v>738836.1</v>
      </c>
      <c r="L18" s="369" t="n"/>
      <c r="M18" s="369" t="n"/>
      <c r="N18" s="369" t="n"/>
      <c r="O18" s="369" t="n"/>
      <c r="P18" s="369" t="n"/>
      <c r="R18" s="369" t="n"/>
      <c r="S18" s="369" t="n"/>
      <c r="T18" s="369" t="n"/>
      <c r="U18" s="369" t="n"/>
      <c r="V18" s="369" t="n"/>
      <c r="W18" s="369" t="n"/>
    </row>
    <row r="19" ht="15" customHeight="1" s="226">
      <c r="A19" s="268" t="inlineStr">
        <is>
          <t xml:space="preserve"> Орловская область</t>
        </is>
      </c>
      <c r="B19" s="336" t="n">
        <v>251874.7</v>
      </c>
      <c r="C19" s="262" t="n">
        <v>270340.5</v>
      </c>
      <c r="D19" s="262" t="n">
        <v>292492.9</v>
      </c>
      <c r="E19" s="262" t="n">
        <v>308317.9</v>
      </c>
      <c r="F19" s="262" t="n">
        <v>323182</v>
      </c>
      <c r="G19" s="262" t="n">
        <v>373016.2</v>
      </c>
      <c r="H19" s="262" t="n">
        <v>437900</v>
      </c>
      <c r="I19" s="263" t="n">
        <v>468209.6</v>
      </c>
      <c r="L19" s="369" t="n"/>
      <c r="M19" s="369" t="n"/>
      <c r="N19" s="369" t="n"/>
      <c r="O19" s="369" t="n"/>
      <c r="P19" s="369" t="n"/>
      <c r="R19" s="369" t="n"/>
      <c r="S19" s="369" t="n"/>
      <c r="T19" s="369" t="n"/>
      <c r="U19" s="369" t="n"/>
      <c r="V19" s="369" t="n"/>
      <c r="W19" s="369" t="n"/>
    </row>
    <row r="20" ht="15" customHeight="1" s="226">
      <c r="A20" s="268" t="inlineStr">
        <is>
          <t xml:space="preserve"> Рязанская область</t>
        </is>
      </c>
      <c r="B20" s="336" t="n">
        <v>255005.5</v>
      </c>
      <c r="C20" s="262" t="n">
        <v>274860.7</v>
      </c>
      <c r="D20" s="262" t="n">
        <v>295915.9</v>
      </c>
      <c r="E20" s="262" t="n">
        <v>315748.8</v>
      </c>
      <c r="F20" s="262" t="n">
        <v>335960.3</v>
      </c>
      <c r="G20" s="262" t="n">
        <v>389398.8</v>
      </c>
      <c r="H20" s="262" t="n">
        <v>439828.9</v>
      </c>
      <c r="I20" s="263" t="n">
        <v>486176.8</v>
      </c>
      <c r="L20" s="369" t="n"/>
      <c r="M20" s="369" t="n"/>
      <c r="N20" s="369" t="n"/>
      <c r="O20" s="369" t="n"/>
      <c r="P20" s="369" t="n"/>
      <c r="R20" s="369" t="n"/>
      <c r="S20" s="369" t="n"/>
      <c r="T20" s="369" t="n"/>
      <c r="U20" s="369" t="n"/>
      <c r="V20" s="369" t="n"/>
      <c r="W20" s="369" t="n"/>
    </row>
    <row r="21" ht="15" customHeight="1" s="226">
      <c r="A21" s="268" t="inlineStr">
        <is>
          <t xml:space="preserve"> Смоленская область</t>
        </is>
      </c>
      <c r="B21" s="336" t="n">
        <v>259758.2</v>
      </c>
      <c r="C21" s="262" t="n">
        <v>270949</v>
      </c>
      <c r="D21" s="262" t="n">
        <v>294057.7</v>
      </c>
      <c r="E21" s="262" t="n">
        <v>307574.3</v>
      </c>
      <c r="F21" s="262" t="n">
        <v>316800.2</v>
      </c>
      <c r="G21" s="262" t="n">
        <v>354661.7</v>
      </c>
      <c r="H21" s="262" t="n">
        <v>397297.8</v>
      </c>
      <c r="I21" s="263" t="n">
        <v>452041.2</v>
      </c>
      <c r="L21" s="369" t="n"/>
      <c r="M21" s="369" t="n"/>
      <c r="N21" s="369" t="n"/>
      <c r="O21" s="369" t="n"/>
      <c r="P21" s="369" t="n"/>
      <c r="R21" s="369" t="n"/>
      <c r="S21" s="369" t="n"/>
      <c r="T21" s="369" t="n"/>
      <c r="U21" s="369" t="n"/>
      <c r="V21" s="369" t="n"/>
      <c r="W21" s="369" t="n"/>
    </row>
    <row r="22" ht="15" customHeight="1" s="226">
      <c r="A22" s="268" t="inlineStr">
        <is>
          <t xml:space="preserve"> Тамбовская область</t>
        </is>
      </c>
      <c r="B22" s="336" t="n">
        <v>279283.3</v>
      </c>
      <c r="C22" s="262" t="n">
        <v>290119.9</v>
      </c>
      <c r="D22" s="262" t="n">
        <v>308408</v>
      </c>
      <c r="E22" s="262" t="n">
        <v>327504.2</v>
      </c>
      <c r="F22" s="262" t="n">
        <v>325074</v>
      </c>
      <c r="G22" s="262" t="n">
        <v>363551</v>
      </c>
      <c r="H22" s="262" t="n">
        <v>408985.4</v>
      </c>
      <c r="I22" s="263" t="n">
        <v>440914</v>
      </c>
      <c r="L22" s="369" t="n"/>
      <c r="M22" s="369" t="n"/>
      <c r="N22" s="369" t="n"/>
      <c r="O22" s="369" t="n"/>
      <c r="P22" s="369" t="n"/>
      <c r="R22" s="369" t="n"/>
      <c r="S22" s="369" t="n"/>
      <c r="T22" s="369" t="n"/>
      <c r="U22" s="369" t="n"/>
      <c r="V22" s="369" t="n"/>
      <c r="W22" s="369" t="n"/>
    </row>
    <row r="23" ht="15" customHeight="1" s="226">
      <c r="A23" s="268" t="inlineStr">
        <is>
          <t xml:space="preserve"> Тверская область</t>
        </is>
      </c>
      <c r="B23" s="336" t="n">
        <v>270540.9</v>
      </c>
      <c r="C23" s="262" t="n">
        <v>277478.1</v>
      </c>
      <c r="D23" s="262" t="n">
        <v>296808.8</v>
      </c>
      <c r="E23" s="262" t="n">
        <v>319572.3</v>
      </c>
      <c r="F23" s="262" t="n">
        <v>338741.1</v>
      </c>
      <c r="G23" s="262" t="n">
        <v>401211.5</v>
      </c>
      <c r="H23" s="262" t="n">
        <v>455758.8</v>
      </c>
      <c r="I23" s="263" t="n">
        <v>500882.3</v>
      </c>
      <c r="L23" s="369" t="n"/>
      <c r="M23" s="369" t="n"/>
      <c r="N23" s="369" t="n"/>
      <c r="O23" s="369" t="n"/>
      <c r="P23" s="369" t="n"/>
      <c r="R23" s="369" t="n"/>
      <c r="S23" s="369" t="n"/>
      <c r="T23" s="369" t="n"/>
      <c r="U23" s="369" t="n"/>
      <c r="V23" s="369" t="n"/>
      <c r="W23" s="369" t="n"/>
    </row>
    <row r="24" ht="15" customHeight="1" s="226">
      <c r="A24" s="268" t="inlineStr">
        <is>
          <t xml:space="preserve"> Тульская область</t>
        </is>
      </c>
      <c r="B24" s="336" t="n">
        <v>276328.1</v>
      </c>
      <c r="C24" s="262" t="n">
        <v>296437.5</v>
      </c>
      <c r="D24" s="262" t="n">
        <v>314429.6</v>
      </c>
      <c r="E24" s="262" t="n">
        <v>329332.8</v>
      </c>
      <c r="F24" s="262" t="n">
        <v>337000.8</v>
      </c>
      <c r="G24" s="262" t="n">
        <v>393102</v>
      </c>
      <c r="H24" s="262" t="n">
        <v>433956.8</v>
      </c>
      <c r="I24" s="263" t="n">
        <v>514095.6</v>
      </c>
      <c r="L24" s="369" t="n"/>
      <c r="M24" s="369" t="n"/>
      <c r="N24" s="369" t="n"/>
      <c r="O24" s="369" t="n"/>
      <c r="P24" s="369" t="n"/>
      <c r="R24" s="369" t="n"/>
      <c r="S24" s="369" t="n"/>
      <c r="T24" s="369" t="n"/>
      <c r="U24" s="369" t="n"/>
      <c r="V24" s="369" t="n"/>
      <c r="W24" s="369" t="n"/>
    </row>
    <row r="25" ht="15" customHeight="1" s="226">
      <c r="A25" s="268" t="inlineStr">
        <is>
          <t xml:space="preserve"> Ярославская область</t>
        </is>
      </c>
      <c r="B25" s="336" t="n">
        <v>278841.7</v>
      </c>
      <c r="C25" s="262" t="n">
        <v>300459.7</v>
      </c>
      <c r="D25" s="262" t="n">
        <v>323027.6</v>
      </c>
      <c r="E25" s="262" t="n">
        <v>337644.4</v>
      </c>
      <c r="F25" s="262" t="n">
        <v>353048.1</v>
      </c>
      <c r="G25" s="262" t="n">
        <v>423941.3</v>
      </c>
      <c r="H25" s="262" t="n">
        <v>469959.5</v>
      </c>
      <c r="I25" s="263" t="n">
        <v>515267.8</v>
      </c>
      <c r="L25" s="369" t="n"/>
      <c r="M25" s="369" t="n"/>
      <c r="N25" s="369" t="n"/>
      <c r="O25" s="369" t="n"/>
      <c r="P25" s="369" t="n"/>
      <c r="R25" s="369" t="n"/>
      <c r="S25" s="369" t="n"/>
      <c r="T25" s="369" t="n"/>
      <c r="U25" s="369" t="n"/>
      <c r="V25" s="369" t="n"/>
      <c r="W25" s="369" t="n"/>
    </row>
    <row r="26" ht="15" customHeight="1" s="226">
      <c r="A26" s="268" t="inlineStr">
        <is>
          <t xml:space="preserve"> г.Москва</t>
        </is>
      </c>
      <c r="B26" s="336" t="n">
        <v>676198.9</v>
      </c>
      <c r="C26" s="262" t="n">
        <v>700125.7</v>
      </c>
      <c r="D26" s="262" t="n">
        <v>744291.4</v>
      </c>
      <c r="E26" s="262" t="n">
        <v>766571</v>
      </c>
      <c r="F26" s="262" t="n">
        <v>790310</v>
      </c>
      <c r="G26" s="262" t="n">
        <v>949104.1</v>
      </c>
      <c r="H26" s="262" t="n">
        <v>984404.8</v>
      </c>
      <c r="I26" s="263" t="n">
        <v>1111452.6</v>
      </c>
      <c r="L26" s="369" t="n"/>
      <c r="M26" s="369" t="n"/>
      <c r="N26" s="369" t="n"/>
      <c r="O26" s="369" t="n"/>
      <c r="P26" s="369" t="n"/>
      <c r="R26" s="369" t="n"/>
      <c r="S26" s="369" t="n"/>
      <c r="T26" s="369" t="n"/>
      <c r="U26" s="369" t="n"/>
      <c r="V26" s="369" t="n"/>
      <c r="W26" s="369" t="n"/>
    </row>
    <row r="27" ht="15" customHeight="1" s="226">
      <c r="A27" s="276" t="inlineStr">
        <is>
          <t>Северо-Западный федеральный округ</t>
        </is>
      </c>
      <c r="B27" s="370" t="n">
        <v>373827.4</v>
      </c>
      <c r="C27" s="254" t="n">
        <v>397014.3</v>
      </c>
      <c r="D27" s="254" t="n">
        <v>428079.6</v>
      </c>
      <c r="E27" s="254" t="n">
        <v>447683.9</v>
      </c>
      <c r="F27" s="254" t="n">
        <v>470711.8</v>
      </c>
      <c r="G27" s="254" t="n">
        <v>565829</v>
      </c>
      <c r="H27" s="254" t="n">
        <v>615075</v>
      </c>
      <c r="I27" s="254" t="n">
        <v>705333.1</v>
      </c>
      <c r="L27" s="369" t="n"/>
      <c r="M27" s="369" t="n"/>
      <c r="N27" s="369" t="n"/>
      <c r="O27" s="369" t="n"/>
      <c r="P27" s="369" t="n"/>
      <c r="R27" s="369" t="n"/>
      <c r="S27" s="369" t="n"/>
      <c r="T27" s="369" t="n"/>
      <c r="U27" s="369" t="n"/>
      <c r="V27" s="369" t="n"/>
      <c r="W27" s="369" t="n"/>
    </row>
    <row r="28" ht="15" customHeight="1" s="226">
      <c r="A28" s="268" t="inlineStr">
        <is>
          <t xml:space="preserve"> Республика Карелия</t>
        </is>
      </c>
      <c r="B28" s="336" t="n">
        <v>319087</v>
      </c>
      <c r="C28" s="262" t="n">
        <v>341421.3</v>
      </c>
      <c r="D28" s="262" t="n">
        <v>382269.6</v>
      </c>
      <c r="E28" s="262" t="n">
        <v>401533.9</v>
      </c>
      <c r="F28" s="262" t="n">
        <v>443992.9</v>
      </c>
      <c r="G28" s="262" t="n">
        <v>500540</v>
      </c>
      <c r="H28" s="262" t="n">
        <v>549320.5</v>
      </c>
      <c r="I28" s="263" t="n">
        <v>633843.7</v>
      </c>
      <c r="L28" s="369" t="n"/>
      <c r="M28" s="369" t="n"/>
      <c r="N28" s="369" t="n"/>
      <c r="O28" s="369" t="n"/>
      <c r="P28" s="369" t="n"/>
      <c r="R28" s="369" t="n"/>
      <c r="S28" s="369" t="n"/>
      <c r="T28" s="369" t="n"/>
      <c r="U28" s="369" t="n"/>
      <c r="V28" s="369" t="n"/>
      <c r="W28" s="369" t="n"/>
    </row>
    <row r="29" ht="15" customHeight="1" s="226">
      <c r="A29" s="268" t="inlineStr">
        <is>
          <t xml:space="preserve"> Республика Коми</t>
        </is>
      </c>
      <c r="B29" s="336" t="n">
        <v>335385.5</v>
      </c>
      <c r="C29" s="262" t="n">
        <v>353130.6</v>
      </c>
      <c r="D29" s="262" t="n">
        <v>377000.8</v>
      </c>
      <c r="E29" s="262" t="n">
        <v>409038.8</v>
      </c>
      <c r="F29" s="262" t="n">
        <v>430627.3</v>
      </c>
      <c r="G29" s="262" t="n">
        <v>476753.1</v>
      </c>
      <c r="H29" s="262" t="n">
        <v>537332.8</v>
      </c>
      <c r="I29" s="263" t="n">
        <v>594601.8</v>
      </c>
      <c r="L29" s="369" t="n"/>
      <c r="M29" s="369" t="n"/>
      <c r="N29" s="369" t="n"/>
      <c r="O29" s="369" t="n"/>
      <c r="P29" s="369" t="n"/>
      <c r="R29" s="369" t="n"/>
      <c r="S29" s="369" t="n"/>
      <c r="T29" s="369" t="n"/>
      <c r="U29" s="369" t="n"/>
      <c r="V29" s="369" t="n"/>
      <c r="W29" s="369" t="n"/>
    </row>
    <row r="30" ht="15" customHeight="1" s="226">
      <c r="A30" s="268" t="inlineStr">
        <is>
          <t xml:space="preserve"> Архангельская область</t>
        </is>
      </c>
      <c r="B30" s="336" t="n">
        <v>364958.6</v>
      </c>
      <c r="C30" s="262" t="n">
        <v>391014.1</v>
      </c>
      <c r="D30" s="262" t="n">
        <v>421332.8</v>
      </c>
      <c r="E30" s="262" t="n">
        <v>436991.4</v>
      </c>
      <c r="F30" s="262" t="n">
        <v>453988.6</v>
      </c>
      <c r="G30" s="262" t="n">
        <v>527207.2</v>
      </c>
      <c r="H30" s="262" t="n">
        <v>584502.4</v>
      </c>
      <c r="I30" s="263" t="n">
        <v>640331.2</v>
      </c>
      <c r="L30" s="369" t="n"/>
      <c r="M30" s="369" t="n"/>
      <c r="N30" s="369" t="n"/>
      <c r="O30" s="369" t="n"/>
      <c r="P30" s="369" t="n"/>
      <c r="R30" s="369" t="n"/>
      <c r="S30" s="369" t="n"/>
      <c r="T30" s="369" t="n"/>
      <c r="U30" s="369" t="n"/>
      <c r="V30" s="369" t="n"/>
      <c r="W30" s="369" t="n"/>
    </row>
    <row r="31" ht="15" customHeight="1" s="226">
      <c r="A31" s="268" t="inlineStr">
        <is>
          <t xml:space="preserve">     в т.ч. Ненецкий АО</t>
        </is>
      </c>
      <c r="B31" s="336" t="n">
        <v>524577.5</v>
      </c>
      <c r="C31" s="262" t="n">
        <v>526571.8</v>
      </c>
      <c r="D31" s="262" t="n">
        <v>581257.1</v>
      </c>
      <c r="E31" s="262" t="n">
        <v>589607.6</v>
      </c>
      <c r="F31" s="262" t="n">
        <v>591046.1</v>
      </c>
      <c r="G31" s="262" t="n">
        <v>669515.8</v>
      </c>
      <c r="H31" s="262" t="n">
        <v>703624.7</v>
      </c>
      <c r="I31" s="263" t="n">
        <v>759485.4</v>
      </c>
      <c r="L31" s="369" t="n"/>
      <c r="M31" s="369" t="n"/>
      <c r="N31" s="369" t="n"/>
      <c r="O31" s="369" t="n"/>
      <c r="P31" s="369" t="n"/>
      <c r="R31" s="369" t="n"/>
      <c r="S31" s="369" t="n"/>
      <c r="T31" s="369" t="n"/>
      <c r="U31" s="369" t="n"/>
      <c r="V31" s="369" t="n"/>
      <c r="W31" s="369" t="n"/>
    </row>
    <row r="32" ht="19.5" customHeight="1" s="226">
      <c r="A32" s="268" t="inlineStr">
        <is>
          <t>Архангельская область без Ненецкого АО</t>
        </is>
      </c>
      <c r="B32" s="375" t="n">
        <v>358673.2</v>
      </c>
      <c r="C32" s="269" t="n">
        <v>385613.9</v>
      </c>
      <c r="D32" s="262" t="n">
        <v>414896.8</v>
      </c>
      <c r="E32" s="262" t="n">
        <v>430776.9</v>
      </c>
      <c r="F32" s="262" t="n">
        <v>448316.5</v>
      </c>
      <c r="G32" s="262" t="n">
        <v>521213.3</v>
      </c>
      <c r="H32" s="262" t="n">
        <v>579414.8</v>
      </c>
      <c r="I32" s="263" t="n">
        <v>635143</v>
      </c>
      <c r="L32" s="369" t="n"/>
      <c r="M32" s="369" t="n"/>
      <c r="N32" s="369" t="n"/>
      <c r="O32" s="369" t="n"/>
      <c r="P32" s="369" t="n"/>
      <c r="R32" s="369" t="n"/>
      <c r="S32" s="369" t="n"/>
      <c r="T32" s="369" t="n"/>
      <c r="U32" s="369" t="n"/>
      <c r="V32" s="369" t="n"/>
      <c r="W32" s="369" t="n"/>
    </row>
    <row r="33" ht="15" customHeight="1" s="226">
      <c r="A33" s="268" t="inlineStr">
        <is>
          <t xml:space="preserve"> Вологодская область</t>
        </is>
      </c>
      <c r="B33" s="336" t="n">
        <v>237208.7</v>
      </c>
      <c r="C33" s="262" t="n">
        <v>251516.9</v>
      </c>
      <c r="D33" s="262" t="n">
        <v>273928.3</v>
      </c>
      <c r="E33" s="262" t="n">
        <v>297371.2</v>
      </c>
      <c r="F33" s="262" t="n">
        <v>327420.8</v>
      </c>
      <c r="G33" s="262" t="n">
        <v>378149.6</v>
      </c>
      <c r="H33" s="262" t="n">
        <v>417015.7</v>
      </c>
      <c r="I33" s="263" t="n">
        <v>455730.7</v>
      </c>
      <c r="L33" s="369" t="n"/>
      <c r="M33" s="369" t="n"/>
      <c r="N33" s="369" t="n"/>
      <c r="O33" s="369" t="n"/>
      <c r="P33" s="369" t="n"/>
      <c r="R33" s="369" t="n"/>
      <c r="S33" s="369" t="n"/>
      <c r="T33" s="369" t="n"/>
      <c r="U33" s="369" t="n"/>
      <c r="V33" s="369" t="n"/>
      <c r="W33" s="369" t="n"/>
    </row>
    <row r="34" ht="15" customHeight="1" s="226">
      <c r="A34" s="268" t="inlineStr">
        <is>
          <t xml:space="preserve"> Калининградская область</t>
        </is>
      </c>
      <c r="B34" s="336" t="n">
        <v>282766.6</v>
      </c>
      <c r="C34" s="262" t="n">
        <v>293548</v>
      </c>
      <c r="D34" s="262" t="n">
        <v>314569.5</v>
      </c>
      <c r="E34" s="262" t="n">
        <v>321239.9</v>
      </c>
      <c r="F34" s="262" t="n">
        <v>326205.9</v>
      </c>
      <c r="G34" s="262" t="n">
        <v>409767.6</v>
      </c>
      <c r="H34" s="262" t="n">
        <v>484614.6</v>
      </c>
      <c r="I34" s="263" t="n">
        <v>521694.9</v>
      </c>
      <c r="L34" s="369" t="n"/>
      <c r="M34" s="369" t="n"/>
      <c r="N34" s="369" t="n"/>
      <c r="O34" s="369" t="n"/>
      <c r="P34" s="369" t="n"/>
      <c r="R34" s="369" t="n"/>
      <c r="S34" s="369" t="n"/>
      <c r="T34" s="369" t="n"/>
      <c r="U34" s="369" t="n"/>
      <c r="V34" s="369" t="n"/>
      <c r="W34" s="369" t="n"/>
    </row>
    <row r="35" ht="15" customHeight="1" s="226">
      <c r="A35" s="268" t="inlineStr">
        <is>
          <t xml:space="preserve"> Ленинградская область</t>
        </is>
      </c>
      <c r="B35" s="336" t="n">
        <v>303511.7</v>
      </c>
      <c r="C35" s="262" t="n">
        <v>319621.8</v>
      </c>
      <c r="D35" s="262" t="n">
        <v>346456.1</v>
      </c>
      <c r="E35" s="262" t="n">
        <v>347236</v>
      </c>
      <c r="F35" s="262" t="n">
        <v>375885.2</v>
      </c>
      <c r="G35" s="262" t="n">
        <v>423507.5</v>
      </c>
      <c r="H35" s="262" t="n">
        <v>460778</v>
      </c>
      <c r="I35" s="263" t="n">
        <v>536452.6</v>
      </c>
      <c r="L35" s="369" t="n"/>
      <c r="M35" s="369" t="n"/>
      <c r="N35" s="369" t="n"/>
      <c r="O35" s="369" t="n"/>
      <c r="P35" s="369" t="n"/>
      <c r="R35" s="369" t="n"/>
      <c r="S35" s="369" t="n"/>
      <c r="T35" s="369" t="n"/>
      <c r="U35" s="369" t="n"/>
      <c r="V35" s="369" t="n"/>
      <c r="W35" s="369" t="n"/>
    </row>
    <row r="36" ht="15" customHeight="1" s="226">
      <c r="A36" s="268" t="inlineStr">
        <is>
          <t xml:space="preserve"> Мурманская область</t>
        </is>
      </c>
      <c r="B36" s="336" t="n">
        <v>400945</v>
      </c>
      <c r="C36" s="262" t="n">
        <v>425985.2</v>
      </c>
      <c r="D36" s="262" t="n">
        <v>460203.3</v>
      </c>
      <c r="E36" s="262" t="n">
        <v>481418.9</v>
      </c>
      <c r="F36" s="262" t="n">
        <v>505948.7</v>
      </c>
      <c r="G36" s="262" t="n">
        <v>575585.8</v>
      </c>
      <c r="H36" s="262" t="n">
        <v>670184.8</v>
      </c>
      <c r="I36" s="263" t="n">
        <v>727648.4</v>
      </c>
      <c r="L36" s="369" t="n"/>
      <c r="M36" s="369" t="n"/>
      <c r="N36" s="369" t="n"/>
      <c r="O36" s="369" t="n"/>
      <c r="P36" s="369" t="n"/>
      <c r="R36" s="369" t="n"/>
      <c r="S36" s="369" t="n"/>
      <c r="T36" s="369" t="n"/>
      <c r="U36" s="369" t="n"/>
      <c r="V36" s="369" t="n"/>
      <c r="W36" s="369" t="n"/>
    </row>
    <row r="37" ht="15" customHeight="1" s="226">
      <c r="A37" s="268" t="inlineStr">
        <is>
          <t xml:space="preserve"> Новгородская область</t>
        </is>
      </c>
      <c r="B37" s="336" t="n">
        <v>295682.8</v>
      </c>
      <c r="C37" s="262" t="n">
        <v>307446.2</v>
      </c>
      <c r="D37" s="262" t="n">
        <v>319699.6</v>
      </c>
      <c r="E37" s="262" t="n">
        <v>320339.3</v>
      </c>
      <c r="F37" s="262" t="n">
        <v>327910.6</v>
      </c>
      <c r="G37" s="262" t="n">
        <v>367531</v>
      </c>
      <c r="H37" s="262" t="n">
        <v>427521.5</v>
      </c>
      <c r="I37" s="263" t="n">
        <v>472399.9</v>
      </c>
      <c r="L37" s="369" t="n"/>
      <c r="M37" s="369" t="n"/>
      <c r="N37" s="369" t="n"/>
      <c r="O37" s="369" t="n"/>
      <c r="P37" s="369" t="n"/>
      <c r="R37" s="369" t="n"/>
      <c r="S37" s="369" t="n"/>
      <c r="T37" s="369" t="n"/>
      <c r="U37" s="369" t="n"/>
      <c r="V37" s="369" t="n"/>
      <c r="W37" s="369" t="n"/>
    </row>
    <row r="38" ht="15" customHeight="1" s="226">
      <c r="A38" s="268" t="inlineStr">
        <is>
          <t xml:space="preserve"> Псковская область</t>
        </is>
      </c>
      <c r="B38" s="336" t="n">
        <v>246310.3</v>
      </c>
      <c r="C38" s="262" t="n">
        <v>262777.5</v>
      </c>
      <c r="D38" s="262" t="n">
        <v>280956.8</v>
      </c>
      <c r="E38" s="262" t="n">
        <v>306018.6</v>
      </c>
      <c r="F38" s="262" t="n">
        <v>326507</v>
      </c>
      <c r="G38" s="262" t="n">
        <v>382765.3</v>
      </c>
      <c r="H38" s="262" t="n">
        <v>445652.2</v>
      </c>
      <c r="I38" s="263" t="n">
        <v>491333.1</v>
      </c>
      <c r="L38" s="369" t="n"/>
      <c r="M38" s="369" t="n"/>
      <c r="N38" s="369" t="n"/>
      <c r="O38" s="369" t="n"/>
      <c r="P38" s="369" t="n"/>
      <c r="R38" s="369" t="n"/>
      <c r="S38" s="369" t="n"/>
      <c r="T38" s="369" t="n"/>
      <c r="U38" s="369" t="n"/>
      <c r="V38" s="369" t="n"/>
      <c r="W38" s="369" t="n"/>
    </row>
    <row r="39" ht="15" customHeight="1" s="226">
      <c r="A39" s="268" t="inlineStr">
        <is>
          <t xml:space="preserve"> г.Санкт-Петербург</t>
        </is>
      </c>
      <c r="B39" s="337" t="n">
        <v>478709.1</v>
      </c>
      <c r="C39" s="270" t="n">
        <v>508943.7</v>
      </c>
      <c r="D39" s="270" t="n">
        <v>546868.2</v>
      </c>
      <c r="E39" s="270" t="n">
        <v>573998.8</v>
      </c>
      <c r="F39" s="270" t="n">
        <v>597721.3</v>
      </c>
      <c r="G39" s="270" t="n">
        <v>747791.6</v>
      </c>
      <c r="H39" s="270" t="n">
        <v>787269</v>
      </c>
      <c r="I39" s="271" t="n">
        <v>926840</v>
      </c>
      <c r="L39" s="369" t="n"/>
      <c r="M39" s="369" t="n"/>
      <c r="N39" s="369" t="n"/>
      <c r="O39" s="369" t="n"/>
      <c r="P39" s="369" t="n"/>
      <c r="R39" s="369" t="n"/>
      <c r="S39" s="369" t="n"/>
      <c r="T39" s="369" t="n"/>
      <c r="U39" s="369" t="n"/>
      <c r="V39" s="369" t="n"/>
      <c r="W39" s="369" t="n"/>
    </row>
    <row r="40" ht="15" customHeight="1" s="226">
      <c r="A40" s="267" t="inlineStr">
        <is>
          <t>Южный федеральный округ</t>
        </is>
      </c>
      <c r="B40" s="370" t="n">
        <v>297086.8</v>
      </c>
      <c r="C40" s="254" t="n">
        <v>311569</v>
      </c>
      <c r="D40" s="254" t="n">
        <v>333626.6</v>
      </c>
      <c r="E40" s="254" t="n">
        <v>346399.1</v>
      </c>
      <c r="F40" s="254" t="n">
        <v>360997.1</v>
      </c>
      <c r="G40" s="254" t="n">
        <v>440675.1</v>
      </c>
      <c r="H40" s="254" t="n">
        <v>520925.2</v>
      </c>
      <c r="I40" s="254" t="n">
        <v>594836.6</v>
      </c>
      <c r="L40" s="369" t="n"/>
      <c r="M40" s="369" t="n"/>
      <c r="N40" s="369" t="n"/>
      <c r="O40" s="369" t="n"/>
      <c r="P40" s="369" t="n"/>
      <c r="R40" s="369" t="n"/>
      <c r="S40" s="369" t="n"/>
      <c r="T40" s="369" t="n"/>
      <c r="U40" s="369" t="n"/>
      <c r="V40" s="369" t="n"/>
      <c r="W40" s="369" t="n"/>
    </row>
    <row r="41" ht="15" customHeight="1" s="226">
      <c r="A41" s="268" t="inlineStr">
        <is>
          <t xml:space="preserve"> Республика Адыгея (Адыгея)</t>
        </is>
      </c>
      <c r="B41" s="335" t="n">
        <v>261002.9</v>
      </c>
      <c r="C41" s="273" t="n">
        <v>278780.7</v>
      </c>
      <c r="D41" s="273" t="n">
        <v>303545.5</v>
      </c>
      <c r="E41" s="273" t="n">
        <v>318592.9</v>
      </c>
      <c r="F41" s="273" t="n">
        <v>333530.4</v>
      </c>
      <c r="G41" s="273" t="n">
        <v>430866.6</v>
      </c>
      <c r="H41" s="273" t="n">
        <v>461286.9</v>
      </c>
      <c r="I41" s="274" t="n">
        <v>515303</v>
      </c>
      <c r="L41" s="369" t="n"/>
      <c r="M41" s="369" t="n"/>
      <c r="N41" s="369" t="n"/>
      <c r="O41" s="369" t="n"/>
      <c r="P41" s="369" t="n"/>
      <c r="R41" s="369" t="n"/>
      <c r="S41" s="369" t="n"/>
      <c r="T41" s="369" t="n"/>
      <c r="U41" s="369" t="n"/>
      <c r="V41" s="369" t="n"/>
      <c r="W41" s="369" t="n"/>
    </row>
    <row r="42" ht="15" customHeight="1" s="226">
      <c r="A42" s="268" t="inlineStr">
        <is>
          <t xml:space="preserve"> Республика Калмыкия </t>
        </is>
      </c>
      <c r="B42" s="336" t="n">
        <v>152305.4</v>
      </c>
      <c r="C42" s="262" t="n">
        <v>162507</v>
      </c>
      <c r="D42" s="262" t="n">
        <v>184627.8</v>
      </c>
      <c r="E42" s="262" t="n">
        <v>181411.4</v>
      </c>
      <c r="F42" s="262" t="n">
        <v>202759.5</v>
      </c>
      <c r="G42" s="262" t="n">
        <v>217119.3</v>
      </c>
      <c r="H42" s="262" t="n">
        <v>243985.9</v>
      </c>
      <c r="I42" s="263" t="n">
        <v>356008.5</v>
      </c>
      <c r="L42" s="369" t="n"/>
      <c r="M42" s="369" t="n"/>
      <c r="N42" s="369" t="n"/>
      <c r="O42" s="369" t="n"/>
      <c r="P42" s="369" t="n"/>
      <c r="R42" s="369" t="n"/>
      <c r="S42" s="369" t="n"/>
      <c r="T42" s="369" t="n"/>
      <c r="U42" s="369" t="n"/>
      <c r="V42" s="369" t="n"/>
      <c r="W42" s="369" t="n"/>
    </row>
    <row r="43" ht="15" customHeight="1" s="226">
      <c r="A43" s="268" t="inlineStr">
        <is>
          <t xml:space="preserve"> Республика Крым</t>
        </is>
      </c>
      <c r="B43" s="336" t="n">
        <v>206882.6</v>
      </c>
      <c r="C43" s="262" t="n">
        <v>216206.4</v>
      </c>
      <c r="D43" s="262" t="n">
        <v>231930</v>
      </c>
      <c r="E43" s="262" t="n">
        <v>240452.7</v>
      </c>
      <c r="F43" s="262" t="n">
        <v>257286.8</v>
      </c>
      <c r="G43" s="262" t="n">
        <v>332514.1</v>
      </c>
      <c r="H43" s="262" t="n">
        <v>364140.9</v>
      </c>
      <c r="I43" s="263" t="n">
        <v>406576.4</v>
      </c>
      <c r="L43" s="369" t="n"/>
      <c r="M43" s="369" t="n"/>
      <c r="N43" s="369" t="n"/>
      <c r="O43" s="369" t="n"/>
      <c r="P43" s="369" t="n"/>
      <c r="R43" s="369" t="n"/>
      <c r="S43" s="369" t="n"/>
      <c r="T43" s="369" t="n"/>
      <c r="U43" s="369" t="n"/>
      <c r="V43" s="369" t="n"/>
      <c r="W43" s="369" t="n"/>
    </row>
    <row r="44" ht="15" customHeight="1" s="226">
      <c r="A44" s="268" t="inlineStr">
        <is>
          <t xml:space="preserve"> Краснодарский край</t>
        </is>
      </c>
      <c r="B44" s="336" t="n">
        <v>358873.6</v>
      </c>
      <c r="C44" s="262" t="n">
        <v>377565.3</v>
      </c>
      <c r="D44" s="262" t="n">
        <v>404734.3</v>
      </c>
      <c r="E44" s="262" t="n">
        <v>420069.1</v>
      </c>
      <c r="F44" s="262" t="n">
        <v>443113.9</v>
      </c>
      <c r="G44" s="262" t="n">
        <v>559024.1</v>
      </c>
      <c r="H44" s="262" t="n">
        <v>705602.8</v>
      </c>
      <c r="I44" s="263" t="n">
        <v>806528.7</v>
      </c>
      <c r="L44" s="369" t="n"/>
      <c r="M44" s="369" t="n"/>
      <c r="N44" s="369" t="n"/>
      <c r="O44" s="369" t="n"/>
      <c r="P44" s="369" t="n"/>
      <c r="R44" s="369" t="n"/>
      <c r="S44" s="369" t="n"/>
      <c r="T44" s="369" t="n"/>
      <c r="U44" s="369" t="n"/>
      <c r="V44" s="369" t="n"/>
      <c r="W44" s="369" t="n"/>
    </row>
    <row r="45" ht="15" customHeight="1" s="226">
      <c r="A45" s="268" t="inlineStr">
        <is>
          <t xml:space="preserve"> Астраханская область</t>
        </is>
      </c>
      <c r="B45" s="336" t="n">
        <v>256818.5</v>
      </c>
      <c r="C45" s="262" t="n">
        <v>261622.3</v>
      </c>
      <c r="D45" s="262" t="n">
        <v>280672</v>
      </c>
      <c r="E45" s="262" t="n">
        <v>293661.3</v>
      </c>
      <c r="F45" s="262" t="n">
        <v>296191.5</v>
      </c>
      <c r="G45" s="262" t="n">
        <v>336852.2</v>
      </c>
      <c r="H45" s="262" t="n">
        <v>375450.3</v>
      </c>
      <c r="I45" s="263" t="n">
        <v>399668.7</v>
      </c>
      <c r="L45" s="369" t="n"/>
      <c r="M45" s="369" t="n"/>
      <c r="N45" s="369" t="n"/>
      <c r="O45" s="369" t="n"/>
      <c r="P45" s="369" t="n"/>
      <c r="R45" s="369" t="n"/>
      <c r="S45" s="369" t="n"/>
      <c r="T45" s="369" t="n"/>
      <c r="U45" s="369" t="n"/>
      <c r="V45" s="369" t="n"/>
      <c r="W45" s="369" t="n"/>
    </row>
    <row r="46" ht="15" customHeight="1" s="226">
      <c r="A46" s="268" t="inlineStr">
        <is>
          <t xml:space="preserve"> Волгоградская область</t>
        </is>
      </c>
      <c r="B46" s="336" t="n">
        <v>248835.3</v>
      </c>
      <c r="C46" s="262" t="n">
        <v>259108.8</v>
      </c>
      <c r="D46" s="262" t="n">
        <v>277968.4</v>
      </c>
      <c r="E46" s="262" t="n">
        <v>292599.7</v>
      </c>
      <c r="F46" s="262" t="n">
        <v>304238.3</v>
      </c>
      <c r="G46" s="262" t="n">
        <v>345039.6</v>
      </c>
      <c r="H46" s="262" t="n">
        <v>385213.3</v>
      </c>
      <c r="I46" s="263" t="n">
        <v>437339.4</v>
      </c>
      <c r="L46" s="369" t="n"/>
      <c r="M46" s="369" t="n"/>
      <c r="N46" s="369" t="n"/>
      <c r="O46" s="369" t="n"/>
      <c r="P46" s="369" t="n"/>
      <c r="R46" s="369" t="n"/>
      <c r="S46" s="369" t="n"/>
      <c r="T46" s="369" t="n"/>
      <c r="U46" s="369" t="n"/>
      <c r="V46" s="369" t="n"/>
      <c r="W46" s="369" t="n"/>
    </row>
    <row r="47" ht="15" customFormat="1" customHeight="1" s="359">
      <c r="A47" s="268" t="inlineStr">
        <is>
          <t xml:space="preserve"> Ростовская область</t>
        </is>
      </c>
      <c r="B47" s="336" t="n">
        <v>311762.6</v>
      </c>
      <c r="C47" s="262" t="n">
        <v>326549.5</v>
      </c>
      <c r="D47" s="262" t="n">
        <v>347050.3</v>
      </c>
      <c r="E47" s="262" t="n">
        <v>358527.1</v>
      </c>
      <c r="F47" s="262" t="n">
        <v>365599.6</v>
      </c>
      <c r="G47" s="262" t="n">
        <v>428455.1</v>
      </c>
      <c r="H47" s="262" t="n">
        <v>488203.9</v>
      </c>
      <c r="I47" s="263" t="n">
        <v>567031.5</v>
      </c>
      <c r="L47" s="369" t="n"/>
      <c r="M47" s="369" t="n"/>
      <c r="N47" s="369" t="n"/>
      <c r="O47" s="369" t="n"/>
      <c r="P47" s="369" t="n"/>
      <c r="R47" s="369" t="n"/>
      <c r="S47" s="369" t="n"/>
      <c r="T47" s="369" t="n"/>
      <c r="U47" s="369" t="n"/>
      <c r="V47" s="369" t="n"/>
      <c r="W47" s="369" t="n"/>
    </row>
    <row r="48" ht="15" customFormat="1" customHeight="1" s="359">
      <c r="A48" s="268" t="inlineStr">
        <is>
          <t xml:space="preserve"> г.Севастополь</t>
        </is>
      </c>
      <c r="B48" s="336" t="n">
        <v>262840.8</v>
      </c>
      <c r="C48" s="262" t="n">
        <v>281847.1</v>
      </c>
      <c r="D48" s="262" t="n">
        <v>296073.1</v>
      </c>
      <c r="E48" s="262" t="n">
        <v>296956.2</v>
      </c>
      <c r="F48" s="262" t="n">
        <v>298112.9</v>
      </c>
      <c r="G48" s="262" t="n">
        <v>394633.3</v>
      </c>
      <c r="H48" s="262" t="n">
        <v>414721</v>
      </c>
      <c r="I48" s="263" t="n">
        <v>449189</v>
      </c>
      <c r="L48" s="369" t="n"/>
      <c r="M48" s="369" t="n"/>
      <c r="N48" s="369" t="n"/>
      <c r="O48" s="369" t="n"/>
      <c r="P48" s="369" t="n"/>
      <c r="R48" s="369" t="n"/>
      <c r="S48" s="369" t="n"/>
      <c r="T48" s="369" t="n"/>
      <c r="U48" s="369" t="n"/>
      <c r="V48" s="369" t="n"/>
      <c r="W48" s="369" t="n"/>
    </row>
    <row r="49" ht="15" customHeight="1" s="226">
      <c r="A49" s="276" t="inlineStr">
        <is>
          <t>Северо-Кавказский федеральный округ</t>
        </is>
      </c>
      <c r="B49" s="376" t="n">
        <v>244530.6</v>
      </c>
      <c r="C49" s="275" t="n">
        <v>253712.5</v>
      </c>
      <c r="D49" s="275" t="n">
        <v>261010.9</v>
      </c>
      <c r="E49" s="275" t="n">
        <v>274376.2</v>
      </c>
      <c r="F49" s="275" t="n">
        <v>275650.4</v>
      </c>
      <c r="G49" s="275" t="n">
        <v>309589.4</v>
      </c>
      <c r="H49" s="254" t="n">
        <v>355199.5</v>
      </c>
      <c r="I49" s="254" t="n">
        <v>399776.5</v>
      </c>
      <c r="L49" s="369" t="n"/>
      <c r="M49" s="369" t="n"/>
      <c r="N49" s="369" t="n"/>
      <c r="O49" s="369" t="n"/>
      <c r="P49" s="369" t="n"/>
      <c r="R49" s="369" t="n"/>
      <c r="S49" s="369" t="n"/>
      <c r="T49" s="369" t="n"/>
      <c r="U49" s="369" t="n"/>
      <c r="V49" s="369" t="n"/>
      <c r="W49" s="369" t="n"/>
    </row>
    <row r="50" ht="15" customHeight="1" s="226">
      <c r="A50" s="268" t="inlineStr">
        <is>
          <t xml:space="preserve"> Республика Дагестан</t>
        </is>
      </c>
      <c r="B50" s="336" t="n">
        <v>295206.4</v>
      </c>
      <c r="C50" s="262" t="n">
        <v>298683.6</v>
      </c>
      <c r="D50" s="262" t="n">
        <v>286701.8</v>
      </c>
      <c r="E50" s="262" t="n">
        <v>308176.5</v>
      </c>
      <c r="F50" s="262" t="n">
        <v>307579.7</v>
      </c>
      <c r="G50" s="262" t="n">
        <v>333422.8</v>
      </c>
      <c r="H50" s="262" t="n">
        <v>391388.2</v>
      </c>
      <c r="I50" s="263" t="n">
        <v>423675.5</v>
      </c>
      <c r="L50" s="369" t="n"/>
      <c r="M50" s="369" t="n"/>
      <c r="N50" s="369" t="n"/>
      <c r="O50" s="369" t="n"/>
      <c r="P50" s="369" t="n"/>
      <c r="R50" s="369" t="n"/>
      <c r="S50" s="369" t="n"/>
      <c r="T50" s="369" t="n"/>
      <c r="U50" s="369" t="n"/>
      <c r="V50" s="369" t="n"/>
      <c r="W50" s="369" t="n"/>
    </row>
    <row r="51" ht="15" customHeight="1" s="226">
      <c r="A51" s="268" t="inlineStr">
        <is>
          <t xml:space="preserve"> Республика Ингушетия</t>
        </is>
      </c>
      <c r="B51" s="336" t="n">
        <v>104985</v>
      </c>
      <c r="C51" s="262" t="n">
        <v>114527.4</v>
      </c>
      <c r="D51" s="262" t="n">
        <v>124296.2</v>
      </c>
      <c r="E51" s="262" t="n">
        <v>129091.3</v>
      </c>
      <c r="F51" s="262" t="n">
        <v>129941.9</v>
      </c>
      <c r="G51" s="262" t="n">
        <v>138501.7</v>
      </c>
      <c r="H51" s="262" t="n">
        <v>164102.7</v>
      </c>
      <c r="I51" s="263" t="n">
        <v>186788.8</v>
      </c>
      <c r="L51" s="369" t="n"/>
      <c r="M51" s="369" t="n"/>
      <c r="N51" s="369" t="n"/>
      <c r="O51" s="369" t="n"/>
      <c r="P51" s="369" t="n"/>
      <c r="R51" s="369" t="n"/>
      <c r="S51" s="369" t="n"/>
      <c r="T51" s="369" t="n"/>
      <c r="U51" s="369" t="n"/>
      <c r="V51" s="369" t="n"/>
      <c r="W51" s="369" t="n"/>
    </row>
    <row r="52" ht="15" customHeight="1" s="226">
      <c r="A52" s="268" t="inlineStr">
        <is>
          <t xml:space="preserve"> Кабардино-Балкарская Республика</t>
        </is>
      </c>
      <c r="B52" s="336" t="n">
        <v>208343.7</v>
      </c>
      <c r="C52" s="262" t="n">
        <v>218470.4</v>
      </c>
      <c r="D52" s="262" t="n">
        <v>228929.3</v>
      </c>
      <c r="E52" s="262" t="n">
        <v>240979.1</v>
      </c>
      <c r="F52" s="262" t="n">
        <v>246211.3</v>
      </c>
      <c r="G52" s="262" t="n">
        <v>318575.8</v>
      </c>
      <c r="H52" s="262" t="n">
        <v>398660.2</v>
      </c>
      <c r="I52" s="263" t="n">
        <v>457896.6</v>
      </c>
      <c r="L52" s="369" t="n"/>
      <c r="M52" s="369" t="n"/>
      <c r="N52" s="369" t="n"/>
      <c r="O52" s="369" t="n"/>
      <c r="P52" s="369" t="n"/>
      <c r="R52" s="369" t="n"/>
      <c r="S52" s="369" t="n"/>
      <c r="T52" s="369" t="n"/>
      <c r="U52" s="369" t="n"/>
      <c r="V52" s="369" t="n"/>
      <c r="W52" s="369" t="n"/>
    </row>
    <row r="53" ht="15" customHeight="1" s="226">
      <c r="A53" s="268" t="inlineStr">
        <is>
          <t xml:space="preserve"> Карачаево-Черкесская Республика</t>
        </is>
      </c>
      <c r="B53" s="336" t="n">
        <v>150577.9</v>
      </c>
      <c r="C53" s="262" t="n">
        <v>153598.9</v>
      </c>
      <c r="D53" s="262" t="n">
        <v>167400.5</v>
      </c>
      <c r="E53" s="262" t="n">
        <v>179004.8</v>
      </c>
      <c r="F53" s="262" t="n">
        <v>186195.6</v>
      </c>
      <c r="G53" s="262" t="n">
        <v>207162</v>
      </c>
      <c r="H53" s="262" t="n">
        <v>235394.4</v>
      </c>
      <c r="I53" s="263" t="n">
        <v>272331.3</v>
      </c>
      <c r="L53" s="369" t="n"/>
      <c r="M53" s="369" t="n"/>
      <c r="N53" s="369" t="n"/>
      <c r="O53" s="369" t="n"/>
      <c r="P53" s="369" t="n"/>
      <c r="R53" s="369" t="n"/>
      <c r="S53" s="369" t="n"/>
      <c r="T53" s="369" t="n"/>
      <c r="U53" s="369" t="n"/>
      <c r="V53" s="369" t="n"/>
      <c r="W53" s="369" t="n"/>
    </row>
    <row r="54" ht="15" customHeight="1" s="226">
      <c r="A54" s="268" t="inlineStr">
        <is>
          <t xml:space="preserve"> Республика Северная Осетия - Алания</t>
        </is>
      </c>
      <c r="B54" s="336" t="n">
        <v>259104.4</v>
      </c>
      <c r="C54" s="262" t="n">
        <v>271217.3</v>
      </c>
      <c r="D54" s="262" t="n">
        <v>292708.4</v>
      </c>
      <c r="E54" s="262" t="n">
        <v>301592</v>
      </c>
      <c r="F54" s="262" t="n">
        <v>307261.2</v>
      </c>
      <c r="G54" s="262" t="n">
        <v>339116.3</v>
      </c>
      <c r="H54" s="262" t="n">
        <v>384736.2</v>
      </c>
      <c r="I54" s="263" t="n">
        <v>445366.1</v>
      </c>
      <c r="L54" s="369" t="n"/>
      <c r="M54" s="369" t="n"/>
      <c r="N54" s="369" t="n"/>
      <c r="O54" s="369" t="n"/>
      <c r="P54" s="369" t="n"/>
      <c r="R54" s="369" t="n"/>
      <c r="S54" s="369" t="n"/>
      <c r="T54" s="369" t="n"/>
      <c r="U54" s="369" t="n"/>
      <c r="V54" s="369" t="n"/>
      <c r="W54" s="369" t="n"/>
    </row>
    <row r="55" ht="15" customHeight="1" s="226">
      <c r="A55" s="268" t="inlineStr">
        <is>
          <t xml:space="preserve"> Чеченская Республика</t>
        </is>
      </c>
      <c r="B55" s="336" t="n">
        <v>201982.2</v>
      </c>
      <c r="C55" s="262" t="n">
        <v>213422.2</v>
      </c>
      <c r="D55" s="262" t="n">
        <v>228160.2</v>
      </c>
      <c r="E55" s="262" t="n">
        <v>237926.2</v>
      </c>
      <c r="F55" s="262" t="n">
        <v>249090.3</v>
      </c>
      <c r="G55" s="262" t="n">
        <v>265768</v>
      </c>
      <c r="H55" s="262" t="n">
        <v>305613.6</v>
      </c>
      <c r="I55" s="263" t="n">
        <v>329984.2</v>
      </c>
      <c r="L55" s="369" t="n"/>
      <c r="M55" s="369" t="n"/>
      <c r="N55" s="369" t="n"/>
      <c r="O55" s="369" t="n"/>
      <c r="P55" s="369" t="n"/>
      <c r="R55" s="369" t="n"/>
      <c r="S55" s="369" t="n"/>
      <c r="T55" s="369" t="n"/>
      <c r="U55" s="369" t="n"/>
      <c r="V55" s="369" t="n"/>
      <c r="W55" s="369" t="n"/>
    </row>
    <row r="56" ht="15" customHeight="1" s="226">
      <c r="A56" s="268" t="inlineStr">
        <is>
          <t xml:space="preserve"> Ставропольский край</t>
        </is>
      </c>
      <c r="B56" s="336" t="n">
        <v>257365.2</v>
      </c>
      <c r="C56" s="262" t="n">
        <v>271635</v>
      </c>
      <c r="D56" s="262" t="n">
        <v>290313.2</v>
      </c>
      <c r="E56" s="262" t="n">
        <v>300318.9</v>
      </c>
      <c r="F56" s="262" t="n">
        <v>295748.7</v>
      </c>
      <c r="G56" s="262" t="n">
        <v>342937.6</v>
      </c>
      <c r="H56" s="262" t="n">
        <v>374178.3</v>
      </c>
      <c r="I56" s="263" t="n">
        <v>440721.9</v>
      </c>
      <c r="L56" s="369" t="n"/>
      <c r="M56" s="369" t="n"/>
      <c r="N56" s="369" t="n"/>
      <c r="O56" s="369" t="n"/>
      <c r="P56" s="369" t="n"/>
      <c r="R56" s="369" t="n"/>
      <c r="S56" s="369" t="n"/>
      <c r="T56" s="369" t="n"/>
      <c r="U56" s="369" t="n"/>
      <c r="V56" s="369" t="n"/>
      <c r="W56" s="369" t="n"/>
    </row>
    <row r="57" ht="15" customHeight="1" s="226">
      <c r="A57" s="276" t="inlineStr">
        <is>
          <t>Приволжский федеральный округ</t>
        </is>
      </c>
      <c r="B57" s="376" t="n">
        <v>280921.6</v>
      </c>
      <c r="C57" s="275" t="n">
        <v>294426.8</v>
      </c>
      <c r="D57" s="275" t="n">
        <v>316044</v>
      </c>
      <c r="E57" s="275" t="n">
        <v>331311.3</v>
      </c>
      <c r="F57" s="275" t="n">
        <v>339357.8</v>
      </c>
      <c r="G57" s="275" t="n">
        <v>391537.8</v>
      </c>
      <c r="H57" s="254" t="n">
        <v>447417.4</v>
      </c>
      <c r="I57" s="254" t="n">
        <v>504105.9</v>
      </c>
      <c r="L57" s="369" t="n"/>
      <c r="M57" s="369" t="n"/>
      <c r="N57" s="369" t="n"/>
      <c r="O57" s="369" t="n"/>
      <c r="P57" s="369" t="n"/>
      <c r="R57" s="369" t="n"/>
      <c r="S57" s="369" t="n"/>
      <c r="T57" s="369" t="n"/>
      <c r="U57" s="369" t="n"/>
      <c r="V57" s="369" t="n"/>
      <c r="W57" s="369" t="n"/>
    </row>
    <row r="58" ht="15" customHeight="1" s="226">
      <c r="A58" s="277" t="inlineStr">
        <is>
          <t xml:space="preserve"> Республика Башкортостан</t>
        </is>
      </c>
      <c r="B58" s="336" t="n">
        <v>303438.1</v>
      </c>
      <c r="C58" s="262" t="n">
        <v>315940.8</v>
      </c>
      <c r="D58" s="262" t="n">
        <v>335064.7</v>
      </c>
      <c r="E58" s="262" t="n">
        <v>352697</v>
      </c>
      <c r="F58" s="262" t="n">
        <v>355858</v>
      </c>
      <c r="G58" s="262" t="n">
        <v>396484.8</v>
      </c>
      <c r="H58" s="262" t="n">
        <v>449893.1</v>
      </c>
      <c r="I58" s="263" t="n">
        <v>506997.3</v>
      </c>
      <c r="L58" s="369" t="n"/>
      <c r="M58" s="369" t="n"/>
      <c r="N58" s="369" t="n"/>
      <c r="O58" s="369" t="n"/>
      <c r="P58" s="369" t="n"/>
      <c r="R58" s="369" t="n"/>
      <c r="S58" s="369" t="n"/>
      <c r="T58" s="369" t="n"/>
      <c r="U58" s="369" t="n"/>
      <c r="V58" s="369" t="n"/>
      <c r="W58" s="369" t="n"/>
    </row>
    <row r="59" ht="15" customHeight="1" s="226">
      <c r="A59" s="277" t="inlineStr">
        <is>
          <t xml:space="preserve"> Республика Марий Эл</t>
        </is>
      </c>
      <c r="B59" s="336" t="n">
        <v>203861.4</v>
      </c>
      <c r="C59" s="262" t="n">
        <v>211484.7</v>
      </c>
      <c r="D59" s="262" t="n">
        <v>226839.9</v>
      </c>
      <c r="E59" s="262" t="n">
        <v>239306</v>
      </c>
      <c r="F59" s="262" t="n">
        <v>242912.5</v>
      </c>
      <c r="G59" s="262" t="n">
        <v>282775.5</v>
      </c>
      <c r="H59" s="262" t="n">
        <v>310265.4</v>
      </c>
      <c r="I59" s="263" t="n">
        <v>353697</v>
      </c>
      <c r="L59" s="369" t="n"/>
      <c r="M59" s="369" t="n"/>
      <c r="N59" s="369" t="n"/>
      <c r="O59" s="369" t="n"/>
      <c r="P59" s="369" t="n"/>
      <c r="R59" s="369" t="n"/>
      <c r="S59" s="369" t="n"/>
      <c r="T59" s="369" t="n"/>
      <c r="U59" s="369" t="n"/>
      <c r="V59" s="369" t="n"/>
      <c r="W59" s="369" t="n"/>
    </row>
    <row r="60" ht="15" customHeight="1" s="226">
      <c r="A60" s="277" t="inlineStr">
        <is>
          <t xml:space="preserve"> Республика Мордовия</t>
        </is>
      </c>
      <c r="B60" s="336" t="n">
        <v>193803.7</v>
      </c>
      <c r="C60" s="262" t="n">
        <v>201981.6</v>
      </c>
      <c r="D60" s="262" t="n">
        <v>215993.1</v>
      </c>
      <c r="E60" s="262" t="n">
        <v>228829.8</v>
      </c>
      <c r="F60" s="262" t="n">
        <v>240538.4</v>
      </c>
      <c r="G60" s="262" t="n">
        <v>278527.5</v>
      </c>
      <c r="H60" s="262" t="n">
        <v>324283.6</v>
      </c>
      <c r="I60" s="263" t="n">
        <v>405390.1</v>
      </c>
      <c r="L60" s="369" t="n"/>
      <c r="M60" s="369" t="n"/>
      <c r="N60" s="369" t="n"/>
      <c r="O60" s="369" t="n"/>
      <c r="P60" s="369" t="n"/>
      <c r="R60" s="369" t="n"/>
      <c r="S60" s="369" t="n"/>
      <c r="T60" s="369" t="n"/>
      <c r="U60" s="369" t="n"/>
      <c r="V60" s="369" t="n"/>
      <c r="W60" s="369" t="n"/>
    </row>
    <row r="61" ht="15" customHeight="1" s="226">
      <c r="A61" s="277" t="inlineStr">
        <is>
          <t xml:space="preserve"> Республика Татарстан (Татарстан)</t>
        </is>
      </c>
      <c r="B61" s="336" t="n">
        <v>341695.9</v>
      </c>
      <c r="C61" s="262" t="n">
        <v>359979.4</v>
      </c>
      <c r="D61" s="262" t="n">
        <v>389586.3</v>
      </c>
      <c r="E61" s="262" t="n">
        <v>398645.4</v>
      </c>
      <c r="F61" s="262" t="n">
        <v>401778.3</v>
      </c>
      <c r="G61" s="262" t="n">
        <v>481912.7</v>
      </c>
      <c r="H61" s="262" t="n">
        <v>562038.6</v>
      </c>
      <c r="I61" s="263" t="n">
        <v>632378.1</v>
      </c>
      <c r="L61" s="369" t="n"/>
      <c r="M61" s="369" t="n"/>
      <c r="N61" s="369" t="n"/>
      <c r="O61" s="369" t="n"/>
      <c r="P61" s="369" t="n"/>
      <c r="R61" s="369" t="n"/>
      <c r="S61" s="369" t="n"/>
      <c r="T61" s="369" t="n"/>
      <c r="U61" s="369" t="n"/>
      <c r="V61" s="369" t="n"/>
      <c r="W61" s="369" t="n"/>
    </row>
    <row r="62" ht="15" customHeight="1" s="226">
      <c r="A62" s="277" t="inlineStr">
        <is>
          <t xml:space="preserve"> Удмуртская Республика</t>
        </is>
      </c>
      <c r="B62" s="336" t="n">
        <v>249045.7</v>
      </c>
      <c r="C62" s="262" t="n">
        <v>262375.6</v>
      </c>
      <c r="D62" s="262" t="n">
        <v>279654.9</v>
      </c>
      <c r="E62" s="262" t="n">
        <v>295971.3</v>
      </c>
      <c r="F62" s="262" t="n">
        <v>307121.1</v>
      </c>
      <c r="G62" s="262" t="n">
        <v>354645.1</v>
      </c>
      <c r="H62" s="262" t="n">
        <v>402103.8</v>
      </c>
      <c r="I62" s="263" t="n">
        <v>449692.7</v>
      </c>
      <c r="L62" s="369" t="n"/>
      <c r="M62" s="369" t="n"/>
      <c r="N62" s="369" t="n"/>
      <c r="O62" s="369" t="n"/>
      <c r="P62" s="369" t="n"/>
      <c r="R62" s="369" t="n"/>
      <c r="S62" s="369" t="n"/>
      <c r="T62" s="369" t="n"/>
      <c r="U62" s="369" t="n"/>
      <c r="V62" s="369" t="n"/>
      <c r="W62" s="369" t="n"/>
    </row>
    <row r="63" ht="15" customHeight="1" s="226">
      <c r="A63" s="277" t="inlineStr">
        <is>
          <t xml:space="preserve"> Чувашская Республика - Чувашия</t>
        </is>
      </c>
      <c r="B63" s="336" t="n">
        <v>209292.3</v>
      </c>
      <c r="C63" s="262" t="n">
        <v>214012.3</v>
      </c>
      <c r="D63" s="262" t="n">
        <v>230580.2</v>
      </c>
      <c r="E63" s="262" t="n">
        <v>245572.7</v>
      </c>
      <c r="F63" s="262" t="n">
        <v>261109.2</v>
      </c>
      <c r="G63" s="262" t="n">
        <v>312253.2</v>
      </c>
      <c r="H63" s="262" t="n">
        <v>369386</v>
      </c>
      <c r="I63" s="263" t="n">
        <v>426766.2</v>
      </c>
      <c r="L63" s="369" t="n"/>
      <c r="M63" s="369" t="n"/>
      <c r="N63" s="369" t="n"/>
      <c r="O63" s="369" t="n"/>
      <c r="P63" s="369" t="n"/>
      <c r="R63" s="369" t="n"/>
      <c r="S63" s="369" t="n"/>
      <c r="T63" s="369" t="n"/>
      <c r="U63" s="369" t="n"/>
      <c r="V63" s="369" t="n"/>
      <c r="W63" s="369" t="n"/>
    </row>
    <row r="64" ht="15" customHeight="1" s="226">
      <c r="A64" s="268" t="inlineStr">
        <is>
          <t xml:space="preserve"> Пермский край</t>
        </is>
      </c>
      <c r="B64" s="336" t="n">
        <v>304289.7</v>
      </c>
      <c r="C64" s="262" t="n">
        <v>317855.1</v>
      </c>
      <c r="D64" s="262" t="n">
        <v>343435.7</v>
      </c>
      <c r="E64" s="262" t="n">
        <v>356042.6</v>
      </c>
      <c r="F64" s="262" t="n">
        <v>359534.4</v>
      </c>
      <c r="G64" s="262" t="n">
        <v>411557.6</v>
      </c>
      <c r="H64" s="262" t="n">
        <v>453055.2</v>
      </c>
      <c r="I64" s="263" t="n">
        <v>489939.1</v>
      </c>
      <c r="L64" s="369" t="n"/>
      <c r="M64" s="369" t="n"/>
      <c r="N64" s="369" t="n"/>
      <c r="O64" s="369" t="n"/>
      <c r="P64" s="369" t="n"/>
      <c r="R64" s="369" t="n"/>
      <c r="S64" s="369" t="n"/>
      <c r="T64" s="369" t="n"/>
      <c r="U64" s="369" t="n"/>
      <c r="V64" s="369" t="n"/>
      <c r="W64" s="369" t="n"/>
    </row>
    <row r="65" ht="15" customHeight="1" s="226">
      <c r="A65" s="268" t="inlineStr">
        <is>
          <t xml:space="preserve"> Кировская область</t>
        </is>
      </c>
      <c r="B65" s="336" t="n">
        <v>241163.8</v>
      </c>
      <c r="C65" s="262" t="n">
        <v>257748.4</v>
      </c>
      <c r="D65" s="262" t="n">
        <v>277171.4</v>
      </c>
      <c r="E65" s="262" t="n">
        <v>293371.1</v>
      </c>
      <c r="F65" s="262" t="n">
        <v>309016.5</v>
      </c>
      <c r="G65" s="262" t="n">
        <v>357967.4</v>
      </c>
      <c r="H65" s="262" t="n">
        <v>412776.3</v>
      </c>
      <c r="I65" s="263" t="n">
        <v>453480.4</v>
      </c>
      <c r="L65" s="369" t="n"/>
      <c r="M65" s="369" t="n"/>
      <c r="N65" s="369" t="n"/>
      <c r="O65" s="369" t="n"/>
      <c r="P65" s="369" t="n"/>
      <c r="R65" s="369" t="n"/>
      <c r="S65" s="369" t="n"/>
      <c r="T65" s="369" t="n"/>
      <c r="U65" s="369" t="n"/>
      <c r="V65" s="369" t="n"/>
      <c r="W65" s="369" t="n"/>
    </row>
    <row r="66" ht="15" customHeight="1" s="226">
      <c r="A66" s="268" t="inlineStr">
        <is>
          <t xml:space="preserve"> Нижегородская область</t>
        </is>
      </c>
      <c r="B66" s="336" t="n">
        <v>330908.2</v>
      </c>
      <c r="C66" s="262" t="n">
        <v>352679.3</v>
      </c>
      <c r="D66" s="262" t="n">
        <v>377135.3</v>
      </c>
      <c r="E66" s="262" t="n">
        <v>401038.1</v>
      </c>
      <c r="F66" s="262" t="n">
        <v>401404.6</v>
      </c>
      <c r="G66" s="262" t="n">
        <v>474987.7</v>
      </c>
      <c r="H66" s="262" t="n">
        <v>543164.5</v>
      </c>
      <c r="I66" s="263" t="n">
        <v>612424.9</v>
      </c>
      <c r="L66" s="369" t="n"/>
      <c r="M66" s="369" t="n"/>
      <c r="N66" s="369" t="n"/>
      <c r="O66" s="369" t="n"/>
      <c r="P66" s="369" t="n"/>
      <c r="R66" s="369" t="n"/>
      <c r="S66" s="369" t="n"/>
      <c r="T66" s="369" t="n"/>
      <c r="U66" s="369" t="n"/>
      <c r="V66" s="369" t="n"/>
      <c r="W66" s="369" t="n"/>
    </row>
    <row r="67" ht="15" customHeight="1" s="226">
      <c r="A67" s="268" t="inlineStr">
        <is>
          <t xml:space="preserve"> Оренбургская область</t>
        </is>
      </c>
      <c r="B67" s="336" t="n">
        <v>251713.2</v>
      </c>
      <c r="C67" s="262" t="n">
        <v>266559.6</v>
      </c>
      <c r="D67" s="262" t="n">
        <v>287510.4</v>
      </c>
      <c r="E67" s="262" t="n">
        <v>305274.8</v>
      </c>
      <c r="F67" s="262" t="n">
        <v>316281.6</v>
      </c>
      <c r="G67" s="262" t="n">
        <v>358689.3</v>
      </c>
      <c r="H67" s="262" t="n">
        <v>397631.2</v>
      </c>
      <c r="I67" s="263" t="n">
        <v>455308.9</v>
      </c>
      <c r="L67" s="369" t="n"/>
      <c r="M67" s="369" t="n"/>
      <c r="N67" s="369" t="n"/>
      <c r="O67" s="369" t="n"/>
      <c r="P67" s="369" t="n"/>
      <c r="R67" s="369" t="n"/>
      <c r="S67" s="369" t="n"/>
      <c r="T67" s="369" t="n"/>
      <c r="U67" s="369" t="n"/>
      <c r="V67" s="369" t="n"/>
      <c r="W67" s="369" t="n"/>
    </row>
    <row r="68" ht="15" customHeight="1" s="226">
      <c r="A68" s="268" t="inlineStr">
        <is>
          <t xml:space="preserve"> Пензенская область</t>
        </is>
      </c>
      <c r="B68" s="336" t="n">
        <v>232258.3</v>
      </c>
      <c r="C68" s="262" t="n">
        <v>244523.2</v>
      </c>
      <c r="D68" s="262" t="n">
        <v>264324.9</v>
      </c>
      <c r="E68" s="262" t="n">
        <v>268566.7</v>
      </c>
      <c r="F68" s="262" t="n">
        <v>284344.2</v>
      </c>
      <c r="G68" s="262" t="n">
        <v>321918.4</v>
      </c>
      <c r="H68" s="262" t="n">
        <v>359989.2</v>
      </c>
      <c r="I68" s="263" t="n">
        <v>402435.5</v>
      </c>
      <c r="L68" s="369" t="n"/>
      <c r="M68" s="369" t="n"/>
      <c r="N68" s="369" t="n"/>
      <c r="O68" s="369" t="n"/>
      <c r="P68" s="369" t="n"/>
      <c r="R68" s="369" t="n"/>
      <c r="S68" s="369" t="n"/>
      <c r="T68" s="369" t="n"/>
      <c r="U68" s="369" t="n"/>
      <c r="V68" s="369" t="n"/>
      <c r="W68" s="369" t="n"/>
    </row>
    <row r="69" ht="15" customHeight="1" s="226">
      <c r="A69" s="268" t="inlineStr">
        <is>
          <t xml:space="preserve"> Самарская область</t>
        </is>
      </c>
      <c r="B69" s="336" t="n">
        <v>310408.4</v>
      </c>
      <c r="C69" s="262" t="n">
        <v>318294.7</v>
      </c>
      <c r="D69" s="262" t="n">
        <v>339269</v>
      </c>
      <c r="E69" s="262" t="n">
        <v>354359</v>
      </c>
      <c r="F69" s="262" t="n">
        <v>359187</v>
      </c>
      <c r="G69" s="262" t="n">
        <v>409969.4</v>
      </c>
      <c r="H69" s="262" t="n">
        <v>462412.3</v>
      </c>
      <c r="I69" s="263" t="n">
        <v>532250.3</v>
      </c>
      <c r="L69" s="369" t="n"/>
      <c r="M69" s="369" t="n"/>
      <c r="N69" s="369" t="n"/>
      <c r="O69" s="369" t="n"/>
      <c r="P69" s="369" t="n"/>
      <c r="R69" s="369" t="n"/>
      <c r="S69" s="369" t="n"/>
      <c r="T69" s="369" t="n"/>
      <c r="U69" s="369" t="n"/>
      <c r="V69" s="369" t="n"/>
      <c r="W69" s="369" t="n"/>
    </row>
    <row r="70" ht="15" customHeight="1" s="226">
      <c r="A70" s="277" t="inlineStr">
        <is>
          <t xml:space="preserve"> Саратовская область</t>
        </is>
      </c>
      <c r="B70" s="336" t="n">
        <v>217061.3</v>
      </c>
      <c r="C70" s="262" t="n">
        <v>226253.3</v>
      </c>
      <c r="D70" s="262" t="n">
        <v>243184.5</v>
      </c>
      <c r="E70" s="262" t="n">
        <v>259187.9</v>
      </c>
      <c r="F70" s="262" t="n">
        <v>281327.3</v>
      </c>
      <c r="G70" s="262" t="n">
        <v>316806.4</v>
      </c>
      <c r="H70" s="262" t="n">
        <v>383197.3</v>
      </c>
      <c r="I70" s="263" t="n">
        <v>424079.2</v>
      </c>
      <c r="L70" s="369" t="n"/>
      <c r="M70" s="369" t="n"/>
      <c r="N70" s="369" t="n"/>
      <c r="O70" s="369" t="n"/>
      <c r="P70" s="369" t="n"/>
      <c r="R70" s="369" t="n"/>
      <c r="S70" s="369" t="n"/>
      <c r="T70" s="369" t="n"/>
      <c r="U70" s="369" t="n"/>
      <c r="V70" s="369" t="n"/>
      <c r="W70" s="369" t="n"/>
    </row>
    <row r="71" ht="15" customHeight="1" s="226">
      <c r="A71" s="277" t="inlineStr">
        <is>
          <t xml:space="preserve"> Ульяновская область</t>
        </is>
      </c>
      <c r="B71" s="336" t="n">
        <v>235006.1</v>
      </c>
      <c r="C71" s="262" t="n">
        <v>247529.9</v>
      </c>
      <c r="D71" s="262" t="n">
        <v>267680.4</v>
      </c>
      <c r="E71" s="262" t="n">
        <v>282821.2</v>
      </c>
      <c r="F71" s="262" t="n">
        <v>298596.7</v>
      </c>
      <c r="G71" s="262" t="n">
        <v>333138.2</v>
      </c>
      <c r="H71" s="262" t="n">
        <v>376250</v>
      </c>
      <c r="I71" s="263" t="n">
        <v>418966</v>
      </c>
      <c r="L71" s="369" t="n"/>
      <c r="M71" s="369" t="n"/>
      <c r="N71" s="369" t="n"/>
      <c r="O71" s="369" t="n"/>
      <c r="P71" s="369" t="n"/>
      <c r="R71" s="369" t="n"/>
      <c r="S71" s="369" t="n"/>
      <c r="T71" s="369" t="n"/>
      <c r="U71" s="369" t="n"/>
      <c r="V71" s="369" t="n"/>
      <c r="W71" s="369" t="n"/>
    </row>
    <row r="72" ht="15" customHeight="1" s="226">
      <c r="A72" s="267" t="inlineStr">
        <is>
          <t>Уральский федеральный округ</t>
        </is>
      </c>
      <c r="B72" s="376" t="n">
        <v>346646.2</v>
      </c>
      <c r="C72" s="275" t="n">
        <v>362658.5</v>
      </c>
      <c r="D72" s="275" t="n">
        <v>390671.9</v>
      </c>
      <c r="E72" s="275" t="n">
        <v>404759.3</v>
      </c>
      <c r="F72" s="275" t="n">
        <v>409604.9</v>
      </c>
      <c r="G72" s="275" t="n">
        <v>470598.4</v>
      </c>
      <c r="H72" s="254" t="n">
        <v>517495.7</v>
      </c>
      <c r="I72" s="254" t="n">
        <v>581280</v>
      </c>
      <c r="L72" s="369" t="n"/>
      <c r="M72" s="369" t="n"/>
      <c r="N72" s="369" t="n"/>
      <c r="O72" s="369" t="n"/>
      <c r="P72" s="369" t="n"/>
      <c r="R72" s="369" t="n"/>
      <c r="S72" s="369" t="n"/>
      <c r="T72" s="369" t="n"/>
      <c r="U72" s="369" t="n"/>
      <c r="V72" s="369" t="n"/>
      <c r="W72" s="369" t="n"/>
    </row>
    <row r="73" ht="15" customHeight="1" s="226">
      <c r="A73" s="278" t="inlineStr">
        <is>
          <t xml:space="preserve"> Курганская область</t>
        </is>
      </c>
      <c r="B73" s="336" t="n">
        <v>218660.4</v>
      </c>
      <c r="C73" s="262" t="n">
        <v>227497.9</v>
      </c>
      <c r="D73" s="262" t="n">
        <v>246562.2</v>
      </c>
      <c r="E73" s="262" t="n">
        <v>264588.6</v>
      </c>
      <c r="F73" s="262" t="n">
        <v>269584.5</v>
      </c>
      <c r="G73" s="262" t="n">
        <v>297449.7</v>
      </c>
      <c r="H73" s="262" t="n">
        <v>343108</v>
      </c>
      <c r="I73" s="263" t="n">
        <v>382673.8</v>
      </c>
      <c r="L73" s="369" t="n"/>
      <c r="M73" s="369" t="n"/>
      <c r="N73" s="369" t="n"/>
      <c r="O73" s="369" t="n"/>
      <c r="P73" s="369" t="n"/>
      <c r="R73" s="369" t="n"/>
      <c r="S73" s="369" t="n"/>
      <c r="T73" s="369" t="n"/>
      <c r="U73" s="369" t="n"/>
      <c r="V73" s="369" t="n"/>
      <c r="W73" s="369" t="n"/>
    </row>
    <row r="74" ht="15" customHeight="1" s="226">
      <c r="A74" s="278" t="inlineStr">
        <is>
          <t xml:space="preserve"> Свердловская область</t>
        </is>
      </c>
      <c r="B74" s="336" t="n">
        <v>391093.1</v>
      </c>
      <c r="C74" s="262" t="n">
        <v>405983.1</v>
      </c>
      <c r="D74" s="262" t="n">
        <v>431854.4</v>
      </c>
      <c r="E74" s="262" t="n">
        <v>454807</v>
      </c>
      <c r="F74" s="262" t="n">
        <v>435576.5</v>
      </c>
      <c r="G74" s="262" t="n">
        <v>502441.4</v>
      </c>
      <c r="H74" s="262" t="n">
        <v>561730</v>
      </c>
      <c r="I74" s="263" t="n">
        <v>626362.3</v>
      </c>
      <c r="L74" s="369" t="n"/>
      <c r="M74" s="369" t="n"/>
      <c r="N74" s="369" t="n"/>
      <c r="O74" s="369" t="n"/>
      <c r="P74" s="369" t="n"/>
      <c r="R74" s="369" t="n"/>
      <c r="S74" s="369" t="n"/>
      <c r="T74" s="369" t="n"/>
      <c r="U74" s="369" t="n"/>
      <c r="V74" s="369" t="n"/>
      <c r="W74" s="369" t="n"/>
    </row>
    <row r="75" ht="15" customHeight="1" s="226">
      <c r="A75" s="278" t="inlineStr">
        <is>
          <t xml:space="preserve"> Тюменская область</t>
        </is>
      </c>
      <c r="B75" s="336" t="n">
        <v>419287</v>
      </c>
      <c r="C75" s="262" t="n">
        <v>444860.2</v>
      </c>
      <c r="D75" s="262" t="n">
        <v>483099.6</v>
      </c>
      <c r="E75" s="262" t="n">
        <v>489655</v>
      </c>
      <c r="F75" s="262" t="n">
        <v>502729.1</v>
      </c>
      <c r="G75" s="262" t="n">
        <v>577552.8</v>
      </c>
      <c r="H75" s="262" t="n">
        <v>599736.5</v>
      </c>
      <c r="I75" s="263" t="n">
        <v>673402.5</v>
      </c>
      <c r="L75" s="369" t="n"/>
      <c r="M75" s="369" t="n"/>
      <c r="N75" s="369" t="n"/>
      <c r="O75" s="369" t="n"/>
      <c r="P75" s="369" t="n"/>
      <c r="R75" s="369" t="n"/>
      <c r="S75" s="369" t="n"/>
      <c r="T75" s="369" t="n"/>
      <c r="U75" s="369" t="n"/>
      <c r="V75" s="369" t="n"/>
      <c r="W75" s="369" t="n"/>
    </row>
    <row r="76" ht="15" customHeight="1" s="226">
      <c r="A76" s="268" t="inlineStr">
        <is>
          <t xml:space="preserve"> в т.ч. Ханты-Мансийский АО-Югра</t>
        </is>
      </c>
      <c r="B76" s="336" t="n">
        <v>433693.3</v>
      </c>
      <c r="C76" s="262" t="n">
        <v>464971.7</v>
      </c>
      <c r="D76" s="262" t="n">
        <v>502858.5</v>
      </c>
      <c r="E76" s="262" t="n">
        <v>511138.3</v>
      </c>
      <c r="F76" s="262" t="n">
        <v>516191.5</v>
      </c>
      <c r="G76" s="262" t="n">
        <v>577139.8</v>
      </c>
      <c r="H76" s="262" t="n">
        <v>601529.1</v>
      </c>
      <c r="I76" s="263" t="n">
        <v>651110.4</v>
      </c>
      <c r="L76" s="369" t="n"/>
      <c r="M76" s="369" t="n"/>
      <c r="N76" s="369" t="n"/>
      <c r="O76" s="369" t="n"/>
      <c r="P76" s="369" t="n"/>
      <c r="R76" s="369" t="n"/>
      <c r="S76" s="369" t="n"/>
      <c r="T76" s="369" t="n"/>
      <c r="U76" s="369" t="n"/>
      <c r="V76" s="369" t="n"/>
      <c r="W76" s="369" t="n"/>
    </row>
    <row r="77" ht="15" customHeight="1" s="226">
      <c r="A77" s="268" t="inlineStr">
        <is>
          <t xml:space="preserve">          Ямало-Ненецкий АО</t>
        </is>
      </c>
      <c r="B77" s="336" t="n">
        <v>488464.8</v>
      </c>
      <c r="C77" s="262" t="n">
        <v>529620.2</v>
      </c>
      <c r="D77" s="262" t="n">
        <v>602110.3</v>
      </c>
      <c r="E77" s="262" t="n">
        <v>609808.9</v>
      </c>
      <c r="F77" s="262" t="n">
        <v>629467.6</v>
      </c>
      <c r="G77" s="262" t="n">
        <v>693916.3</v>
      </c>
      <c r="H77" s="262" t="n">
        <v>750518.9</v>
      </c>
      <c r="I77" s="263" t="n">
        <v>851988</v>
      </c>
      <c r="L77" s="369" t="n"/>
      <c r="M77" s="369" t="n"/>
      <c r="N77" s="369" t="n"/>
      <c r="O77" s="369" t="n"/>
      <c r="P77" s="369" t="n"/>
      <c r="R77" s="369" t="n"/>
      <c r="S77" s="369" t="n"/>
      <c r="T77" s="369" t="n"/>
      <c r="U77" s="369" t="n"/>
      <c r="V77" s="369" t="n"/>
      <c r="W77" s="369" t="n"/>
    </row>
    <row r="78" ht="30.75" customHeight="1" s="226">
      <c r="A78" s="268" t="inlineStr">
        <is>
          <t>Тюменская область (кроме Ханты-Мансийского АО-Югры и Ямало-Ненецкого АО)</t>
        </is>
      </c>
      <c r="B78" s="336" t="n">
        <v>379602.3</v>
      </c>
      <c r="C78" s="262" t="n">
        <v>394319.1</v>
      </c>
      <c r="D78" s="262" t="n">
        <v>422349.1</v>
      </c>
      <c r="E78" s="262" t="n">
        <v>427523.4</v>
      </c>
      <c r="F78" s="262" t="n">
        <v>447601.7</v>
      </c>
      <c r="G78" s="262" t="n">
        <v>540810.6</v>
      </c>
      <c r="H78" s="262" t="n">
        <v>549748.6</v>
      </c>
      <c r="I78" s="263" t="n">
        <v>640568.7</v>
      </c>
      <c r="L78" s="369" t="n"/>
      <c r="M78" s="369" t="n"/>
      <c r="N78" s="369" t="n"/>
      <c r="O78" s="369" t="n"/>
      <c r="P78" s="369" t="n"/>
      <c r="R78" s="369" t="n"/>
      <c r="S78" s="369" t="n"/>
      <c r="T78" s="369" t="n"/>
      <c r="U78" s="369" t="n"/>
      <c r="V78" s="369" t="n"/>
      <c r="W78" s="369" t="n"/>
    </row>
    <row r="79" ht="15" customHeight="1" s="226">
      <c r="A79" s="278" t="inlineStr">
        <is>
          <t xml:space="preserve"> Челябинская область</t>
        </is>
      </c>
      <c r="B79" s="336" t="n">
        <v>246832</v>
      </c>
      <c r="C79" s="262" t="n">
        <v>254538.3</v>
      </c>
      <c r="D79" s="262" t="n">
        <v>274768.9</v>
      </c>
      <c r="E79" s="262" t="n">
        <v>283312.9</v>
      </c>
      <c r="F79" s="262" t="n">
        <v>307518.4</v>
      </c>
      <c r="G79" s="262" t="n">
        <v>351544.9</v>
      </c>
      <c r="H79" s="262" t="n">
        <v>409108.7</v>
      </c>
      <c r="I79" s="263" t="n">
        <v>464582.1</v>
      </c>
      <c r="L79" s="369" t="n"/>
      <c r="M79" s="369" t="n"/>
      <c r="N79" s="369" t="n"/>
      <c r="O79" s="369" t="n"/>
      <c r="P79" s="369" t="n"/>
      <c r="R79" s="369" t="n"/>
      <c r="S79" s="369" t="n"/>
      <c r="T79" s="369" t="n"/>
      <c r="U79" s="369" t="n"/>
      <c r="V79" s="369" t="n"/>
      <c r="W79" s="369" t="n"/>
    </row>
    <row r="80" ht="15" customHeight="1" s="226">
      <c r="A80" s="279" t="inlineStr">
        <is>
          <t>Сибирский федеральный округ</t>
        </is>
      </c>
      <c r="B80" s="370" t="n">
        <v>254709.5</v>
      </c>
      <c r="C80" s="254" t="n">
        <v>267293.9</v>
      </c>
      <c r="D80" s="254" t="n">
        <v>290141.1</v>
      </c>
      <c r="E80" s="254" t="n">
        <v>308345</v>
      </c>
      <c r="F80" s="254" t="n">
        <v>319428.8</v>
      </c>
      <c r="G80" s="254" t="n">
        <v>372645.2</v>
      </c>
      <c r="H80" s="254" t="n">
        <v>432148.3</v>
      </c>
      <c r="I80" s="254" t="n">
        <v>497309.1</v>
      </c>
      <c r="L80" s="369" t="n"/>
      <c r="M80" s="369" t="n"/>
      <c r="N80" s="369" t="n"/>
      <c r="O80" s="369" t="n"/>
      <c r="P80" s="369" t="n"/>
      <c r="R80" s="369" t="n"/>
      <c r="S80" s="369" t="n"/>
      <c r="T80" s="369" t="n"/>
      <c r="U80" s="369" t="n"/>
      <c r="V80" s="369" t="n"/>
      <c r="W80" s="369" t="n"/>
    </row>
    <row r="81" ht="15" customHeight="1" s="226">
      <c r="A81" s="278" t="inlineStr">
        <is>
          <t xml:space="preserve"> Республика Алтай</t>
        </is>
      </c>
      <c r="B81" s="336" t="n">
        <v>210098.5</v>
      </c>
      <c r="C81" s="262" t="n">
        <v>220457</v>
      </c>
      <c r="D81" s="262" t="n">
        <v>246549.6</v>
      </c>
      <c r="E81" s="262" t="n">
        <v>265248.8</v>
      </c>
      <c r="F81" s="262" t="n">
        <v>290381.6</v>
      </c>
      <c r="G81" s="262" t="n">
        <v>332777.2</v>
      </c>
      <c r="H81" s="262" t="n">
        <v>404148.9</v>
      </c>
      <c r="I81" s="263" t="n">
        <v>452587.6</v>
      </c>
      <c r="L81" s="369" t="n"/>
      <c r="M81" s="369" t="n"/>
      <c r="N81" s="369" t="n"/>
      <c r="O81" s="369" t="n"/>
      <c r="P81" s="369" t="n"/>
      <c r="R81" s="369" t="n"/>
      <c r="S81" s="369" t="n"/>
      <c r="T81" s="369" t="n"/>
      <c r="U81" s="369" t="n"/>
      <c r="V81" s="369" t="n"/>
      <c r="W81" s="369" t="n"/>
    </row>
    <row r="82" ht="15" customHeight="1" s="226">
      <c r="A82" s="278" t="inlineStr">
        <is>
          <t xml:space="preserve"> Республика Тыва</t>
        </is>
      </c>
      <c r="B82" s="336" t="n">
        <v>153542.2</v>
      </c>
      <c r="C82" s="262" t="n">
        <v>160265.1</v>
      </c>
      <c r="D82" s="262" t="n">
        <v>174252.5</v>
      </c>
      <c r="E82" s="262" t="n">
        <v>196323.1</v>
      </c>
      <c r="F82" s="262" t="n">
        <v>210880.7</v>
      </c>
      <c r="G82" s="262" t="n">
        <v>231086.5</v>
      </c>
      <c r="H82" s="262" t="n">
        <v>283382.3</v>
      </c>
      <c r="I82" s="263" t="n">
        <v>337572.7</v>
      </c>
      <c r="L82" s="369" t="n"/>
      <c r="M82" s="369" t="n"/>
      <c r="N82" s="369" t="n"/>
      <c r="O82" s="369" t="n"/>
      <c r="P82" s="369" t="n"/>
      <c r="R82" s="369" t="n"/>
      <c r="S82" s="369" t="n"/>
      <c r="T82" s="369" t="n"/>
      <c r="U82" s="369" t="n"/>
      <c r="V82" s="369" t="n"/>
      <c r="W82" s="369" t="n"/>
    </row>
    <row r="83" ht="15" customHeight="1" s="226">
      <c r="A83" s="278" t="inlineStr">
        <is>
          <t xml:space="preserve"> Республика Хакасия</t>
        </is>
      </c>
      <c r="B83" s="336" t="n">
        <v>244173.7</v>
      </c>
      <c r="C83" s="262" t="n">
        <v>255595.3</v>
      </c>
      <c r="D83" s="262" t="n">
        <v>274506.6</v>
      </c>
      <c r="E83" s="262" t="n">
        <v>285620.9</v>
      </c>
      <c r="F83" s="262" t="n">
        <v>305384.8</v>
      </c>
      <c r="G83" s="262" t="n">
        <v>341831.2</v>
      </c>
      <c r="H83" s="262" t="n">
        <v>377754.1</v>
      </c>
      <c r="I83" s="263" t="n">
        <v>437415.2</v>
      </c>
      <c r="L83" s="369" t="n"/>
      <c r="M83" s="369" t="n"/>
      <c r="N83" s="369" t="n"/>
      <c r="O83" s="369" t="n"/>
      <c r="P83" s="369" t="n"/>
      <c r="R83" s="369" t="n"/>
      <c r="S83" s="369" t="n"/>
      <c r="T83" s="369" t="n"/>
      <c r="U83" s="369" t="n"/>
      <c r="V83" s="369" t="n"/>
      <c r="W83" s="369" t="n"/>
    </row>
    <row r="84" ht="15" customHeight="1" s="226">
      <c r="A84" s="278" t="inlineStr">
        <is>
          <t xml:space="preserve"> Алтайский край</t>
        </is>
      </c>
      <c r="B84" s="336" t="n">
        <v>231849.4</v>
      </c>
      <c r="C84" s="262" t="n">
        <v>241125.3</v>
      </c>
      <c r="D84" s="262" t="n">
        <v>260436.2</v>
      </c>
      <c r="E84" s="262" t="n">
        <v>268833.9</v>
      </c>
      <c r="F84" s="262" t="n">
        <v>273518.4</v>
      </c>
      <c r="G84" s="262" t="n">
        <v>317262.4</v>
      </c>
      <c r="H84" s="262" t="n">
        <v>375319.7</v>
      </c>
      <c r="I84" s="263" t="n">
        <v>417237.1</v>
      </c>
      <c r="L84" s="369" t="n"/>
      <c r="M84" s="369" t="n"/>
      <c r="N84" s="369" t="n"/>
      <c r="O84" s="369" t="n"/>
      <c r="P84" s="369" t="n"/>
      <c r="R84" s="369" t="n"/>
      <c r="S84" s="369" t="n"/>
      <c r="T84" s="369" t="n"/>
      <c r="U84" s="369" t="n"/>
      <c r="V84" s="369" t="n"/>
      <c r="W84" s="369" t="n"/>
    </row>
    <row r="85" ht="15" customHeight="1" s="226">
      <c r="A85" s="278" t="inlineStr">
        <is>
          <t xml:space="preserve"> Красноярский край</t>
        </is>
      </c>
      <c r="B85" s="336" t="n">
        <v>309547.2</v>
      </c>
      <c r="C85" s="262" t="n">
        <v>316572.5</v>
      </c>
      <c r="D85" s="262" t="n">
        <v>340805.1</v>
      </c>
      <c r="E85" s="262" t="n">
        <v>367377.7</v>
      </c>
      <c r="F85" s="262" t="n">
        <v>373693.6</v>
      </c>
      <c r="G85" s="262" t="n">
        <v>432207.1</v>
      </c>
      <c r="H85" s="262" t="n">
        <v>490620.9</v>
      </c>
      <c r="I85" s="263" t="n">
        <v>556338</v>
      </c>
      <c r="L85" s="369" t="n"/>
      <c r="M85" s="369" t="n"/>
      <c r="N85" s="369" t="n"/>
      <c r="O85" s="369" t="n"/>
      <c r="P85" s="369" t="n"/>
      <c r="R85" s="369" t="n"/>
      <c r="S85" s="369" t="n"/>
      <c r="T85" s="369" t="n"/>
      <c r="U85" s="369" t="n"/>
      <c r="V85" s="369" t="n"/>
      <c r="W85" s="369" t="n"/>
    </row>
    <row r="86" ht="15" customHeight="1" s="226">
      <c r="A86" s="278" t="inlineStr">
        <is>
          <t xml:space="preserve"> Иркутская область</t>
        </is>
      </c>
      <c r="B86" s="336" t="n">
        <v>233493</v>
      </c>
      <c r="C86" s="262" t="n">
        <v>251814.5</v>
      </c>
      <c r="D86" s="262" t="n">
        <v>276625.6</v>
      </c>
      <c r="E86" s="262" t="n">
        <v>302946.8</v>
      </c>
      <c r="F86" s="262" t="n">
        <v>317659.1</v>
      </c>
      <c r="G86" s="262" t="n">
        <v>382007.3</v>
      </c>
      <c r="H86" s="262" t="n">
        <v>439273.3</v>
      </c>
      <c r="I86" s="263" t="n">
        <v>505528</v>
      </c>
      <c r="L86" s="369" t="n"/>
      <c r="M86" s="369" t="n"/>
      <c r="N86" s="369" t="n"/>
      <c r="O86" s="369" t="n"/>
      <c r="P86" s="369" t="n"/>
      <c r="R86" s="369" t="n"/>
      <c r="S86" s="369" t="n"/>
      <c r="T86" s="369" t="n"/>
      <c r="U86" s="369" t="n"/>
      <c r="V86" s="369" t="n"/>
      <c r="W86" s="369" t="n"/>
    </row>
    <row r="87" ht="15" customHeight="1" s="226">
      <c r="A87" s="278" t="inlineStr">
        <is>
          <t xml:space="preserve"> Кемеровская область</t>
        </is>
      </c>
      <c r="B87" s="336" t="n">
        <v>221302.1</v>
      </c>
      <c r="C87" s="262" t="n">
        <v>231295.7</v>
      </c>
      <c r="D87" s="262" t="n">
        <v>253991.1</v>
      </c>
      <c r="E87" s="262" t="n">
        <v>274088</v>
      </c>
      <c r="F87" s="262" t="n">
        <v>286034.7</v>
      </c>
      <c r="G87" s="262" t="n">
        <v>324405.8</v>
      </c>
      <c r="H87" s="262" t="n">
        <v>385749.2</v>
      </c>
      <c r="I87" s="263" t="n">
        <v>442805.4</v>
      </c>
      <c r="L87" s="369" t="n"/>
      <c r="M87" s="369" t="n"/>
      <c r="N87" s="369" t="n"/>
      <c r="O87" s="369" t="n"/>
      <c r="P87" s="369" t="n"/>
      <c r="R87" s="369" t="n"/>
      <c r="S87" s="369" t="n"/>
      <c r="T87" s="369" t="n"/>
      <c r="U87" s="369" t="n"/>
      <c r="V87" s="369" t="n"/>
      <c r="W87" s="369" t="n"/>
    </row>
    <row r="88" ht="15" customHeight="1" s="226">
      <c r="A88" s="278" t="inlineStr">
        <is>
          <t xml:space="preserve"> Новосибирская область</t>
        </is>
      </c>
      <c r="B88" s="336" t="n">
        <v>283080.3</v>
      </c>
      <c r="C88" s="262" t="n">
        <v>298484.1</v>
      </c>
      <c r="D88" s="262" t="n">
        <v>326455.5</v>
      </c>
      <c r="E88" s="262" t="n">
        <v>327879.6</v>
      </c>
      <c r="F88" s="262" t="n">
        <v>340927.5</v>
      </c>
      <c r="G88" s="262" t="n">
        <v>405139.5</v>
      </c>
      <c r="H88" s="262" t="n">
        <v>477403.7</v>
      </c>
      <c r="I88" s="263" t="n">
        <v>574377.8</v>
      </c>
      <c r="L88" s="369" t="n"/>
      <c r="M88" s="369" t="n"/>
      <c r="N88" s="369" t="n"/>
      <c r="O88" s="369" t="n"/>
      <c r="P88" s="369" t="n"/>
      <c r="R88" s="369" t="n"/>
      <c r="S88" s="369" t="n"/>
      <c r="T88" s="369" t="n"/>
      <c r="U88" s="369" t="n"/>
      <c r="V88" s="369" t="n"/>
      <c r="W88" s="369" t="n"/>
    </row>
    <row r="89" ht="15" customHeight="1" s="226">
      <c r="A89" s="278" t="inlineStr">
        <is>
          <t xml:space="preserve"> Омская область</t>
        </is>
      </c>
      <c r="B89" s="336" t="n">
        <v>256815.2</v>
      </c>
      <c r="C89" s="262" t="n">
        <v>274629.3</v>
      </c>
      <c r="D89" s="262" t="n">
        <v>291833.8</v>
      </c>
      <c r="E89" s="262" t="n">
        <v>320691.5</v>
      </c>
      <c r="F89" s="262" t="n">
        <v>332716.6</v>
      </c>
      <c r="G89" s="262" t="n">
        <v>389330.8</v>
      </c>
      <c r="H89" s="262" t="n">
        <v>440607.3</v>
      </c>
      <c r="I89" s="263" t="n">
        <v>502078.9</v>
      </c>
      <c r="L89" s="369" t="n"/>
      <c r="M89" s="369" t="n"/>
      <c r="N89" s="369" t="n"/>
      <c r="O89" s="369" t="n"/>
      <c r="P89" s="369" t="n"/>
      <c r="R89" s="369" t="n"/>
      <c r="S89" s="369" t="n"/>
      <c r="T89" s="369" t="n"/>
      <c r="U89" s="369" t="n"/>
      <c r="V89" s="369" t="n"/>
      <c r="W89" s="369" t="n"/>
    </row>
    <row r="90" ht="15" customHeight="1" s="226">
      <c r="A90" s="278" t="inlineStr">
        <is>
          <t xml:space="preserve"> Томская область</t>
        </is>
      </c>
      <c r="B90" s="337" t="n">
        <v>255898.1</v>
      </c>
      <c r="C90" s="270" t="n">
        <v>268739.5</v>
      </c>
      <c r="D90" s="270" t="n">
        <v>290963.4</v>
      </c>
      <c r="E90" s="270" t="n">
        <v>310424.3</v>
      </c>
      <c r="F90" s="270" t="n">
        <v>321546.5</v>
      </c>
      <c r="G90" s="270" t="n">
        <v>376287.7</v>
      </c>
      <c r="H90" s="270" t="n">
        <v>432934.8</v>
      </c>
      <c r="I90" s="271" t="n">
        <v>490980.8</v>
      </c>
      <c r="L90" s="369" t="n"/>
      <c r="M90" s="369" t="n"/>
      <c r="N90" s="369" t="n"/>
      <c r="O90" s="369" t="n"/>
      <c r="P90" s="369" t="n"/>
      <c r="R90" s="369" t="n"/>
      <c r="S90" s="369" t="n"/>
      <c r="T90" s="369" t="n"/>
      <c r="U90" s="369" t="n"/>
      <c r="V90" s="369" t="n"/>
      <c r="W90" s="369" t="n"/>
    </row>
    <row r="91" ht="15" customHeight="1" s="226">
      <c r="A91" s="279" t="inlineStr">
        <is>
          <t>Дальневосточный федеральный округ</t>
        </is>
      </c>
      <c r="B91" s="376" t="n">
        <v>350563.8</v>
      </c>
      <c r="C91" s="275" t="n">
        <v>371500.5</v>
      </c>
      <c r="D91" s="275" t="n">
        <v>406636.7</v>
      </c>
      <c r="E91" s="275" t="n">
        <v>436159.7</v>
      </c>
      <c r="F91" s="275" t="n">
        <v>447909.2</v>
      </c>
      <c r="G91" s="275" t="n">
        <v>509818.8</v>
      </c>
      <c r="H91" s="254" t="n">
        <v>572109.1</v>
      </c>
      <c r="I91" s="254" t="n">
        <v>632207.7</v>
      </c>
      <c r="L91" s="369" t="n"/>
      <c r="M91" s="369" t="n"/>
      <c r="N91" s="369" t="n"/>
      <c r="O91" s="369" t="n"/>
      <c r="P91" s="369" t="n"/>
      <c r="R91" s="369" t="n"/>
      <c r="S91" s="369" t="n"/>
      <c r="T91" s="369" t="n"/>
      <c r="U91" s="369" t="n"/>
      <c r="V91" s="369" t="n"/>
      <c r="W91" s="369" t="n"/>
    </row>
    <row r="92" ht="15" customHeight="1" s="226">
      <c r="A92" s="278" t="inlineStr">
        <is>
          <t xml:space="preserve"> Республика Бурятия</t>
        </is>
      </c>
      <c r="B92" s="335" t="n">
        <v>275882.7</v>
      </c>
      <c r="C92" s="273" t="n">
        <v>282034.4</v>
      </c>
      <c r="D92" s="273" t="n">
        <v>299145.6</v>
      </c>
      <c r="E92" s="273" t="n">
        <v>321417.5</v>
      </c>
      <c r="F92" s="273" t="n">
        <v>341238.2</v>
      </c>
      <c r="G92" s="273" t="n">
        <v>387591.8</v>
      </c>
      <c r="H92" s="273" t="n">
        <v>424526.4</v>
      </c>
      <c r="I92" s="274" t="n">
        <v>477371.7</v>
      </c>
      <c r="L92" s="369" t="n"/>
      <c r="M92" s="369" t="n"/>
      <c r="N92" s="369" t="n"/>
      <c r="O92" s="369" t="n"/>
      <c r="P92" s="369" t="n"/>
      <c r="R92" s="369" t="n"/>
      <c r="S92" s="369" t="n"/>
      <c r="T92" s="369" t="n"/>
      <c r="U92" s="369" t="n"/>
      <c r="V92" s="369" t="n"/>
      <c r="W92" s="369" t="n"/>
    </row>
    <row r="93" ht="15" customHeight="1" s="226">
      <c r="A93" s="278" t="inlineStr">
        <is>
          <t xml:space="preserve"> Республика Саха (Якутия)</t>
        </is>
      </c>
      <c r="B93" s="336" t="n">
        <v>417588.6</v>
      </c>
      <c r="C93" s="262" t="n">
        <v>450011.9</v>
      </c>
      <c r="D93" s="262" t="n">
        <v>497101.4</v>
      </c>
      <c r="E93" s="262" t="n">
        <v>546940.1</v>
      </c>
      <c r="F93" s="262" t="n">
        <v>539463</v>
      </c>
      <c r="G93" s="262" t="n">
        <v>603145.5</v>
      </c>
      <c r="H93" s="262" t="n">
        <v>666552.6</v>
      </c>
      <c r="I93" s="263" t="n">
        <v>747274</v>
      </c>
      <c r="L93" s="369" t="n"/>
      <c r="M93" s="369" t="n"/>
      <c r="N93" s="369" t="n"/>
      <c r="O93" s="369" t="n"/>
      <c r="P93" s="369" t="n"/>
      <c r="R93" s="369" t="n"/>
      <c r="S93" s="369" t="n"/>
      <c r="T93" s="369" t="n"/>
      <c r="U93" s="369" t="n"/>
      <c r="V93" s="369" t="n"/>
      <c r="W93" s="369" t="n"/>
    </row>
    <row r="94" ht="15" customHeight="1" s="226">
      <c r="A94" s="278" t="inlineStr">
        <is>
          <t xml:space="preserve"> Забайкальский край</t>
        </is>
      </c>
      <c r="B94" s="336" t="n">
        <v>244349.6</v>
      </c>
      <c r="C94" s="262" t="n">
        <v>259209.6</v>
      </c>
      <c r="D94" s="262" t="n">
        <v>295716.3</v>
      </c>
      <c r="E94" s="262" t="n">
        <v>293609.6</v>
      </c>
      <c r="F94" s="262" t="n">
        <v>303736.4</v>
      </c>
      <c r="G94" s="262" t="n">
        <v>349729.1</v>
      </c>
      <c r="H94" s="262" t="n">
        <v>396702.5</v>
      </c>
      <c r="I94" s="263" t="n">
        <v>434815.3</v>
      </c>
      <c r="L94" s="369" t="n"/>
      <c r="M94" s="369" t="n"/>
      <c r="N94" s="369" t="n"/>
      <c r="O94" s="369" t="n"/>
      <c r="P94" s="369" t="n"/>
      <c r="R94" s="369" t="n"/>
      <c r="S94" s="369" t="n"/>
      <c r="T94" s="369" t="n"/>
      <c r="U94" s="369" t="n"/>
      <c r="V94" s="369" t="n"/>
      <c r="W94" s="369" t="n"/>
    </row>
    <row r="95" ht="15" customHeight="1" s="226">
      <c r="A95" s="278" t="inlineStr">
        <is>
          <t xml:space="preserve"> Камчатский край</t>
        </is>
      </c>
      <c r="B95" s="336" t="n">
        <v>423500.1</v>
      </c>
      <c r="C95" s="262" t="n">
        <v>449398.7</v>
      </c>
      <c r="D95" s="262" t="n">
        <v>475650.6</v>
      </c>
      <c r="E95" s="262" t="n">
        <v>520072.9</v>
      </c>
      <c r="F95" s="262" t="n">
        <v>536384.9</v>
      </c>
      <c r="G95" s="262" t="n">
        <v>605633.9</v>
      </c>
      <c r="H95" s="262" t="n">
        <v>693142.9</v>
      </c>
      <c r="I95" s="263" t="n">
        <v>777621.5</v>
      </c>
      <c r="L95" s="369" t="n"/>
      <c r="M95" s="369" t="n"/>
      <c r="N95" s="369" t="n"/>
      <c r="O95" s="369" t="n"/>
      <c r="P95" s="369" t="n"/>
      <c r="R95" s="369" t="n"/>
      <c r="S95" s="369" t="n"/>
      <c r="T95" s="369" t="n"/>
      <c r="U95" s="369" t="n"/>
      <c r="V95" s="369" t="n"/>
      <c r="W95" s="369" t="n"/>
    </row>
    <row r="96" ht="15" customHeight="1" s="226">
      <c r="A96" s="278" t="inlineStr">
        <is>
          <t xml:space="preserve"> Приморский край</t>
        </is>
      </c>
      <c r="B96" s="336" t="n">
        <v>327584.6</v>
      </c>
      <c r="C96" s="262" t="n">
        <v>349973.9</v>
      </c>
      <c r="D96" s="262" t="n">
        <v>385577.8</v>
      </c>
      <c r="E96" s="262" t="n">
        <v>420245.3</v>
      </c>
      <c r="F96" s="262" t="n">
        <v>418614.2</v>
      </c>
      <c r="G96" s="262" t="n">
        <v>503770.5</v>
      </c>
      <c r="H96" s="262" t="n">
        <v>582603.1</v>
      </c>
      <c r="I96" s="263" t="n">
        <v>644998.8</v>
      </c>
      <c r="L96" s="369" t="n"/>
      <c r="M96" s="369" t="n"/>
      <c r="N96" s="369" t="n"/>
      <c r="O96" s="369" t="n"/>
      <c r="P96" s="369" t="n"/>
      <c r="R96" s="369" t="n"/>
      <c r="S96" s="369" t="n"/>
      <c r="T96" s="369" t="n"/>
      <c r="U96" s="369" t="n"/>
      <c r="V96" s="369" t="n"/>
      <c r="W96" s="369" t="n"/>
    </row>
    <row r="97" ht="15" customHeight="1" s="226">
      <c r="A97" s="278" t="inlineStr">
        <is>
          <t xml:space="preserve"> Хабаровский край</t>
        </is>
      </c>
      <c r="B97" s="336" t="n">
        <v>408326.6</v>
      </c>
      <c r="C97" s="262" t="n">
        <v>430980.7</v>
      </c>
      <c r="D97" s="262" t="n">
        <v>465641.6</v>
      </c>
      <c r="E97" s="262" t="n">
        <v>487649.6</v>
      </c>
      <c r="F97" s="262" t="n">
        <v>500762</v>
      </c>
      <c r="G97" s="262" t="n">
        <v>568734.4</v>
      </c>
      <c r="H97" s="262" t="n">
        <v>619874.8</v>
      </c>
      <c r="I97" s="263" t="n">
        <v>675109.4</v>
      </c>
      <c r="L97" s="369" t="n"/>
      <c r="M97" s="369" t="n"/>
      <c r="N97" s="369" t="n"/>
      <c r="O97" s="369" t="n"/>
      <c r="P97" s="369" t="n"/>
      <c r="R97" s="369" t="n"/>
      <c r="S97" s="369" t="n"/>
      <c r="T97" s="369" t="n"/>
      <c r="U97" s="369" t="n"/>
      <c r="V97" s="369" t="n"/>
      <c r="W97" s="369" t="n"/>
    </row>
    <row r="98" ht="15" customHeight="1" s="226">
      <c r="A98" s="278" t="inlineStr">
        <is>
          <t xml:space="preserve"> Амурская область</t>
        </is>
      </c>
      <c r="B98" s="336" t="n">
        <v>324126.7</v>
      </c>
      <c r="C98" s="262" t="n">
        <v>339868.8</v>
      </c>
      <c r="D98" s="262" t="n">
        <v>369140.3</v>
      </c>
      <c r="E98" s="262" t="n">
        <v>405683.9</v>
      </c>
      <c r="F98" s="262" t="n">
        <v>443838</v>
      </c>
      <c r="G98" s="262" t="n">
        <v>499398.8</v>
      </c>
      <c r="H98" s="262" t="n">
        <v>566390.8</v>
      </c>
      <c r="I98" s="263" t="n">
        <v>621203.7</v>
      </c>
      <c r="L98" s="369" t="n"/>
      <c r="M98" s="369" t="n"/>
      <c r="N98" s="369" t="n"/>
      <c r="O98" s="369" t="n"/>
      <c r="P98" s="369" t="n"/>
      <c r="R98" s="369" t="n"/>
      <c r="S98" s="369" t="n"/>
      <c r="T98" s="369" t="n"/>
      <c r="U98" s="369" t="n"/>
      <c r="V98" s="369" t="n"/>
      <c r="W98" s="369" t="n"/>
    </row>
    <row r="99" ht="15" customHeight="1" s="226">
      <c r="A99" s="278" t="inlineStr">
        <is>
          <t xml:space="preserve"> Магаданская область</t>
        </is>
      </c>
      <c r="B99" s="336" t="n">
        <v>464552.3</v>
      </c>
      <c r="C99" s="262" t="n">
        <v>495504.9</v>
      </c>
      <c r="D99" s="262" t="n">
        <v>548959.3</v>
      </c>
      <c r="E99" s="262" t="n">
        <v>597671</v>
      </c>
      <c r="F99" s="262" t="n">
        <v>615385.2</v>
      </c>
      <c r="G99" s="262" t="n">
        <v>687444.4</v>
      </c>
      <c r="H99" s="262" t="n">
        <v>785915.6</v>
      </c>
      <c r="I99" s="263" t="n">
        <v>863283.6</v>
      </c>
      <c r="L99" s="369" t="n"/>
      <c r="M99" s="369" t="n"/>
      <c r="N99" s="369" t="n"/>
      <c r="O99" s="369" t="n"/>
      <c r="P99" s="369" t="n"/>
      <c r="R99" s="369" t="n"/>
      <c r="S99" s="369" t="n"/>
      <c r="T99" s="369" t="n"/>
      <c r="U99" s="369" t="n"/>
      <c r="V99" s="369" t="n"/>
      <c r="W99" s="369" t="n"/>
    </row>
    <row r="100" ht="15" customHeight="1" s="226">
      <c r="A100" s="278" t="inlineStr">
        <is>
          <t xml:space="preserve"> Сахалинская область</t>
        </is>
      </c>
      <c r="B100" s="336" t="n">
        <v>520707.8</v>
      </c>
      <c r="C100" s="262" t="n">
        <v>549653.7</v>
      </c>
      <c r="D100" s="262" t="n">
        <v>602079.9</v>
      </c>
      <c r="E100" s="262" t="n">
        <v>647650.5</v>
      </c>
      <c r="F100" s="262" t="n">
        <v>679644.9</v>
      </c>
      <c r="G100" s="262" t="n">
        <v>706283.2</v>
      </c>
      <c r="H100" s="262" t="n">
        <v>780976.5</v>
      </c>
      <c r="I100" s="263" t="n">
        <v>847503</v>
      </c>
      <c r="L100" s="369" t="n"/>
      <c r="M100" s="369" t="n"/>
      <c r="N100" s="369" t="n"/>
      <c r="O100" s="369" t="n"/>
      <c r="P100" s="369" t="n"/>
      <c r="R100" s="369" t="n"/>
      <c r="S100" s="369" t="n"/>
      <c r="T100" s="369" t="n"/>
      <c r="U100" s="369" t="n"/>
      <c r="V100" s="369" t="n"/>
      <c r="W100" s="369" t="n"/>
    </row>
    <row r="101" ht="15" customHeight="1" s="226">
      <c r="A101" s="278" t="inlineStr">
        <is>
          <t xml:space="preserve"> Еврейская автономная область</t>
        </is>
      </c>
      <c r="B101" s="336" t="n">
        <v>255190.2</v>
      </c>
      <c r="C101" s="262" t="n">
        <v>262674.8</v>
      </c>
      <c r="D101" s="262" t="n">
        <v>290014.7</v>
      </c>
      <c r="E101" s="262" t="n">
        <v>307065.2</v>
      </c>
      <c r="F101" s="262" t="n">
        <v>320675.6</v>
      </c>
      <c r="G101" s="262" t="n">
        <v>352136.1</v>
      </c>
      <c r="H101" s="262" t="n">
        <v>412128.9</v>
      </c>
      <c r="I101" s="263" t="n">
        <v>479398.5</v>
      </c>
      <c r="L101" s="369" t="n"/>
      <c r="M101" s="369" t="n"/>
      <c r="N101" s="369" t="n"/>
      <c r="O101" s="369" t="n"/>
      <c r="P101" s="369" t="n"/>
      <c r="R101" s="369" t="n"/>
      <c r="S101" s="369" t="n"/>
      <c r="T101" s="369" t="n"/>
      <c r="U101" s="369" t="n"/>
      <c r="V101" s="369" t="n"/>
      <c r="W101" s="369" t="n"/>
    </row>
    <row r="102" ht="15" customHeight="1" s="226">
      <c r="A102" s="278" t="inlineStr">
        <is>
          <t xml:space="preserve"> Чукотский автономный округ</t>
        </is>
      </c>
      <c r="B102" s="344" t="n">
        <v>454095.8</v>
      </c>
      <c r="C102" s="265" t="n">
        <v>539040</v>
      </c>
      <c r="D102" s="265" t="n">
        <v>591028.9</v>
      </c>
      <c r="E102" s="265" t="n">
        <v>639905.2</v>
      </c>
      <c r="F102" s="265" t="n">
        <v>696985.5</v>
      </c>
      <c r="G102" s="265" t="n">
        <v>739655.8</v>
      </c>
      <c r="H102" s="265" t="n">
        <v>805321.6</v>
      </c>
      <c r="I102" s="266" t="n">
        <v>873256</v>
      </c>
      <c r="L102" s="369" t="n"/>
      <c r="M102" s="369" t="n"/>
      <c r="N102" s="369" t="n"/>
      <c r="O102" s="369" t="n"/>
      <c r="P102" s="369" t="n"/>
      <c r="R102" s="369" t="n"/>
      <c r="S102" s="369" t="n"/>
      <c r="T102" s="369" t="n"/>
      <c r="U102" s="369" t="n"/>
      <c r="V102" s="369" t="n"/>
      <c r="W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</row>
    <row r="104" ht="21.75" customHeight="1" s="226">
      <c r="A104" s="357" t="n"/>
      <c r="F104" s="378" t="n"/>
      <c r="G104" s="359" t="n"/>
      <c r="H104" s="359" t="n"/>
    </row>
    <row r="105" ht="12.75" customHeight="1" s="226">
      <c r="G105" s="359" t="n"/>
      <c r="H105" s="359" t="n"/>
    </row>
  </sheetData>
  <mergeCells count="3">
    <mergeCell ref="A1:B2"/>
    <mergeCell ref="A104:E104"/>
    <mergeCell ref="A4:D4"/>
  </mergeCells>
  <conditionalFormatting sqref="A95 A104 B104:F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V10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6" topLeftCell="B67" activePane="bottomRight" state="frozen"/>
      <selection pane="topLeft" activeCell="A1" activeCellId="0" sqref="A1"/>
      <selection pane="topRight" activeCell="B1" activeCellId="0" sqref="B1"/>
      <selection pane="bottomLeft" activeCell="A67" activeCellId="0" sqref="A67"/>
      <selection pane="bottomRight" activeCell="A4" activeCellId="0" sqref="A4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33"/>
    <col width="9.140000000000001" customWidth="1" style="359" min="34" max="37"/>
    <col width="12.57" customWidth="1" style="359" min="38" max="38"/>
    <col width="9.140000000000001" customWidth="1" style="359" min="39" max="280"/>
    <col width="41.15" customWidth="1" style="359" min="281" max="281"/>
    <col width="9.289999999999999" customWidth="1" style="359" min="282" max="286"/>
    <col width="12.15" customWidth="1" style="359" min="287" max="288"/>
    <col width="10.85" customWidth="1" style="359" min="289" max="289"/>
    <col width="9.140000000000001" customWidth="1" style="359" min="290" max="536"/>
    <col width="41.15" customWidth="1" style="359" min="537" max="537"/>
    <col width="9.289999999999999" customWidth="1" style="359" min="538" max="542"/>
    <col width="12.15" customWidth="1" style="359" min="543" max="544"/>
    <col width="10.85" customWidth="1" style="359" min="545" max="545"/>
    <col width="9.140000000000001" customWidth="1" style="359" min="546" max="792"/>
    <col width="41.15" customWidth="1" style="359" min="793" max="793"/>
    <col width="9.289999999999999" customWidth="1" style="359" min="794" max="798"/>
    <col width="12.15" customWidth="1" style="359" min="799" max="800"/>
    <col width="10.85" customWidth="1" style="359" min="801" max="801"/>
    <col width="9.140000000000001" customWidth="1" style="359" min="802" max="1048"/>
    <col width="41.15" customWidth="1" style="359" min="1049" max="1049"/>
    <col width="9.289999999999999" customWidth="1" style="359" min="1050" max="1054"/>
    <col width="12.15" customWidth="1" style="359" min="1055" max="1056"/>
    <col width="10.85" customWidth="1" style="359" min="1057" max="1057"/>
    <col width="9.140000000000001" customWidth="1" style="359" min="1058" max="1304"/>
    <col width="41.15" customWidth="1" style="359" min="1305" max="1305"/>
    <col width="9.289999999999999" customWidth="1" style="359" min="1306" max="1310"/>
    <col width="12.15" customWidth="1" style="359" min="1311" max="1312"/>
    <col width="10.85" customWidth="1" style="359" min="1313" max="1313"/>
    <col width="9.140000000000001" customWidth="1" style="359" min="1314" max="1560"/>
    <col width="41.15" customWidth="1" style="359" min="1561" max="1561"/>
    <col width="9.289999999999999" customWidth="1" style="359" min="1562" max="1566"/>
    <col width="12.15" customWidth="1" style="359" min="1567" max="1568"/>
    <col width="10.85" customWidth="1" style="359" min="1569" max="1569"/>
    <col width="9.140000000000001" customWidth="1" style="359" min="1570" max="1816"/>
    <col width="41.15" customWidth="1" style="359" min="1817" max="1817"/>
    <col width="9.289999999999999" customWidth="1" style="359" min="1818" max="1822"/>
    <col width="12.15" customWidth="1" style="359" min="1823" max="1824"/>
    <col width="10.85" customWidth="1" style="359" min="1825" max="1825"/>
    <col width="9.140000000000001" customWidth="1" style="359" min="1826" max="2072"/>
    <col width="41.15" customWidth="1" style="359" min="2073" max="2073"/>
    <col width="9.289999999999999" customWidth="1" style="359" min="2074" max="2078"/>
    <col width="12.15" customWidth="1" style="359" min="2079" max="2080"/>
    <col width="10.85" customWidth="1" style="359" min="2081" max="2081"/>
    <col width="9.140000000000001" customWidth="1" style="359" min="2082" max="2328"/>
    <col width="41.15" customWidth="1" style="359" min="2329" max="2329"/>
    <col width="9.289999999999999" customWidth="1" style="359" min="2330" max="2334"/>
    <col width="12.15" customWidth="1" style="359" min="2335" max="2336"/>
    <col width="10.85" customWidth="1" style="359" min="2337" max="2337"/>
    <col width="9.140000000000001" customWidth="1" style="359" min="2338" max="2584"/>
    <col width="41.15" customWidth="1" style="359" min="2585" max="2585"/>
    <col width="9.289999999999999" customWidth="1" style="359" min="2586" max="2590"/>
    <col width="12.15" customWidth="1" style="359" min="2591" max="2592"/>
    <col width="10.85" customWidth="1" style="359" min="2593" max="2593"/>
    <col width="9.140000000000001" customWidth="1" style="359" min="2594" max="2840"/>
    <col width="41.15" customWidth="1" style="359" min="2841" max="2841"/>
    <col width="9.289999999999999" customWidth="1" style="359" min="2842" max="2846"/>
    <col width="12.15" customWidth="1" style="359" min="2847" max="2848"/>
    <col width="10.85" customWidth="1" style="359" min="2849" max="2849"/>
    <col width="9.140000000000001" customWidth="1" style="359" min="2850" max="3096"/>
    <col width="41.15" customWidth="1" style="359" min="3097" max="3097"/>
    <col width="9.289999999999999" customWidth="1" style="359" min="3098" max="3102"/>
    <col width="12.15" customWidth="1" style="359" min="3103" max="3104"/>
    <col width="10.85" customWidth="1" style="359" min="3105" max="3105"/>
    <col width="9.140000000000001" customWidth="1" style="359" min="3106" max="3352"/>
    <col width="41.15" customWidth="1" style="359" min="3353" max="3353"/>
    <col width="9.289999999999999" customWidth="1" style="359" min="3354" max="3358"/>
    <col width="12.15" customWidth="1" style="359" min="3359" max="3360"/>
    <col width="10.85" customWidth="1" style="359" min="3361" max="3361"/>
    <col width="9.140000000000001" customWidth="1" style="359" min="3362" max="3608"/>
    <col width="41.15" customWidth="1" style="359" min="3609" max="3609"/>
    <col width="9.289999999999999" customWidth="1" style="359" min="3610" max="3614"/>
    <col width="12.15" customWidth="1" style="359" min="3615" max="3616"/>
    <col width="10.85" customWidth="1" style="359" min="3617" max="3617"/>
    <col width="9.140000000000001" customWidth="1" style="359" min="3618" max="3864"/>
    <col width="41.15" customWidth="1" style="359" min="3865" max="3865"/>
    <col width="9.289999999999999" customWidth="1" style="359" min="3866" max="3870"/>
    <col width="12.15" customWidth="1" style="359" min="3871" max="3872"/>
    <col width="10.85" customWidth="1" style="359" min="3873" max="3873"/>
    <col width="9.140000000000001" customWidth="1" style="359" min="3874" max="4120"/>
    <col width="41.15" customWidth="1" style="359" min="4121" max="4121"/>
    <col width="9.289999999999999" customWidth="1" style="359" min="4122" max="4126"/>
    <col width="12.15" customWidth="1" style="359" min="4127" max="4128"/>
    <col width="10.85" customWidth="1" style="359" min="4129" max="4129"/>
    <col width="9.140000000000001" customWidth="1" style="359" min="4130" max="4376"/>
    <col width="41.15" customWidth="1" style="359" min="4377" max="4377"/>
    <col width="9.289999999999999" customWidth="1" style="359" min="4378" max="4382"/>
    <col width="12.15" customWidth="1" style="359" min="4383" max="4384"/>
    <col width="10.85" customWidth="1" style="359" min="4385" max="4385"/>
    <col width="9.140000000000001" customWidth="1" style="359" min="4386" max="4632"/>
    <col width="41.15" customWidth="1" style="359" min="4633" max="4633"/>
    <col width="9.289999999999999" customWidth="1" style="359" min="4634" max="4638"/>
    <col width="12.15" customWidth="1" style="359" min="4639" max="4640"/>
    <col width="10.85" customWidth="1" style="359" min="4641" max="4641"/>
    <col width="9.140000000000001" customWidth="1" style="359" min="4642" max="4888"/>
    <col width="41.15" customWidth="1" style="359" min="4889" max="4889"/>
    <col width="9.289999999999999" customWidth="1" style="359" min="4890" max="4894"/>
    <col width="12.15" customWidth="1" style="359" min="4895" max="4896"/>
    <col width="10.85" customWidth="1" style="359" min="4897" max="4897"/>
    <col width="9.140000000000001" customWidth="1" style="359" min="4898" max="5144"/>
    <col width="41.15" customWidth="1" style="359" min="5145" max="5145"/>
    <col width="9.289999999999999" customWidth="1" style="359" min="5146" max="5150"/>
    <col width="12.15" customWidth="1" style="359" min="5151" max="5152"/>
    <col width="10.85" customWidth="1" style="359" min="5153" max="5153"/>
    <col width="9.140000000000001" customWidth="1" style="359" min="5154" max="5400"/>
    <col width="41.15" customWidth="1" style="359" min="5401" max="5401"/>
    <col width="9.289999999999999" customWidth="1" style="359" min="5402" max="5406"/>
    <col width="12.15" customWidth="1" style="359" min="5407" max="5408"/>
    <col width="10.85" customWidth="1" style="359" min="5409" max="5409"/>
    <col width="9.140000000000001" customWidth="1" style="359" min="5410" max="5656"/>
    <col width="41.15" customWidth="1" style="359" min="5657" max="5657"/>
    <col width="9.289999999999999" customWidth="1" style="359" min="5658" max="5662"/>
    <col width="12.15" customWidth="1" style="359" min="5663" max="5664"/>
    <col width="10.85" customWidth="1" style="359" min="5665" max="5665"/>
    <col width="9.140000000000001" customWidth="1" style="359" min="5666" max="5912"/>
    <col width="41.15" customWidth="1" style="359" min="5913" max="5913"/>
    <col width="9.289999999999999" customWidth="1" style="359" min="5914" max="5918"/>
    <col width="12.15" customWidth="1" style="359" min="5919" max="5920"/>
    <col width="10.85" customWidth="1" style="359" min="5921" max="5921"/>
    <col width="9.140000000000001" customWidth="1" style="359" min="5922" max="6168"/>
    <col width="41.15" customWidth="1" style="359" min="6169" max="6169"/>
    <col width="9.289999999999999" customWidth="1" style="359" min="6170" max="6174"/>
    <col width="12.15" customWidth="1" style="359" min="6175" max="6176"/>
    <col width="10.85" customWidth="1" style="359" min="6177" max="6177"/>
    <col width="9.140000000000001" customWidth="1" style="359" min="6178" max="6424"/>
    <col width="41.15" customWidth="1" style="359" min="6425" max="6425"/>
    <col width="9.289999999999999" customWidth="1" style="359" min="6426" max="6430"/>
    <col width="12.15" customWidth="1" style="359" min="6431" max="6432"/>
    <col width="10.85" customWidth="1" style="359" min="6433" max="6433"/>
    <col width="9.140000000000001" customWidth="1" style="359" min="6434" max="6680"/>
    <col width="41.15" customWidth="1" style="359" min="6681" max="6681"/>
    <col width="9.289999999999999" customWidth="1" style="359" min="6682" max="6686"/>
    <col width="12.15" customWidth="1" style="359" min="6687" max="6688"/>
    <col width="10.85" customWidth="1" style="359" min="6689" max="6689"/>
    <col width="9.140000000000001" customWidth="1" style="359" min="6690" max="6936"/>
    <col width="41.15" customWidth="1" style="359" min="6937" max="6937"/>
    <col width="9.289999999999999" customWidth="1" style="359" min="6938" max="6942"/>
    <col width="12.15" customWidth="1" style="359" min="6943" max="6944"/>
    <col width="10.85" customWidth="1" style="359" min="6945" max="6945"/>
    <col width="9.140000000000001" customWidth="1" style="359" min="6946" max="7192"/>
    <col width="41.15" customWidth="1" style="359" min="7193" max="7193"/>
    <col width="9.289999999999999" customWidth="1" style="359" min="7194" max="7198"/>
    <col width="12.15" customWidth="1" style="359" min="7199" max="7200"/>
    <col width="10.85" customWidth="1" style="359" min="7201" max="7201"/>
    <col width="9.140000000000001" customWidth="1" style="359" min="7202" max="7448"/>
    <col width="41.15" customWidth="1" style="359" min="7449" max="7449"/>
    <col width="9.289999999999999" customWidth="1" style="359" min="7450" max="7454"/>
    <col width="12.15" customWidth="1" style="359" min="7455" max="7456"/>
    <col width="10.85" customWidth="1" style="359" min="7457" max="7457"/>
    <col width="9.140000000000001" customWidth="1" style="359" min="7458" max="7704"/>
    <col width="41.15" customWidth="1" style="359" min="7705" max="7705"/>
    <col width="9.289999999999999" customWidth="1" style="359" min="7706" max="7710"/>
    <col width="12.15" customWidth="1" style="359" min="7711" max="7712"/>
    <col width="10.85" customWidth="1" style="359" min="7713" max="7713"/>
    <col width="9.140000000000001" customWidth="1" style="359" min="7714" max="7960"/>
    <col width="41.15" customWidth="1" style="359" min="7961" max="7961"/>
    <col width="9.289999999999999" customWidth="1" style="359" min="7962" max="7966"/>
    <col width="12.15" customWidth="1" style="359" min="7967" max="7968"/>
    <col width="10.85" customWidth="1" style="359" min="7969" max="7969"/>
    <col width="9.140000000000001" customWidth="1" style="359" min="7970" max="8216"/>
    <col width="41.15" customWidth="1" style="359" min="8217" max="8217"/>
    <col width="9.289999999999999" customWidth="1" style="359" min="8218" max="8222"/>
    <col width="12.15" customWidth="1" style="359" min="8223" max="8224"/>
    <col width="10.85" customWidth="1" style="359" min="8225" max="8225"/>
    <col width="9.140000000000001" customWidth="1" style="359" min="8226" max="8472"/>
    <col width="41.15" customWidth="1" style="359" min="8473" max="8473"/>
    <col width="9.289999999999999" customWidth="1" style="359" min="8474" max="8478"/>
    <col width="12.15" customWidth="1" style="359" min="8479" max="8480"/>
    <col width="10.85" customWidth="1" style="359" min="8481" max="8481"/>
    <col width="9.140000000000001" customWidth="1" style="359" min="8482" max="8728"/>
    <col width="41.15" customWidth="1" style="359" min="8729" max="8729"/>
    <col width="9.289999999999999" customWidth="1" style="359" min="8730" max="8734"/>
    <col width="12.15" customWidth="1" style="359" min="8735" max="8736"/>
    <col width="10.85" customWidth="1" style="359" min="8737" max="8737"/>
    <col width="9.140000000000001" customWidth="1" style="359" min="8738" max="8984"/>
    <col width="41.15" customWidth="1" style="359" min="8985" max="8985"/>
    <col width="9.289999999999999" customWidth="1" style="359" min="8986" max="8990"/>
    <col width="12.15" customWidth="1" style="359" min="8991" max="8992"/>
    <col width="10.85" customWidth="1" style="359" min="8993" max="8993"/>
    <col width="9.140000000000001" customWidth="1" style="359" min="8994" max="9240"/>
    <col width="41.15" customWidth="1" style="359" min="9241" max="9241"/>
    <col width="9.289999999999999" customWidth="1" style="359" min="9242" max="9246"/>
    <col width="12.15" customWidth="1" style="359" min="9247" max="9248"/>
    <col width="10.85" customWidth="1" style="359" min="9249" max="9249"/>
    <col width="9.140000000000001" customWidth="1" style="359" min="9250" max="9496"/>
    <col width="41.15" customWidth="1" style="359" min="9497" max="9497"/>
    <col width="9.289999999999999" customWidth="1" style="359" min="9498" max="9502"/>
    <col width="12.15" customWidth="1" style="359" min="9503" max="9504"/>
    <col width="10.85" customWidth="1" style="359" min="9505" max="9505"/>
    <col width="9.140000000000001" customWidth="1" style="359" min="9506" max="9752"/>
    <col width="41.15" customWidth="1" style="359" min="9753" max="9753"/>
    <col width="9.289999999999999" customWidth="1" style="359" min="9754" max="9758"/>
    <col width="12.15" customWidth="1" style="359" min="9759" max="9760"/>
    <col width="10.85" customWidth="1" style="359" min="9761" max="9761"/>
    <col width="9.140000000000001" customWidth="1" style="359" min="9762" max="10008"/>
    <col width="41.15" customWidth="1" style="359" min="10009" max="10009"/>
    <col width="9.289999999999999" customWidth="1" style="359" min="10010" max="10014"/>
    <col width="12.15" customWidth="1" style="359" min="10015" max="10016"/>
    <col width="10.85" customWidth="1" style="359" min="10017" max="10017"/>
    <col width="9.140000000000001" customWidth="1" style="359" min="10018" max="10264"/>
    <col width="41.15" customWidth="1" style="359" min="10265" max="10265"/>
    <col width="9.289999999999999" customWidth="1" style="359" min="10266" max="10270"/>
    <col width="12.15" customWidth="1" style="359" min="10271" max="10272"/>
    <col width="10.85" customWidth="1" style="359" min="10273" max="10273"/>
    <col width="9.140000000000001" customWidth="1" style="359" min="10274" max="10520"/>
    <col width="41.15" customWidth="1" style="359" min="10521" max="10521"/>
    <col width="9.289999999999999" customWidth="1" style="359" min="10522" max="10526"/>
    <col width="12.15" customWidth="1" style="359" min="10527" max="10528"/>
    <col width="10.85" customWidth="1" style="359" min="10529" max="10529"/>
    <col width="9.140000000000001" customWidth="1" style="359" min="10530" max="10776"/>
    <col width="41.15" customWidth="1" style="359" min="10777" max="10777"/>
    <col width="9.289999999999999" customWidth="1" style="359" min="10778" max="10782"/>
    <col width="12.15" customWidth="1" style="359" min="10783" max="10784"/>
    <col width="10.85" customWidth="1" style="359" min="10785" max="10785"/>
    <col width="9.140000000000001" customWidth="1" style="359" min="10786" max="11032"/>
    <col width="41.15" customWidth="1" style="359" min="11033" max="11033"/>
    <col width="9.289999999999999" customWidth="1" style="359" min="11034" max="11038"/>
    <col width="12.15" customWidth="1" style="359" min="11039" max="11040"/>
    <col width="10.85" customWidth="1" style="359" min="11041" max="11041"/>
    <col width="9.140000000000001" customWidth="1" style="359" min="11042" max="11288"/>
    <col width="41.15" customWidth="1" style="359" min="11289" max="11289"/>
    <col width="9.289999999999999" customWidth="1" style="359" min="11290" max="11294"/>
    <col width="12.15" customWidth="1" style="359" min="11295" max="11296"/>
    <col width="10.85" customWidth="1" style="359" min="11297" max="11297"/>
    <col width="9.140000000000001" customWidth="1" style="359" min="11298" max="11544"/>
    <col width="41.15" customWidth="1" style="359" min="11545" max="11545"/>
    <col width="9.289999999999999" customWidth="1" style="359" min="11546" max="11550"/>
    <col width="12.15" customWidth="1" style="359" min="11551" max="11552"/>
    <col width="10.85" customWidth="1" style="359" min="11553" max="11553"/>
    <col width="9.140000000000001" customWidth="1" style="359" min="11554" max="11800"/>
    <col width="41.15" customWidth="1" style="359" min="11801" max="11801"/>
    <col width="9.289999999999999" customWidth="1" style="359" min="11802" max="11806"/>
    <col width="12.15" customWidth="1" style="359" min="11807" max="11808"/>
    <col width="10.85" customWidth="1" style="359" min="11809" max="11809"/>
    <col width="9.140000000000001" customWidth="1" style="359" min="11810" max="12056"/>
    <col width="41.15" customWidth="1" style="359" min="12057" max="12057"/>
    <col width="9.289999999999999" customWidth="1" style="359" min="12058" max="12062"/>
    <col width="12.15" customWidth="1" style="359" min="12063" max="12064"/>
    <col width="10.85" customWidth="1" style="359" min="12065" max="12065"/>
    <col width="9.140000000000001" customWidth="1" style="359" min="12066" max="12312"/>
    <col width="41.15" customWidth="1" style="359" min="12313" max="12313"/>
    <col width="9.289999999999999" customWidth="1" style="359" min="12314" max="12318"/>
    <col width="12.15" customWidth="1" style="359" min="12319" max="12320"/>
    <col width="10.85" customWidth="1" style="359" min="12321" max="12321"/>
    <col width="9.140000000000001" customWidth="1" style="359" min="12322" max="12568"/>
    <col width="41.15" customWidth="1" style="359" min="12569" max="12569"/>
    <col width="9.289999999999999" customWidth="1" style="359" min="12570" max="12574"/>
    <col width="12.15" customWidth="1" style="359" min="12575" max="12576"/>
    <col width="10.85" customWidth="1" style="359" min="12577" max="12577"/>
    <col width="9.140000000000001" customWidth="1" style="359" min="12578" max="12824"/>
    <col width="41.15" customWidth="1" style="359" min="12825" max="12825"/>
    <col width="9.289999999999999" customWidth="1" style="359" min="12826" max="12830"/>
    <col width="12.15" customWidth="1" style="359" min="12831" max="12832"/>
    <col width="10.85" customWidth="1" style="359" min="12833" max="12833"/>
    <col width="9.140000000000001" customWidth="1" style="359" min="12834" max="13080"/>
    <col width="41.15" customWidth="1" style="359" min="13081" max="13081"/>
    <col width="9.289999999999999" customWidth="1" style="359" min="13082" max="13086"/>
    <col width="12.15" customWidth="1" style="359" min="13087" max="13088"/>
    <col width="10.85" customWidth="1" style="359" min="13089" max="13089"/>
    <col width="9.140000000000001" customWidth="1" style="359" min="13090" max="13336"/>
    <col width="41.15" customWidth="1" style="359" min="13337" max="13337"/>
    <col width="9.289999999999999" customWidth="1" style="359" min="13338" max="13342"/>
    <col width="12.15" customWidth="1" style="359" min="13343" max="13344"/>
    <col width="10.85" customWidth="1" style="359" min="13345" max="13345"/>
    <col width="9.140000000000001" customWidth="1" style="359" min="13346" max="13592"/>
    <col width="41.15" customWidth="1" style="359" min="13593" max="13593"/>
    <col width="9.289999999999999" customWidth="1" style="359" min="13594" max="13598"/>
    <col width="12.15" customWidth="1" style="359" min="13599" max="13600"/>
    <col width="10.85" customWidth="1" style="359" min="13601" max="13601"/>
    <col width="9.140000000000001" customWidth="1" style="359" min="13602" max="13848"/>
    <col width="41.15" customWidth="1" style="359" min="13849" max="13849"/>
    <col width="9.289999999999999" customWidth="1" style="359" min="13850" max="13854"/>
    <col width="12.15" customWidth="1" style="359" min="13855" max="13856"/>
    <col width="10.85" customWidth="1" style="359" min="13857" max="13857"/>
    <col width="9.140000000000001" customWidth="1" style="359" min="13858" max="14104"/>
    <col width="41.15" customWidth="1" style="359" min="14105" max="14105"/>
    <col width="9.289999999999999" customWidth="1" style="359" min="14106" max="14110"/>
    <col width="12.15" customWidth="1" style="359" min="14111" max="14112"/>
    <col width="10.85" customWidth="1" style="359" min="14113" max="14113"/>
    <col width="9.140000000000001" customWidth="1" style="359" min="14114" max="14360"/>
    <col width="41.15" customWidth="1" style="359" min="14361" max="14361"/>
    <col width="9.289999999999999" customWidth="1" style="359" min="14362" max="14366"/>
    <col width="12.15" customWidth="1" style="359" min="14367" max="14368"/>
    <col width="10.85" customWidth="1" style="359" min="14369" max="14369"/>
    <col width="9.140000000000001" customWidth="1" style="359" min="14370" max="14616"/>
    <col width="41.15" customWidth="1" style="359" min="14617" max="14617"/>
    <col width="9.289999999999999" customWidth="1" style="359" min="14618" max="14622"/>
    <col width="12.15" customWidth="1" style="359" min="14623" max="14624"/>
    <col width="10.85" customWidth="1" style="359" min="14625" max="14625"/>
    <col width="9.140000000000001" customWidth="1" style="359" min="14626" max="14872"/>
    <col width="41.15" customWidth="1" style="359" min="14873" max="14873"/>
    <col width="9.289999999999999" customWidth="1" style="359" min="14874" max="14878"/>
    <col width="12.15" customWidth="1" style="359" min="14879" max="14880"/>
    <col width="10.85" customWidth="1" style="359" min="14881" max="14881"/>
    <col width="9.140000000000001" customWidth="1" style="359" min="14882" max="15128"/>
    <col width="41.15" customWidth="1" style="359" min="15129" max="15129"/>
    <col width="9.289999999999999" customWidth="1" style="359" min="15130" max="15134"/>
    <col width="12.15" customWidth="1" style="359" min="15135" max="15136"/>
    <col width="10.85" customWidth="1" style="359" min="15137" max="15137"/>
    <col width="9.140000000000001" customWidth="1" style="359" min="15138" max="15384"/>
    <col width="41.15" customWidth="1" style="359" min="15385" max="15385"/>
    <col width="9.289999999999999" customWidth="1" style="359" min="15386" max="15390"/>
    <col width="12.15" customWidth="1" style="359" min="15391" max="15392"/>
    <col width="10.85" customWidth="1" style="359" min="15393" max="15393"/>
    <col width="9.140000000000001" customWidth="1" style="359" min="15394" max="15640"/>
    <col width="41.15" customWidth="1" style="359" min="15641" max="15641"/>
    <col width="9.289999999999999" customWidth="1" style="359" min="15642" max="15646"/>
    <col width="12.15" customWidth="1" style="359" min="15647" max="15648"/>
    <col width="10.85" customWidth="1" style="359" min="15649" max="15649"/>
    <col width="9.140000000000001" customWidth="1" style="359" min="15650" max="15896"/>
    <col width="41.15" customWidth="1" style="359" min="15897" max="15897"/>
    <col width="9.289999999999999" customWidth="1" style="359" min="15898" max="15902"/>
    <col width="12.15" customWidth="1" style="359" min="15903" max="15904"/>
    <col width="10.85" customWidth="1" style="359" min="15905" max="15905"/>
    <col width="9.140000000000001" customWidth="1" style="359" min="15906" max="16152"/>
    <col width="41.15" customWidth="1" style="359" min="16153" max="16153"/>
    <col width="9.289999999999999" customWidth="1" style="359" min="16154" max="16158"/>
    <col width="12.15" customWidth="1" style="359" min="16159" max="16160"/>
    <col width="10.85" customWidth="1" style="359" min="16161" max="16161"/>
    <col width="9.140000000000001" customWidth="1" style="359" min="16162" max="16384"/>
  </cols>
  <sheetData>
    <row r="1" ht="12.75" customHeight="1" s="226">
      <c r="A1" s="244" t="inlineStr">
        <is>
          <t>К содержанию</t>
        </is>
      </c>
      <c r="C1" s="288" t="n"/>
      <c r="D1" s="288" t="n"/>
      <c r="E1" s="288" t="n"/>
    </row>
    <row r="2" ht="20.25" customHeight="1" s="226">
      <c r="C2" s="288" t="n"/>
      <c r="D2" s="288" t="n"/>
      <c r="E2" s="288" t="n"/>
    </row>
    <row r="3" ht="12.75" customHeight="1" s="226">
      <c r="A3" s="363" t="n"/>
      <c r="B3" s="363" t="n"/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5" t="n"/>
      <c r="W3" s="365" t="n"/>
      <c r="X3" s="365" t="n"/>
      <c r="Y3" s="365" t="n"/>
      <c r="Z3" s="365" t="n"/>
      <c r="AA3" s="365" t="n"/>
      <c r="AB3" s="365" t="n"/>
      <c r="AC3" s="365" t="n"/>
    </row>
    <row r="4" ht="48" customHeight="1" s="226">
      <c r="A4" s="292" t="inlineStr">
        <is>
          <t>Формирование валового регионального продукта по источникам доходов по субъектам Российской Федерации в 2016-2023 гг.
(в текущих ценах; миллионов рублей)</t>
        </is>
      </c>
    </row>
    <row r="5" ht="15.75" customHeight="1" s="226">
      <c r="A5" s="380" t="n"/>
      <c r="B5" s="320" t="n">
        <v>2016</v>
      </c>
      <c r="C5" s="381" t="n"/>
      <c r="D5" s="381" t="n"/>
      <c r="E5" s="382" t="n"/>
      <c r="F5" s="383" t="n">
        <v>2017</v>
      </c>
      <c r="G5" s="381" t="n"/>
      <c r="H5" s="381" t="n"/>
      <c r="I5" s="381" t="n"/>
      <c r="J5" s="320" t="n">
        <v>2018</v>
      </c>
      <c r="K5" s="381" t="n"/>
      <c r="L5" s="381" t="n"/>
      <c r="M5" s="382" t="n"/>
      <c r="N5" s="320" t="n">
        <v>2019</v>
      </c>
      <c r="O5" s="381" t="n"/>
      <c r="P5" s="381" t="n"/>
      <c r="Q5" s="382" t="n"/>
      <c r="R5" s="384" t="n">
        <v>2020</v>
      </c>
      <c r="S5" s="381" t="n"/>
      <c r="T5" s="381" t="n"/>
      <c r="U5" s="382" t="n"/>
      <c r="V5" s="320" t="n">
        <v>2021</v>
      </c>
      <c r="W5" s="381" t="n"/>
      <c r="X5" s="381" t="n"/>
      <c r="Y5" s="382" t="n"/>
      <c r="Z5" s="320" t="inlineStr">
        <is>
          <t>20221)</t>
        </is>
      </c>
      <c r="AA5" s="381" t="n"/>
      <c r="AB5" s="381" t="n"/>
      <c r="AC5" s="382" t="n"/>
      <c r="AD5" s="320" t="inlineStr">
        <is>
          <t>20231)</t>
        </is>
      </c>
      <c r="AE5" s="381" t="n"/>
      <c r="AF5" s="381" t="n"/>
      <c r="AG5" s="382" t="n"/>
    </row>
    <row r="6" ht="102.95" customHeight="1" s="226">
      <c r="A6" s="385" t="n"/>
      <c r="B6" s="386" t="inlineStr">
        <is>
          <t>Валовой региональный продукт</t>
        </is>
      </c>
      <c r="C6" s="386" t="inlineStr">
        <is>
          <t>Оплата труда наемных работников (без учета ненаблюдаемых оплаты труда и смешанных доходов)</t>
        </is>
      </c>
      <c r="D6" s="386" t="inlineStr">
        <is>
          <t xml:space="preserve">Другие чистые налоги на производство </t>
        </is>
      </c>
      <c r="E6" s="386" t="inlineStr">
        <is>
          <t>Валовая прибыль экономики и валовые смешанные доходы</t>
        </is>
      </c>
      <c r="F6" s="386" t="inlineStr">
        <is>
          <t>Валовой региональный продукт</t>
        </is>
      </c>
      <c r="G6" s="386" t="inlineStr">
        <is>
          <t>Оплата труда наемных работников (без учета ненаблюдаемых оплаты труда и смешанных доходов)</t>
        </is>
      </c>
      <c r="H6" s="386" t="inlineStr">
        <is>
          <t xml:space="preserve">Другие чистые налоги на производство </t>
        </is>
      </c>
      <c r="I6" s="386" t="inlineStr">
        <is>
          <t>Валовая прибыль экономики и валовые смешанные доходы</t>
        </is>
      </c>
      <c r="J6" s="386" t="inlineStr">
        <is>
          <t>Валовой региональный продукт</t>
        </is>
      </c>
      <c r="K6" s="386" t="inlineStr">
        <is>
          <t>Оплата труда наемных работников (без учета ненаблюдаемых оплаты труда и смешанных доходов)</t>
        </is>
      </c>
      <c r="L6" s="386" t="inlineStr">
        <is>
          <t xml:space="preserve">Другие чистые налоги на производство </t>
        </is>
      </c>
      <c r="M6" s="386" t="inlineStr">
        <is>
          <t>Валовая прибыль экономики и валовые смешанные доходы</t>
        </is>
      </c>
      <c r="N6" s="386" t="inlineStr">
        <is>
          <t>Валовой региональный продукт</t>
        </is>
      </c>
      <c r="O6" s="386" t="inlineStr">
        <is>
          <t>Оплата труда наемных работников (без учета ненаблюдаемых оплаты труда и смешанных доходов)</t>
        </is>
      </c>
      <c r="P6" s="386" t="inlineStr">
        <is>
          <t xml:space="preserve">Другие чистые налоги на производство </t>
        </is>
      </c>
      <c r="Q6" s="386" t="inlineStr">
        <is>
          <t>Валовая прибыль экономики и валовые смешанные доходы</t>
        </is>
      </c>
      <c r="R6" s="386" t="inlineStr">
        <is>
          <t>Валовой региональный продукт</t>
        </is>
      </c>
      <c r="S6" s="386" t="inlineStr">
        <is>
          <t>Оплата труда наемных работников (без учета ненаблюдаемых оплаты труда и смешанных доходов)</t>
        </is>
      </c>
      <c r="T6" s="386" t="inlineStr">
        <is>
          <t xml:space="preserve">Другие чистые налоги на производство </t>
        </is>
      </c>
      <c r="U6" s="386" t="inlineStr">
        <is>
          <t>Валовая прибыль экономики и валовые смешанные доходы</t>
        </is>
      </c>
      <c r="V6" s="386" t="inlineStr">
        <is>
          <t>Валовой региональный продукт</t>
        </is>
      </c>
      <c r="W6" s="386" t="inlineStr">
        <is>
          <t>Оплата труда наемных работников (без учета ненаблюдаемых оплаты труда и смешанных доходов)</t>
        </is>
      </c>
      <c r="X6" s="386" t="inlineStr">
        <is>
          <t xml:space="preserve">Другие чистые налоги на производство </t>
        </is>
      </c>
      <c r="Y6" s="386" t="inlineStr">
        <is>
          <t>Валовая прибыль экономики и валовые смешанные доходы</t>
        </is>
      </c>
      <c r="Z6" s="386" t="inlineStr">
        <is>
          <t>Валовой региональный продукт</t>
        </is>
      </c>
      <c r="AA6" s="386" t="inlineStr">
        <is>
          <t>Оплата труда наемных работников (без учета ненаблюдаемых оплаты труда и смешанных доходов)</t>
        </is>
      </c>
      <c r="AB6" s="386" t="inlineStr">
        <is>
          <t xml:space="preserve">Другие чистые налоги на производство </t>
        </is>
      </c>
      <c r="AC6" s="386" t="inlineStr">
        <is>
          <t>Валовая прибыль экономики и валовые смешанные доходы</t>
        </is>
      </c>
      <c r="AD6" s="386" t="inlineStr">
        <is>
          <t>Валовой региональный продукт</t>
        </is>
      </c>
      <c r="AE6" s="386" t="inlineStr">
        <is>
          <t>Оплата труда наемных работников (без учета ненаблюдаемых оплаты труда и смешанных доходов)</t>
        </is>
      </c>
      <c r="AF6" s="386" t="inlineStr">
        <is>
          <t xml:space="preserve">Другие чистые налоги на производство </t>
        </is>
      </c>
      <c r="AG6" s="386" t="inlineStr">
        <is>
          <t>Валовая прибыль экономики и валовые смешанные доходы</t>
        </is>
      </c>
    </row>
    <row r="7" ht="15" customHeight="1" s="226">
      <c r="A7" s="253" t="inlineStr">
        <is>
          <t>Российская Федерация</t>
        </is>
      </c>
      <c r="B7" s="252">
        <f>B8+B27+B40+B49+B57+B72+B80+B91</f>
        <v/>
      </c>
      <c r="C7" s="252">
        <f>C8+C27+C40+C49+C57+C72+C80+C91</f>
        <v/>
      </c>
      <c r="D7" s="252">
        <f>D8+D27+D40+D49+D57+D72+D80+D91</f>
        <v/>
      </c>
      <c r="E7" s="252">
        <f>E8+E27+E40+E49+E57+E72+E80+E91</f>
        <v/>
      </c>
      <c r="F7" s="252">
        <f>F8+F27+F40+F49+F57+F72+F80+F91</f>
        <v/>
      </c>
      <c r="G7" s="252">
        <f>G8+G27+G40+G49+G57+G72+G80+G91</f>
        <v/>
      </c>
      <c r="H7" s="252">
        <f>H8+H27+H40+H49+H57+H72+H80+H91</f>
        <v/>
      </c>
      <c r="I7" s="252">
        <f>I8+I27+I40+I49+I57+I72+I80+I91</f>
        <v/>
      </c>
      <c r="J7" s="252">
        <f>J8+J27+J40+J49+J57+J72+J80+J91</f>
        <v/>
      </c>
      <c r="K7" s="252">
        <f>K8+K27+K40+K49+K57+K72+K80+K91</f>
        <v/>
      </c>
      <c r="L7" s="252">
        <f>L8+L27+L40+L49+L57+L72+L80+L91</f>
        <v/>
      </c>
      <c r="M7" s="252">
        <f>M8+M27+M40+M49+M57+M72+M80+M91</f>
        <v/>
      </c>
      <c r="N7" s="252">
        <f>N8+N27+N40+N49+N57+N72+N80+N91</f>
        <v/>
      </c>
      <c r="O7" s="252">
        <f>O8+O27+O40+O49+O57+O72+O80+O91</f>
        <v/>
      </c>
      <c r="P7" s="252">
        <f>P8+P27+P40+P49+P57+P72+P80+P91</f>
        <v/>
      </c>
      <c r="Q7" s="252">
        <f>Q8+Q27+Q40+Q49+Q57+Q72+Q80+Q91</f>
        <v/>
      </c>
      <c r="R7" s="252">
        <f>R8+R27+R40+R49+R57+R72+R80+R91</f>
        <v/>
      </c>
      <c r="S7" s="252">
        <f>S8+S27+S40+S49+S57+S72+S80+S91</f>
        <v/>
      </c>
      <c r="T7" s="252">
        <f>T8+T27+T40+T49+T57+T72+T80+T91</f>
        <v/>
      </c>
      <c r="U7" s="252">
        <f>U8+U27+U40+U49+U57+U72+U80+U91</f>
        <v/>
      </c>
      <c r="V7" s="252">
        <f>V8+V27+V40+V49+V57+V72+V80+V91</f>
        <v/>
      </c>
      <c r="W7" s="252">
        <f>W8+W27+W40+W49+W57+W72+W80+W91</f>
        <v/>
      </c>
      <c r="X7" s="252">
        <f>X8+X27+X40+X49+X57+X72+X80+X91</f>
        <v/>
      </c>
      <c r="Y7" s="252">
        <f>Y8+Y27+Y40+Y49+Y57+Y72+Y80+Y91</f>
        <v/>
      </c>
      <c r="Z7" s="252">
        <f>Z8+Z27+Z40+Z49+Z57+Z72+Z80+Z91</f>
        <v/>
      </c>
      <c r="AA7" s="252">
        <f>AA8+AA27+AA40+AA49+AA57+AA72+AA80+AA91</f>
        <v/>
      </c>
      <c r="AB7" s="252">
        <f>AB8+AB27+AB40+AB49+AB57+AB72+AB80+AB91</f>
        <v/>
      </c>
      <c r="AC7" s="252">
        <f>AC8+AC27+AC40+AC49+AC57+AC72+AC80+AC91</f>
        <v/>
      </c>
      <c r="AD7" s="252">
        <f>AD8+AD27+AD40+AD49+AD57+AD72+AD80+AD91</f>
        <v/>
      </c>
      <c r="AE7" s="252">
        <f>AE8+AE27+AE40+AE49+AE57+AE72+AE80+AE91</f>
        <v/>
      </c>
      <c r="AF7" s="252">
        <f>AF8+AF27+AF40+AF49+AF57+AF72+AF80+AF91</f>
        <v/>
      </c>
      <c r="AG7" s="252">
        <f>AG8+AG27+AG40+AG49+AG57+AG72+AG80+AG91</f>
        <v/>
      </c>
      <c r="AI7" s="369" t="n"/>
      <c r="AJ7" s="369" t="n"/>
      <c r="AK7" s="369" t="n"/>
      <c r="AL7" s="369" t="n"/>
      <c r="AM7" s="369" t="n"/>
      <c r="AN7" s="369" t="n"/>
      <c r="AO7" s="369" t="n"/>
      <c r="AP7" s="369" t="n"/>
      <c r="AQ7" s="369" t="n"/>
      <c r="AR7" s="369" t="n"/>
      <c r="AS7" s="369" t="n"/>
      <c r="AT7" s="369" t="n"/>
      <c r="AU7" s="369" t="n"/>
      <c r="AV7" s="369" t="n"/>
    </row>
    <row r="8" ht="15" customHeight="1" s="226">
      <c r="A8" s="253" t="inlineStr">
        <is>
          <t>Центральный федеральный округ</t>
        </is>
      </c>
      <c r="B8" s="254">
        <f>SUM(B9:B26)</f>
        <v/>
      </c>
      <c r="C8" s="254">
        <f>SUM(C9:C26)</f>
        <v/>
      </c>
      <c r="D8" s="254">
        <f>SUM(D9:D26)</f>
        <v/>
      </c>
      <c r="E8" s="254">
        <f>SUM(E9:E26)</f>
        <v/>
      </c>
      <c r="F8" s="254">
        <f>SUM(F9:F26)</f>
        <v/>
      </c>
      <c r="G8" s="254">
        <f>SUM(G9:G26)</f>
        <v/>
      </c>
      <c r="H8" s="254">
        <f>SUM(H9:H26)</f>
        <v/>
      </c>
      <c r="I8" s="254">
        <f>SUM(I9:I26)</f>
        <v/>
      </c>
      <c r="J8" s="254">
        <f>SUM(J9:J26)</f>
        <v/>
      </c>
      <c r="K8" s="254">
        <f>SUM(K9:K26)</f>
        <v/>
      </c>
      <c r="L8" s="254">
        <f>SUM(L9:L26)</f>
        <v/>
      </c>
      <c r="M8" s="254">
        <f>SUM(M9:M26)</f>
        <v/>
      </c>
      <c r="N8" s="254">
        <f>SUM(N9:N26)</f>
        <v/>
      </c>
      <c r="O8" s="254">
        <f>SUM(O9:O26)</f>
        <v/>
      </c>
      <c r="P8" s="254">
        <f>SUM(P9:P26)</f>
        <v/>
      </c>
      <c r="Q8" s="254">
        <f>SUM(Q9:Q26)</f>
        <v/>
      </c>
      <c r="R8" s="254">
        <f>SUM(R9:R26)</f>
        <v/>
      </c>
      <c r="S8" s="254">
        <f>SUM(S9:S26)</f>
        <v/>
      </c>
      <c r="T8" s="254">
        <f>SUM(T9:T26)</f>
        <v/>
      </c>
      <c r="U8" s="254">
        <f>SUM(U9:U26)</f>
        <v/>
      </c>
      <c r="V8" s="254">
        <f>SUM(V9:V26)</f>
        <v/>
      </c>
      <c r="W8" s="254">
        <f>SUM(W9:W26)</f>
        <v/>
      </c>
      <c r="X8" s="254">
        <f>SUM(X9:X26)</f>
        <v/>
      </c>
      <c r="Y8" s="254">
        <f>SUM(Y9:Y26)</f>
        <v/>
      </c>
      <c r="Z8" s="254">
        <f>SUM(Z9:Z26)</f>
        <v/>
      </c>
      <c r="AA8" s="254">
        <f>SUM(AA9:AA26)</f>
        <v/>
      </c>
      <c r="AB8" s="254">
        <f>SUM(AB9:AB26)</f>
        <v/>
      </c>
      <c r="AC8" s="254">
        <f>SUM(AC9:AC26)</f>
        <v/>
      </c>
      <c r="AD8" s="254">
        <f>SUM(AD9:AD26)</f>
        <v/>
      </c>
      <c r="AE8" s="254">
        <f>SUM(AE9:AE26)</f>
        <v/>
      </c>
      <c r="AF8" s="254">
        <f>SUM(AF9:AF26)</f>
        <v/>
      </c>
      <c r="AG8" s="254">
        <f>SUM(AG9:AG26)</f>
        <v/>
      </c>
      <c r="AI8" s="369" t="n"/>
      <c r="AJ8" s="369" t="n"/>
      <c r="AK8" s="369" t="n"/>
      <c r="AL8" s="369" t="n"/>
      <c r="AM8" s="369" t="n"/>
      <c r="AN8" s="369" t="n"/>
      <c r="AO8" s="369" t="n"/>
      <c r="AP8" s="369" t="n"/>
      <c r="AQ8" s="369" t="n"/>
      <c r="AR8" s="369" t="n"/>
      <c r="AS8" s="369" t="n"/>
      <c r="AT8" s="369" t="n"/>
      <c r="AU8" s="369" t="n"/>
    </row>
    <row r="9" ht="15" customHeight="1" s="226">
      <c r="A9" s="255" t="inlineStr">
        <is>
          <t xml:space="preserve"> Белгородская область</t>
        </is>
      </c>
      <c r="B9" s="261" t="n">
        <v>778027.8</v>
      </c>
      <c r="C9" s="262" t="n">
        <v>218281.5</v>
      </c>
      <c r="D9" s="262" t="n">
        <v>11505.3</v>
      </c>
      <c r="E9" s="263" t="n">
        <v>548241</v>
      </c>
      <c r="F9" s="261" t="n">
        <v>837306.8</v>
      </c>
      <c r="G9" s="262" t="n">
        <v>239347.7</v>
      </c>
      <c r="H9" s="262" t="n">
        <v>13580.1</v>
      </c>
      <c r="I9" s="263" t="n">
        <v>584379</v>
      </c>
      <c r="J9" s="261" t="n">
        <v>911597.9</v>
      </c>
      <c r="K9" s="262" t="n">
        <v>265240.2</v>
      </c>
      <c r="L9" s="262" t="n">
        <v>15380.3</v>
      </c>
      <c r="M9" s="263" t="n">
        <v>630977.4</v>
      </c>
      <c r="N9" s="261" t="n">
        <v>955329.2</v>
      </c>
      <c r="O9" s="262" t="n">
        <v>284365.6</v>
      </c>
      <c r="P9" s="262" t="n">
        <v>14773.6</v>
      </c>
      <c r="Q9" s="263" t="n">
        <v>656190</v>
      </c>
      <c r="R9" s="261" t="n">
        <v>997330.9</v>
      </c>
      <c r="S9" s="262" t="n">
        <v>292630.5</v>
      </c>
      <c r="T9" s="262" t="n">
        <v>15104.3</v>
      </c>
      <c r="U9" s="263" t="n">
        <v>689596.1</v>
      </c>
      <c r="V9" s="261" t="n">
        <v>1359965.6</v>
      </c>
      <c r="W9" s="262" t="n">
        <v>326405.8</v>
      </c>
      <c r="X9" s="262" t="n">
        <v>14953.6</v>
      </c>
      <c r="Y9" s="263" t="n">
        <v>1018606.2</v>
      </c>
      <c r="Z9" s="261" t="n">
        <v>1282187.9</v>
      </c>
      <c r="AA9" s="262" t="n">
        <v>356827</v>
      </c>
      <c r="AB9" s="262" t="n">
        <v>15523</v>
      </c>
      <c r="AC9" s="263" t="n">
        <v>909837.9</v>
      </c>
      <c r="AD9" s="261" t="n">
        <v>1341408.9</v>
      </c>
      <c r="AE9" s="262" t="n">
        <v>393349.6</v>
      </c>
      <c r="AF9" s="262" t="n">
        <v>15100.2</v>
      </c>
      <c r="AG9" s="263" t="n">
        <v>932959.1</v>
      </c>
      <c r="AI9" s="369" t="n"/>
      <c r="AJ9" s="369" t="n"/>
      <c r="AK9" s="369" t="n"/>
      <c r="AL9" s="369" t="n"/>
      <c r="AM9" s="369" t="n"/>
      <c r="AN9" s="369" t="n"/>
      <c r="AO9" s="369" t="n"/>
      <c r="AP9" s="369" t="n"/>
      <c r="AQ9" s="369" t="n"/>
      <c r="AR9" s="369" t="n"/>
      <c r="AS9" s="369" t="n"/>
      <c r="AT9" s="369" t="n"/>
      <c r="AU9" s="369" t="n"/>
    </row>
    <row r="10" ht="15" customHeight="1" s="226">
      <c r="A10" s="260" t="inlineStr">
        <is>
          <t xml:space="preserve"> Брянская область</t>
        </is>
      </c>
      <c r="B10" s="261" t="n">
        <v>316489.4</v>
      </c>
      <c r="C10" s="262" t="n">
        <v>126748.8</v>
      </c>
      <c r="D10" s="262" t="n">
        <v>4204.9</v>
      </c>
      <c r="E10" s="263" t="n">
        <v>185535.7</v>
      </c>
      <c r="F10" s="261" t="n">
        <v>341177.8</v>
      </c>
      <c r="G10" s="262" t="n">
        <v>137481.6</v>
      </c>
      <c r="H10" s="262" t="n">
        <v>4451</v>
      </c>
      <c r="I10" s="263" t="n">
        <v>199245.2</v>
      </c>
      <c r="J10" s="261" t="n">
        <v>367157.1</v>
      </c>
      <c r="K10" s="262" t="n">
        <v>143412</v>
      </c>
      <c r="L10" s="262" t="n">
        <v>5266.2</v>
      </c>
      <c r="M10" s="263" t="n">
        <v>218478.9</v>
      </c>
      <c r="N10" s="261" t="n">
        <v>399113.8</v>
      </c>
      <c r="O10" s="262" t="n">
        <v>153360.2</v>
      </c>
      <c r="P10" s="262" t="n">
        <v>5010.5</v>
      </c>
      <c r="Q10" s="263" t="n">
        <v>240743.1</v>
      </c>
      <c r="R10" s="261" t="n">
        <v>414179.4</v>
      </c>
      <c r="S10" s="262" t="n">
        <v>150958.1</v>
      </c>
      <c r="T10" s="262" t="n">
        <v>5055.1</v>
      </c>
      <c r="U10" s="263" t="n">
        <v>258166.2</v>
      </c>
      <c r="V10" s="261" t="n">
        <v>482669.4</v>
      </c>
      <c r="W10" s="262" t="n">
        <v>172421.4</v>
      </c>
      <c r="X10" s="262" t="n">
        <v>5251.8</v>
      </c>
      <c r="Y10" s="263" t="n">
        <v>304996.2</v>
      </c>
      <c r="Z10" s="261" t="n">
        <v>547720.9</v>
      </c>
      <c r="AA10" s="262" t="n">
        <v>188025.8</v>
      </c>
      <c r="AB10" s="262" t="n">
        <v>5541</v>
      </c>
      <c r="AC10" s="263" t="n">
        <v>354154.1</v>
      </c>
      <c r="AD10" s="261" t="n">
        <v>627017.8</v>
      </c>
      <c r="AE10" s="262" t="n">
        <v>217754.6</v>
      </c>
      <c r="AF10" s="262" t="n">
        <v>4812</v>
      </c>
      <c r="AG10" s="263" t="n">
        <v>404451.2</v>
      </c>
      <c r="AI10" s="369" t="n"/>
      <c r="AJ10" s="369" t="n"/>
      <c r="AK10" s="369" t="n"/>
      <c r="AL10" s="369" t="n"/>
      <c r="AM10" s="369" t="n"/>
      <c r="AN10" s="369" t="n"/>
      <c r="AO10" s="369" t="n"/>
      <c r="AP10" s="369" t="n"/>
      <c r="AQ10" s="369" t="n"/>
      <c r="AR10" s="369" t="n"/>
      <c r="AS10" s="369" t="n"/>
      <c r="AT10" s="369" t="n"/>
      <c r="AU10" s="369" t="n"/>
    </row>
    <row r="11" ht="15" customHeight="1" s="226">
      <c r="A11" s="260" t="inlineStr">
        <is>
          <t xml:space="preserve"> Владимирская область</t>
        </is>
      </c>
      <c r="B11" s="261" t="n">
        <v>431549.8</v>
      </c>
      <c r="C11" s="262" t="n">
        <v>183897.3</v>
      </c>
      <c r="D11" s="262" t="n">
        <v>6506.4</v>
      </c>
      <c r="E11" s="263" t="n">
        <v>241146.1</v>
      </c>
      <c r="F11" s="261" t="n">
        <v>449849.2</v>
      </c>
      <c r="G11" s="262" t="n">
        <v>197978.7</v>
      </c>
      <c r="H11" s="262" t="n">
        <v>7112.3</v>
      </c>
      <c r="I11" s="263" t="n">
        <v>244758.2</v>
      </c>
      <c r="J11" s="261" t="n">
        <v>480027.8</v>
      </c>
      <c r="K11" s="262" t="n">
        <v>207549.7</v>
      </c>
      <c r="L11" s="262" t="n">
        <v>7489.8</v>
      </c>
      <c r="M11" s="263" t="n">
        <v>264988.3</v>
      </c>
      <c r="N11" s="261" t="n">
        <v>535493.4</v>
      </c>
      <c r="O11" s="262" t="n">
        <v>231112.7</v>
      </c>
      <c r="P11" s="262" t="n">
        <v>7364.4</v>
      </c>
      <c r="Q11" s="263" t="n">
        <v>297016.3</v>
      </c>
      <c r="R11" s="261" t="n">
        <v>553092.4</v>
      </c>
      <c r="S11" s="262" t="n">
        <v>230202.1</v>
      </c>
      <c r="T11" s="262" t="n">
        <v>7201.8</v>
      </c>
      <c r="U11" s="263" t="n">
        <v>315688.5</v>
      </c>
      <c r="V11" s="261" t="n">
        <v>730328.8</v>
      </c>
      <c r="W11" s="262" t="n">
        <v>243134.8</v>
      </c>
      <c r="X11" s="262" t="n">
        <v>7444.5</v>
      </c>
      <c r="Y11" s="263" t="n">
        <v>479749.5</v>
      </c>
      <c r="Z11" s="261" t="n">
        <v>779080.5</v>
      </c>
      <c r="AA11" s="262" t="n">
        <v>281179.9</v>
      </c>
      <c r="AB11" s="262" t="n">
        <v>7663.3</v>
      </c>
      <c r="AC11" s="263" t="n">
        <v>490237.3</v>
      </c>
      <c r="AD11" s="261" t="n">
        <v>893416.3</v>
      </c>
      <c r="AE11" s="262" t="n">
        <v>335907.3</v>
      </c>
      <c r="AF11" s="262" t="n">
        <v>7237.5</v>
      </c>
      <c r="AG11" s="263" t="n">
        <v>550271.5</v>
      </c>
      <c r="AI11" s="369" t="n"/>
      <c r="AJ11" s="369" t="n"/>
      <c r="AK11" s="369" t="n"/>
      <c r="AL11" s="369" t="n"/>
      <c r="AM11" s="369" t="n"/>
      <c r="AN11" s="369" t="n"/>
      <c r="AO11" s="369" t="n"/>
      <c r="AP11" s="369" t="n"/>
      <c r="AQ11" s="369" t="n"/>
      <c r="AR11" s="369" t="n"/>
      <c r="AS11" s="369" t="n"/>
      <c r="AT11" s="369" t="n"/>
      <c r="AU11" s="369" t="n"/>
    </row>
    <row r="12" ht="15" customHeight="1" s="226">
      <c r="A12" s="260" t="inlineStr">
        <is>
          <t xml:space="preserve"> Воронежская область</t>
        </is>
      </c>
      <c r="B12" s="261" t="n">
        <v>827928.6</v>
      </c>
      <c r="C12" s="262" t="n">
        <v>338708.1</v>
      </c>
      <c r="D12" s="262" t="n">
        <v>12985.1</v>
      </c>
      <c r="E12" s="263" t="n">
        <v>476235.4</v>
      </c>
      <c r="F12" s="261" t="n">
        <v>873429.4</v>
      </c>
      <c r="G12" s="262" t="n">
        <v>347879.1</v>
      </c>
      <c r="H12" s="262" t="n">
        <v>14292.3</v>
      </c>
      <c r="I12" s="263" t="n">
        <v>511258</v>
      </c>
      <c r="J12" s="261" t="n">
        <v>951292.3</v>
      </c>
      <c r="K12" s="262" t="n">
        <v>388953.6</v>
      </c>
      <c r="L12" s="262" t="n">
        <v>18402.9</v>
      </c>
      <c r="M12" s="263" t="n">
        <v>543935.8</v>
      </c>
      <c r="N12" s="261" t="n">
        <v>1001790.3</v>
      </c>
      <c r="O12" s="262" t="n">
        <v>406364.6</v>
      </c>
      <c r="P12" s="262" t="n">
        <v>14760</v>
      </c>
      <c r="Q12" s="263" t="n">
        <v>580665.7</v>
      </c>
      <c r="R12" s="261" t="n">
        <v>1062765.4</v>
      </c>
      <c r="S12" s="262" t="n">
        <v>404827</v>
      </c>
      <c r="T12" s="262" t="n">
        <v>15666</v>
      </c>
      <c r="U12" s="263" t="n">
        <v>642272.4</v>
      </c>
      <c r="V12" s="261" t="n">
        <v>1273851.9</v>
      </c>
      <c r="W12" s="262" t="n">
        <v>444633.5</v>
      </c>
      <c r="X12" s="262" t="n">
        <v>16749.1</v>
      </c>
      <c r="Y12" s="263" t="n">
        <v>812469.3</v>
      </c>
      <c r="Z12" s="261" t="n">
        <v>1363025.6</v>
      </c>
      <c r="AA12" s="262" t="n">
        <v>482840</v>
      </c>
      <c r="AB12" s="262" t="n">
        <v>18327.4</v>
      </c>
      <c r="AC12" s="263" t="n">
        <v>861858.2</v>
      </c>
      <c r="AD12" s="261" t="n">
        <v>1494401.9</v>
      </c>
      <c r="AE12" s="262" t="n">
        <v>566698.3</v>
      </c>
      <c r="AF12" s="262" t="n">
        <v>17198.5</v>
      </c>
      <c r="AG12" s="263" t="n">
        <v>910505.1</v>
      </c>
      <c r="AI12" s="369" t="n"/>
      <c r="AJ12" s="369" t="n"/>
      <c r="AK12" s="369" t="n"/>
      <c r="AL12" s="369" t="n"/>
      <c r="AM12" s="369" t="n"/>
      <c r="AN12" s="369" t="n"/>
      <c r="AO12" s="369" t="n"/>
      <c r="AP12" s="369" t="n"/>
      <c r="AQ12" s="369" t="n"/>
      <c r="AR12" s="369" t="n"/>
      <c r="AS12" s="369" t="n"/>
      <c r="AT12" s="369" t="n"/>
      <c r="AU12" s="369" t="n"/>
    </row>
    <row r="13" ht="15" customHeight="1" s="226">
      <c r="A13" s="260" t="inlineStr">
        <is>
          <t xml:space="preserve"> Ивановская область</t>
        </is>
      </c>
      <c r="B13" s="261" t="n">
        <v>205818.6</v>
      </c>
      <c r="C13" s="262" t="n">
        <v>92764.8</v>
      </c>
      <c r="D13" s="262" t="n">
        <v>3471.6</v>
      </c>
      <c r="E13" s="263" t="n">
        <v>109582.2</v>
      </c>
      <c r="F13" s="261" t="n">
        <v>212464.7</v>
      </c>
      <c r="G13" s="262" t="n">
        <v>97431.89999999999</v>
      </c>
      <c r="H13" s="262" t="n">
        <v>3486.3</v>
      </c>
      <c r="I13" s="263" t="n">
        <v>111546.5</v>
      </c>
      <c r="J13" s="261" t="n">
        <v>232493.6</v>
      </c>
      <c r="K13" s="262" t="n">
        <v>103473.2</v>
      </c>
      <c r="L13" s="262" t="n">
        <v>4238.4</v>
      </c>
      <c r="M13" s="263" t="n">
        <v>124782</v>
      </c>
      <c r="N13" s="261" t="n">
        <v>254968.9</v>
      </c>
      <c r="O13" s="262" t="n">
        <v>110823.4</v>
      </c>
      <c r="P13" s="262" t="n">
        <v>3453.4</v>
      </c>
      <c r="Q13" s="263" t="n">
        <v>140692.1</v>
      </c>
      <c r="R13" s="261" t="n">
        <v>269508.8</v>
      </c>
      <c r="S13" s="262" t="n">
        <v>114954.1</v>
      </c>
      <c r="T13" s="262" t="n">
        <v>3559.6</v>
      </c>
      <c r="U13" s="263" t="n">
        <v>150995.1</v>
      </c>
      <c r="V13" s="261" t="n">
        <v>308392.2</v>
      </c>
      <c r="W13" s="262" t="n">
        <v>129507.6</v>
      </c>
      <c r="X13" s="262" t="n">
        <v>3597.5</v>
      </c>
      <c r="Y13" s="263" t="n">
        <v>175287.1</v>
      </c>
      <c r="Z13" s="261" t="n">
        <v>362816.5</v>
      </c>
      <c r="AA13" s="262" t="n">
        <v>144922.6</v>
      </c>
      <c r="AB13" s="262" t="n">
        <v>3992.7</v>
      </c>
      <c r="AC13" s="263" t="n">
        <v>213901.2</v>
      </c>
      <c r="AD13" s="261" t="n">
        <v>435227.7</v>
      </c>
      <c r="AE13" s="262" t="n">
        <v>163256.1</v>
      </c>
      <c r="AF13" s="262" t="n">
        <v>3423.1</v>
      </c>
      <c r="AG13" s="263" t="n">
        <v>268548.5</v>
      </c>
      <c r="AI13" s="369" t="n"/>
      <c r="AJ13" s="369" t="n"/>
      <c r="AK13" s="369" t="n"/>
      <c r="AL13" s="369" t="n"/>
      <c r="AM13" s="369" t="n"/>
      <c r="AN13" s="369" t="n"/>
      <c r="AO13" s="369" t="n"/>
      <c r="AP13" s="369" t="n"/>
      <c r="AQ13" s="369" t="n"/>
      <c r="AR13" s="369" t="n"/>
      <c r="AS13" s="369" t="n"/>
      <c r="AT13" s="369" t="n"/>
      <c r="AU13" s="369" t="n"/>
    </row>
    <row r="14" ht="15" customHeight="1" s="226">
      <c r="A14" s="260" t="inlineStr">
        <is>
          <t xml:space="preserve"> Калужская область</t>
        </is>
      </c>
      <c r="B14" s="261" t="n">
        <v>409462.3</v>
      </c>
      <c r="C14" s="262" t="n">
        <v>168462.7</v>
      </c>
      <c r="D14" s="262" t="n">
        <v>6047</v>
      </c>
      <c r="E14" s="263" t="n">
        <v>234952.6</v>
      </c>
      <c r="F14" s="261" t="n">
        <v>457052.5</v>
      </c>
      <c r="G14" s="262" t="n">
        <v>181620</v>
      </c>
      <c r="H14" s="262" t="n">
        <v>6136.7</v>
      </c>
      <c r="I14" s="263" t="n">
        <v>269295.8</v>
      </c>
      <c r="J14" s="261" t="n">
        <v>507632.2</v>
      </c>
      <c r="K14" s="262" t="n">
        <v>198658.4</v>
      </c>
      <c r="L14" s="262" t="n">
        <v>7422.8</v>
      </c>
      <c r="M14" s="263" t="n">
        <v>301551</v>
      </c>
      <c r="N14" s="261" t="n">
        <v>549755.8</v>
      </c>
      <c r="O14" s="262" t="n">
        <v>216810</v>
      </c>
      <c r="P14" s="262" t="n">
        <v>6649.1</v>
      </c>
      <c r="Q14" s="263" t="n">
        <v>326296.7</v>
      </c>
      <c r="R14" s="261" t="n">
        <v>561895.8</v>
      </c>
      <c r="S14" s="262" t="n">
        <v>218807.8</v>
      </c>
      <c r="T14" s="262" t="n">
        <v>6536.1</v>
      </c>
      <c r="U14" s="263" t="n">
        <v>336551.9</v>
      </c>
      <c r="V14" s="261" t="n">
        <v>671155.5</v>
      </c>
      <c r="W14" s="262" t="n">
        <v>245437.3</v>
      </c>
      <c r="X14" s="262" t="n">
        <v>6957.2</v>
      </c>
      <c r="Y14" s="263" t="n">
        <v>418761</v>
      </c>
      <c r="Z14" s="261" t="n">
        <v>687651.6</v>
      </c>
      <c r="AA14" s="262" t="n">
        <v>258994.1</v>
      </c>
      <c r="AB14" s="262" t="n">
        <v>7539.6</v>
      </c>
      <c r="AC14" s="263" t="n">
        <v>421117.9</v>
      </c>
      <c r="AD14" s="261" t="n">
        <v>792281.5</v>
      </c>
      <c r="AE14" s="262" t="n">
        <v>299531.9</v>
      </c>
      <c r="AF14" s="262" t="n">
        <v>7401</v>
      </c>
      <c r="AG14" s="263" t="n">
        <v>485348.6</v>
      </c>
      <c r="AI14" s="369" t="n"/>
      <c r="AJ14" s="369" t="n"/>
      <c r="AK14" s="369" t="n"/>
      <c r="AL14" s="369" t="n"/>
      <c r="AM14" s="369" t="n"/>
      <c r="AN14" s="369" t="n"/>
      <c r="AO14" s="369" t="n"/>
      <c r="AP14" s="369" t="n"/>
      <c r="AQ14" s="369" t="n"/>
      <c r="AR14" s="369" t="n"/>
      <c r="AS14" s="369" t="n"/>
      <c r="AT14" s="369" t="n"/>
      <c r="AU14" s="369" t="n"/>
    </row>
    <row r="15" ht="15" customHeight="1" s="226">
      <c r="A15" s="260" t="inlineStr">
        <is>
          <t xml:space="preserve"> Костромская область</t>
        </is>
      </c>
      <c r="B15" s="261" t="n">
        <v>170225.1</v>
      </c>
      <c r="C15" s="262" t="n">
        <v>73833.39999999999</v>
      </c>
      <c r="D15" s="262" t="n">
        <v>2329.7</v>
      </c>
      <c r="E15" s="263" t="n">
        <v>94062</v>
      </c>
      <c r="F15" s="261" t="n">
        <v>178485.6</v>
      </c>
      <c r="G15" s="262" t="n">
        <v>80202.60000000001</v>
      </c>
      <c r="H15" s="262" t="n">
        <v>2474.2</v>
      </c>
      <c r="I15" s="263" t="n">
        <v>95808.8</v>
      </c>
      <c r="J15" s="261" t="n">
        <v>191812.9</v>
      </c>
      <c r="K15" s="262" t="n">
        <v>87506.60000000001</v>
      </c>
      <c r="L15" s="262" t="n">
        <v>2746.3</v>
      </c>
      <c r="M15" s="263" t="n">
        <v>101560</v>
      </c>
      <c r="N15" s="261" t="n">
        <v>203821.4</v>
      </c>
      <c r="O15" s="262" t="n">
        <v>94509.2</v>
      </c>
      <c r="P15" s="262" t="n">
        <v>2734.8</v>
      </c>
      <c r="Q15" s="263" t="n">
        <v>106577.4</v>
      </c>
      <c r="R15" s="261" t="n">
        <v>204114.1</v>
      </c>
      <c r="S15" s="262" t="n">
        <v>95660.3</v>
      </c>
      <c r="T15" s="262" t="n">
        <v>2655</v>
      </c>
      <c r="U15" s="263" t="n">
        <v>105798.8</v>
      </c>
      <c r="V15" s="261" t="n">
        <v>247508</v>
      </c>
      <c r="W15" s="262" t="n">
        <v>108663.5</v>
      </c>
      <c r="X15" s="262" t="n">
        <v>2626.1</v>
      </c>
      <c r="Y15" s="263" t="n">
        <v>136218.4</v>
      </c>
      <c r="Z15" s="261" t="n">
        <v>275038.3</v>
      </c>
      <c r="AA15" s="262" t="n">
        <v>120555.9</v>
      </c>
      <c r="AB15" s="262" t="n">
        <v>2777.8</v>
      </c>
      <c r="AC15" s="263" t="n">
        <v>151704.6</v>
      </c>
      <c r="AD15" s="261" t="n">
        <v>316018.2</v>
      </c>
      <c r="AE15" s="262" t="n">
        <v>139936.4</v>
      </c>
      <c r="AF15" s="262" t="n">
        <v>2825.7</v>
      </c>
      <c r="AG15" s="263" t="n">
        <v>173256.1</v>
      </c>
      <c r="AI15" s="369" t="n"/>
      <c r="AJ15" s="369" t="n"/>
      <c r="AK15" s="369" t="n"/>
      <c r="AL15" s="369" t="n"/>
      <c r="AM15" s="369" t="n"/>
      <c r="AN15" s="369" t="n"/>
      <c r="AO15" s="369" t="n"/>
      <c r="AP15" s="369" t="n"/>
      <c r="AQ15" s="369" t="n"/>
      <c r="AR15" s="369" t="n"/>
      <c r="AS15" s="369" t="n"/>
      <c r="AT15" s="369" t="n"/>
      <c r="AU15" s="369" t="n"/>
    </row>
    <row r="16" ht="15" customHeight="1" s="226">
      <c r="A16" s="260" t="inlineStr">
        <is>
          <t xml:space="preserve"> Курская область </t>
        </is>
      </c>
      <c r="B16" s="261" t="n">
        <v>379011.3</v>
      </c>
      <c r="C16" s="262" t="n">
        <v>146324.2</v>
      </c>
      <c r="D16" s="262" t="n">
        <v>5544.7</v>
      </c>
      <c r="E16" s="263" t="n">
        <v>227142.4</v>
      </c>
      <c r="F16" s="261" t="n">
        <v>404759.8</v>
      </c>
      <c r="G16" s="262" t="n">
        <v>155295.1</v>
      </c>
      <c r="H16" s="262" t="n">
        <v>6340.2</v>
      </c>
      <c r="I16" s="263" t="n">
        <v>243124.5</v>
      </c>
      <c r="J16" s="261" t="n">
        <v>451000.5</v>
      </c>
      <c r="K16" s="262" t="n">
        <v>171822.1</v>
      </c>
      <c r="L16" s="262" t="n">
        <v>7122.7</v>
      </c>
      <c r="M16" s="263" t="n">
        <v>272055.7</v>
      </c>
      <c r="N16" s="261" t="n">
        <v>495864.4</v>
      </c>
      <c r="O16" s="262" t="n">
        <v>189088.9</v>
      </c>
      <c r="P16" s="262" t="n">
        <v>6712.3</v>
      </c>
      <c r="Q16" s="263" t="n">
        <v>300063.2</v>
      </c>
      <c r="R16" s="261" t="n">
        <v>523000.5</v>
      </c>
      <c r="S16" s="262" t="n">
        <v>196164.7</v>
      </c>
      <c r="T16" s="262" t="n">
        <v>6972.5</v>
      </c>
      <c r="U16" s="263" t="n">
        <v>319863.3</v>
      </c>
      <c r="V16" s="261" t="n">
        <v>688469.1</v>
      </c>
      <c r="W16" s="262" t="n">
        <v>217595.5</v>
      </c>
      <c r="X16" s="262" t="n">
        <v>6657.7</v>
      </c>
      <c r="Y16" s="263" t="n">
        <v>464215.9</v>
      </c>
      <c r="Z16" s="261" t="n">
        <v>663507.8</v>
      </c>
      <c r="AA16" s="262" t="n">
        <v>241990.5</v>
      </c>
      <c r="AB16" s="262" t="n">
        <v>7119</v>
      </c>
      <c r="AC16" s="263" t="n">
        <v>414398.3</v>
      </c>
      <c r="AD16" s="261" t="n">
        <v>747687.1</v>
      </c>
      <c r="AE16" s="262" t="n">
        <v>275187.7</v>
      </c>
      <c r="AF16" s="262" t="n">
        <v>7088.2</v>
      </c>
      <c r="AG16" s="263" t="n">
        <v>465411.2</v>
      </c>
      <c r="AI16" s="369" t="n"/>
      <c r="AJ16" s="369" t="n"/>
      <c r="AK16" s="369" t="n"/>
      <c r="AL16" s="369" t="n"/>
      <c r="AM16" s="369" t="n"/>
      <c r="AN16" s="369" t="n"/>
      <c r="AO16" s="369" t="n"/>
      <c r="AP16" s="369" t="n"/>
      <c r="AQ16" s="369" t="n"/>
      <c r="AR16" s="369" t="n"/>
      <c r="AS16" s="369" t="n"/>
      <c r="AT16" s="369" t="n"/>
      <c r="AU16" s="369" t="n"/>
    </row>
    <row r="17" ht="15" customHeight="1" s="226">
      <c r="A17" s="260" t="inlineStr">
        <is>
          <t xml:space="preserve"> Липецкая область</t>
        </is>
      </c>
      <c r="B17" s="261" t="n">
        <v>501263.5</v>
      </c>
      <c r="C17" s="262" t="n">
        <v>153015.5</v>
      </c>
      <c r="D17" s="262" t="n">
        <v>7975</v>
      </c>
      <c r="E17" s="263" t="n">
        <v>340273</v>
      </c>
      <c r="F17" s="261" t="n">
        <v>522266.2</v>
      </c>
      <c r="G17" s="262" t="n">
        <v>166370.2</v>
      </c>
      <c r="H17" s="262" t="n">
        <v>8080.2</v>
      </c>
      <c r="I17" s="263" t="n">
        <v>347815.8</v>
      </c>
      <c r="J17" s="261" t="n">
        <v>604396.2</v>
      </c>
      <c r="K17" s="262" t="n">
        <v>177405.4</v>
      </c>
      <c r="L17" s="262" t="n">
        <v>7976.2</v>
      </c>
      <c r="M17" s="263" t="n">
        <v>419014.6</v>
      </c>
      <c r="N17" s="261" t="n">
        <v>570022.9</v>
      </c>
      <c r="O17" s="262" t="n">
        <v>193014.3</v>
      </c>
      <c r="P17" s="262" t="n">
        <v>7569.9</v>
      </c>
      <c r="Q17" s="263" t="n">
        <v>369438.7</v>
      </c>
      <c r="R17" s="261" t="n">
        <v>618273.1</v>
      </c>
      <c r="S17" s="262" t="n">
        <v>198718.6</v>
      </c>
      <c r="T17" s="262" t="n">
        <v>7491.5</v>
      </c>
      <c r="U17" s="263" t="n">
        <v>412063</v>
      </c>
      <c r="V17" s="261" t="n">
        <v>853038.4</v>
      </c>
      <c r="W17" s="262" t="n">
        <v>217494.4</v>
      </c>
      <c r="X17" s="262" t="n">
        <v>8219.5</v>
      </c>
      <c r="Y17" s="263" t="n">
        <v>627324.5</v>
      </c>
      <c r="Z17" s="261" t="n">
        <v>780138.9</v>
      </c>
      <c r="AA17" s="262" t="n">
        <v>241905.8</v>
      </c>
      <c r="AB17" s="262" t="n">
        <v>9402</v>
      </c>
      <c r="AC17" s="263" t="n">
        <v>528831.1</v>
      </c>
      <c r="AD17" s="261" t="n">
        <v>950272.5</v>
      </c>
      <c r="AE17" s="262" t="n">
        <v>278402.2</v>
      </c>
      <c r="AF17" s="262" t="n">
        <v>8562.5</v>
      </c>
      <c r="AG17" s="263" t="n">
        <v>663307.8</v>
      </c>
      <c r="AI17" s="369" t="n"/>
      <c r="AJ17" s="369" t="n"/>
      <c r="AK17" s="369" t="n"/>
      <c r="AL17" s="369" t="n"/>
      <c r="AM17" s="369" t="n"/>
      <c r="AN17" s="369" t="n"/>
      <c r="AO17" s="369" t="n"/>
      <c r="AP17" s="369" t="n"/>
      <c r="AQ17" s="369" t="n"/>
      <c r="AR17" s="369" t="n"/>
      <c r="AS17" s="369" t="n"/>
      <c r="AT17" s="369" t="n"/>
      <c r="AU17" s="369" t="n"/>
    </row>
    <row r="18" ht="15" customHeight="1" s="226">
      <c r="A18" s="260" t="inlineStr">
        <is>
          <t xml:space="preserve"> Московская область</t>
        </is>
      </c>
      <c r="B18" s="261" t="n">
        <v>4206506</v>
      </c>
      <c r="C18" s="262" t="n">
        <v>1566799.8</v>
      </c>
      <c r="D18" s="262" t="n">
        <v>81035.8</v>
      </c>
      <c r="E18" s="263" t="n">
        <v>2558670.4</v>
      </c>
      <c r="F18" s="261" t="n">
        <v>4290261.2</v>
      </c>
      <c r="G18" s="262" t="n">
        <v>1710105.3</v>
      </c>
      <c r="H18" s="262" t="n">
        <v>86221.2</v>
      </c>
      <c r="I18" s="263" t="n">
        <v>2493934.7</v>
      </c>
      <c r="J18" s="261" t="n">
        <v>4644635</v>
      </c>
      <c r="K18" s="262" t="n">
        <v>1890639.7</v>
      </c>
      <c r="L18" s="262" t="n">
        <v>88689.5</v>
      </c>
      <c r="M18" s="263" t="n">
        <v>2665305.8</v>
      </c>
      <c r="N18" s="261" t="n">
        <v>5196136.4</v>
      </c>
      <c r="O18" s="262" t="n">
        <v>2068193.2</v>
      </c>
      <c r="P18" s="262" t="n">
        <v>83858.10000000001</v>
      </c>
      <c r="Q18" s="263" t="n">
        <v>3044085.1</v>
      </c>
      <c r="R18" s="261" t="n">
        <v>5406076.5</v>
      </c>
      <c r="S18" s="262" t="n">
        <v>2186236.5</v>
      </c>
      <c r="T18" s="262" t="n">
        <v>83764.89999999999</v>
      </c>
      <c r="U18" s="263" t="n">
        <v>3136075.1</v>
      </c>
      <c r="V18" s="261" t="n">
        <v>6809951.1</v>
      </c>
      <c r="W18" s="262" t="n">
        <v>2413851.8</v>
      </c>
      <c r="X18" s="262" t="n">
        <v>95918.2</v>
      </c>
      <c r="Y18" s="263" t="n">
        <v>4300181.1</v>
      </c>
      <c r="Z18" s="261" t="n">
        <v>7774430</v>
      </c>
      <c r="AA18" s="262" t="n">
        <v>2646283.2</v>
      </c>
      <c r="AB18" s="262" t="n">
        <v>97059.2</v>
      </c>
      <c r="AC18" s="263" t="n">
        <v>5031087.6</v>
      </c>
      <c r="AD18" s="261" t="n">
        <v>9244579.6</v>
      </c>
      <c r="AE18" s="262" t="n">
        <v>3223826.2</v>
      </c>
      <c r="AF18" s="262" t="n">
        <v>99555.2</v>
      </c>
      <c r="AG18" s="263" t="n">
        <v>5921198.2</v>
      </c>
      <c r="AI18" s="369" t="n"/>
      <c r="AJ18" s="369" t="n"/>
      <c r="AK18" s="369" t="n"/>
      <c r="AL18" s="369" t="n"/>
      <c r="AM18" s="369" t="n"/>
      <c r="AN18" s="369" t="n"/>
      <c r="AO18" s="369" t="n"/>
      <c r="AP18" s="369" t="n"/>
      <c r="AQ18" s="369" t="n"/>
      <c r="AR18" s="369" t="n"/>
      <c r="AS18" s="369" t="n"/>
      <c r="AT18" s="369" t="n"/>
      <c r="AU18" s="369" t="n"/>
    </row>
    <row r="19" ht="15" customHeight="1" s="226">
      <c r="A19" s="260" t="inlineStr">
        <is>
          <t xml:space="preserve"> Орловская область</t>
        </is>
      </c>
      <c r="B19" s="261" t="n">
        <v>228583.1</v>
      </c>
      <c r="C19" s="262" t="n">
        <v>91807.7</v>
      </c>
      <c r="D19" s="262" t="n">
        <v>2857.1</v>
      </c>
      <c r="E19" s="263" t="n">
        <v>133918.3</v>
      </c>
      <c r="F19" s="261" t="n">
        <v>231118.4</v>
      </c>
      <c r="G19" s="262" t="n">
        <v>96516.39999999999</v>
      </c>
      <c r="H19" s="262" t="n">
        <v>3080.2</v>
      </c>
      <c r="I19" s="263" t="n">
        <v>131521.8</v>
      </c>
      <c r="J19" s="261" t="n">
        <v>247105.5</v>
      </c>
      <c r="K19" s="262" t="n">
        <v>100043</v>
      </c>
      <c r="L19" s="262" t="n">
        <v>3199.9</v>
      </c>
      <c r="M19" s="263" t="n">
        <v>143862.6</v>
      </c>
      <c r="N19" s="261" t="n">
        <v>266655.6</v>
      </c>
      <c r="O19" s="262" t="n">
        <v>105522.3</v>
      </c>
      <c r="P19" s="262" t="n">
        <v>3009.6</v>
      </c>
      <c r="Q19" s="263" t="n">
        <v>158123.7</v>
      </c>
      <c r="R19" s="261" t="n">
        <v>282883.7</v>
      </c>
      <c r="S19" s="262" t="n">
        <v>111325.3</v>
      </c>
      <c r="T19" s="262" t="n">
        <v>3261.8</v>
      </c>
      <c r="U19" s="263" t="n">
        <v>168296.6</v>
      </c>
      <c r="V19" s="261" t="n">
        <v>338266.1</v>
      </c>
      <c r="W19" s="262" t="n">
        <v>124334.7</v>
      </c>
      <c r="X19" s="262" t="n">
        <v>3610.1</v>
      </c>
      <c r="Y19" s="263" t="n">
        <v>210321.3</v>
      </c>
      <c r="Z19" s="261" t="n">
        <v>366295.8</v>
      </c>
      <c r="AA19" s="262" t="n">
        <v>136550</v>
      </c>
      <c r="AB19" s="262" t="n">
        <v>3564</v>
      </c>
      <c r="AC19" s="263" t="n">
        <v>226181.8</v>
      </c>
      <c r="AD19" s="261" t="n">
        <v>398720.4</v>
      </c>
      <c r="AE19" s="262" t="n">
        <v>155584.8</v>
      </c>
      <c r="AF19" s="262" t="n">
        <v>3525.3</v>
      </c>
      <c r="AG19" s="263" t="n">
        <v>239610.3</v>
      </c>
      <c r="AI19" s="369" t="n"/>
      <c r="AJ19" s="369" t="n"/>
      <c r="AK19" s="369" t="n"/>
      <c r="AL19" s="369" t="n"/>
      <c r="AM19" s="369" t="n"/>
      <c r="AN19" s="369" t="n"/>
      <c r="AO19" s="369" t="n"/>
      <c r="AP19" s="369" t="n"/>
      <c r="AQ19" s="369" t="n"/>
      <c r="AR19" s="369" t="n"/>
      <c r="AS19" s="369" t="n"/>
      <c r="AT19" s="369" t="n"/>
      <c r="AU19" s="369" t="n"/>
    </row>
    <row r="20" ht="15" customHeight="1" s="226">
      <c r="A20" s="260" t="inlineStr">
        <is>
          <t xml:space="preserve"> Рязанская область</t>
        </is>
      </c>
      <c r="B20" s="261" t="n">
        <v>366211.3</v>
      </c>
      <c r="C20" s="262" t="n">
        <v>143073.7</v>
      </c>
      <c r="D20" s="262" t="n">
        <v>7184.8</v>
      </c>
      <c r="E20" s="263" t="n">
        <v>215952.8</v>
      </c>
      <c r="F20" s="261" t="n">
        <v>395276.9</v>
      </c>
      <c r="G20" s="262" t="n">
        <v>152758.2</v>
      </c>
      <c r="H20" s="262" t="n">
        <v>7227.1</v>
      </c>
      <c r="I20" s="263" t="n">
        <v>235291.6</v>
      </c>
      <c r="J20" s="261" t="n">
        <v>416183.2</v>
      </c>
      <c r="K20" s="262" t="n">
        <v>171833.9</v>
      </c>
      <c r="L20" s="262" t="n">
        <v>7898</v>
      </c>
      <c r="M20" s="263" t="n">
        <v>236451.3</v>
      </c>
      <c r="N20" s="261" t="n">
        <v>436417.7</v>
      </c>
      <c r="O20" s="262" t="n">
        <v>182025.1</v>
      </c>
      <c r="P20" s="262" t="n">
        <v>7618.2</v>
      </c>
      <c r="Q20" s="263" t="n">
        <v>246774.4</v>
      </c>
      <c r="R20" s="261" t="n">
        <v>461214.6</v>
      </c>
      <c r="S20" s="262" t="n">
        <v>188085.8</v>
      </c>
      <c r="T20" s="262" t="n">
        <v>7279.1</v>
      </c>
      <c r="U20" s="263" t="n">
        <v>265849.7</v>
      </c>
      <c r="V20" s="261" t="n">
        <v>544053.6</v>
      </c>
      <c r="W20" s="262" t="n">
        <v>210005.2</v>
      </c>
      <c r="X20" s="262" t="n">
        <v>7592.5</v>
      </c>
      <c r="Y20" s="263" t="n">
        <v>326455.9</v>
      </c>
      <c r="Z20" s="261" t="n">
        <v>614419.9</v>
      </c>
      <c r="AA20" s="262" t="n">
        <v>236258.3</v>
      </c>
      <c r="AB20" s="262" t="n">
        <v>8426.700000000001</v>
      </c>
      <c r="AC20" s="263" t="n">
        <v>369734.9</v>
      </c>
      <c r="AD20" s="261" t="n">
        <v>692685.4</v>
      </c>
      <c r="AE20" s="262" t="n">
        <v>269313.6</v>
      </c>
      <c r="AF20" s="262" t="n">
        <v>8367.700000000001</v>
      </c>
      <c r="AG20" s="263" t="n">
        <v>415004.1</v>
      </c>
      <c r="AI20" s="369" t="n"/>
      <c r="AJ20" s="369" t="n"/>
      <c r="AK20" s="369" t="n"/>
      <c r="AL20" s="369" t="n"/>
      <c r="AM20" s="369" t="n"/>
      <c r="AN20" s="369" t="n"/>
      <c r="AO20" s="369" t="n"/>
      <c r="AP20" s="369" t="n"/>
      <c r="AQ20" s="369" t="n"/>
      <c r="AR20" s="369" t="n"/>
      <c r="AS20" s="369" t="n"/>
      <c r="AT20" s="369" t="n"/>
      <c r="AU20" s="369" t="n"/>
    </row>
    <row r="21" ht="15" customHeight="1" s="226">
      <c r="A21" s="260" t="inlineStr">
        <is>
          <t xml:space="preserve"> Смоленская область</t>
        </is>
      </c>
      <c r="B21" s="261" t="n">
        <v>283725.5</v>
      </c>
      <c r="C21" s="262" t="n">
        <v>131110.2</v>
      </c>
      <c r="D21" s="262" t="n">
        <v>4853.9</v>
      </c>
      <c r="E21" s="263" t="n">
        <v>147761.4</v>
      </c>
      <c r="F21" s="261" t="n">
        <v>313615.8</v>
      </c>
      <c r="G21" s="262" t="n">
        <v>136667.9</v>
      </c>
      <c r="H21" s="262" t="n">
        <v>5214.3</v>
      </c>
      <c r="I21" s="263" t="n">
        <v>171733.6</v>
      </c>
      <c r="J21" s="261" t="n">
        <v>335059.9</v>
      </c>
      <c r="K21" s="262" t="n">
        <v>143326.2</v>
      </c>
      <c r="L21" s="262" t="n">
        <v>5187.9</v>
      </c>
      <c r="M21" s="263" t="n">
        <v>186545.8</v>
      </c>
      <c r="N21" s="261" t="n">
        <v>349237.6</v>
      </c>
      <c r="O21" s="262" t="n">
        <v>148897.7</v>
      </c>
      <c r="P21" s="262" t="n">
        <v>5285.5</v>
      </c>
      <c r="Q21" s="263" t="n">
        <v>195054.4</v>
      </c>
      <c r="R21" s="261" t="n">
        <v>365048.1</v>
      </c>
      <c r="S21" s="262" t="n">
        <v>150274.7</v>
      </c>
      <c r="T21" s="262" t="n">
        <v>5476</v>
      </c>
      <c r="U21" s="263" t="n">
        <v>209297.4</v>
      </c>
      <c r="V21" s="261" t="n">
        <v>428827.5</v>
      </c>
      <c r="W21" s="262" t="n">
        <v>174695.9</v>
      </c>
      <c r="X21" s="262" t="n">
        <v>5595.1</v>
      </c>
      <c r="Y21" s="263" t="n">
        <v>248536.5</v>
      </c>
      <c r="Z21" s="261" t="n">
        <v>483282.4</v>
      </c>
      <c r="AA21" s="262" t="n">
        <v>197703.9</v>
      </c>
      <c r="AB21" s="262" t="n">
        <v>6045.3</v>
      </c>
      <c r="AC21" s="263" t="n">
        <v>279533.2</v>
      </c>
      <c r="AD21" s="261" t="n">
        <v>556552.9</v>
      </c>
      <c r="AE21" s="262" t="n">
        <v>228844.9</v>
      </c>
      <c r="AF21" s="262" t="n">
        <v>6206.3</v>
      </c>
      <c r="AG21" s="263" t="n">
        <v>321501.7</v>
      </c>
      <c r="AI21" s="369" t="n"/>
      <c r="AJ21" s="369" t="n"/>
      <c r="AK21" s="369" t="n"/>
      <c r="AL21" s="369" t="n"/>
      <c r="AM21" s="369" t="n"/>
      <c r="AN21" s="369" t="n"/>
      <c r="AO21" s="369" t="n"/>
      <c r="AP21" s="369" t="n"/>
      <c r="AQ21" s="369" t="n"/>
      <c r="AR21" s="369" t="n"/>
      <c r="AS21" s="369" t="n"/>
      <c r="AT21" s="369" t="n"/>
      <c r="AU21" s="369" t="n"/>
    </row>
    <row r="22" ht="15" customHeight="1" s="226">
      <c r="A22" s="260" t="inlineStr">
        <is>
          <t xml:space="preserve"> Тамбовская область</t>
        </is>
      </c>
      <c r="B22" s="261" t="n">
        <v>320623.4</v>
      </c>
      <c r="C22" s="262" t="n">
        <v>105340</v>
      </c>
      <c r="D22" s="262" t="n">
        <v>4984.4</v>
      </c>
      <c r="E22" s="263" t="n">
        <v>210299</v>
      </c>
      <c r="F22" s="261" t="n">
        <v>320572.4</v>
      </c>
      <c r="G22" s="262" t="n">
        <v>111682.6</v>
      </c>
      <c r="H22" s="262" t="n">
        <v>4808.4</v>
      </c>
      <c r="I22" s="263" t="n">
        <v>204081.4</v>
      </c>
      <c r="J22" s="261" t="n">
        <v>352202.6</v>
      </c>
      <c r="K22" s="262" t="n">
        <v>118440.2</v>
      </c>
      <c r="L22" s="262" t="n">
        <v>5549.1</v>
      </c>
      <c r="M22" s="263" t="n">
        <v>228213.3</v>
      </c>
      <c r="N22" s="261" t="n">
        <v>353745.5</v>
      </c>
      <c r="O22" s="262" t="n">
        <v>126280.5</v>
      </c>
      <c r="P22" s="262" t="n">
        <v>5321.9</v>
      </c>
      <c r="Q22" s="263" t="n">
        <v>222143.1</v>
      </c>
      <c r="R22" s="261" t="n">
        <v>376258.7</v>
      </c>
      <c r="S22" s="262" t="n">
        <v>130750.5</v>
      </c>
      <c r="T22" s="262" t="n">
        <v>4928.3</v>
      </c>
      <c r="U22" s="263" t="n">
        <v>240579.9</v>
      </c>
      <c r="V22" s="261" t="n">
        <v>442996.9</v>
      </c>
      <c r="W22" s="262" t="n">
        <v>149114</v>
      </c>
      <c r="X22" s="262" t="n">
        <v>4881.1</v>
      </c>
      <c r="Y22" s="263" t="n">
        <v>289001.8</v>
      </c>
      <c r="Z22" s="261" t="n">
        <v>452306.1</v>
      </c>
      <c r="AA22" s="262" t="n">
        <v>164726.7</v>
      </c>
      <c r="AB22" s="262" t="n">
        <v>5650.4</v>
      </c>
      <c r="AC22" s="263" t="n">
        <v>281929</v>
      </c>
      <c r="AD22" s="261" t="n">
        <v>522646.8</v>
      </c>
      <c r="AE22" s="262" t="n">
        <v>193439.3</v>
      </c>
      <c r="AF22" s="262" t="n">
        <v>5480.8</v>
      </c>
      <c r="AG22" s="263" t="n">
        <v>323726.7</v>
      </c>
      <c r="AI22" s="369" t="n"/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</row>
    <row r="23" ht="15" customHeight="1" s="226">
      <c r="A23" s="260" t="inlineStr">
        <is>
          <t xml:space="preserve"> Тверская область</t>
        </is>
      </c>
      <c r="B23" s="261" t="n">
        <v>397438.9</v>
      </c>
      <c r="C23" s="262" t="n">
        <v>176767.1</v>
      </c>
      <c r="D23" s="262" t="n">
        <v>9333.200000000001</v>
      </c>
      <c r="E23" s="263" t="n">
        <v>211338.6</v>
      </c>
      <c r="F23" s="261" t="n">
        <v>420671.5</v>
      </c>
      <c r="G23" s="262" t="n">
        <v>186197.8</v>
      </c>
      <c r="H23" s="262" t="n">
        <v>10034.1</v>
      </c>
      <c r="I23" s="263" t="n">
        <v>224439.6</v>
      </c>
      <c r="J23" s="261" t="n">
        <v>471065.5</v>
      </c>
      <c r="K23" s="262" t="n">
        <v>205817.7</v>
      </c>
      <c r="L23" s="262" t="n">
        <v>10604.3</v>
      </c>
      <c r="M23" s="263" t="n">
        <v>254643.5</v>
      </c>
      <c r="N23" s="261" t="n">
        <v>488367.5</v>
      </c>
      <c r="O23" s="262" t="n">
        <v>211948.1</v>
      </c>
      <c r="P23" s="262" t="n">
        <v>9317.4</v>
      </c>
      <c r="Q23" s="263" t="n">
        <v>267102</v>
      </c>
      <c r="R23" s="261" t="n">
        <v>486599.1</v>
      </c>
      <c r="S23" s="262" t="n">
        <v>213217.8</v>
      </c>
      <c r="T23" s="262" t="n">
        <v>9772.6</v>
      </c>
      <c r="U23" s="263" t="n">
        <v>263608.7</v>
      </c>
      <c r="V23" s="261" t="n">
        <v>564548.5</v>
      </c>
      <c r="W23" s="262" t="n">
        <v>230506.8</v>
      </c>
      <c r="X23" s="262" t="n">
        <v>9494.5</v>
      </c>
      <c r="Y23" s="263" t="n">
        <v>324547.2</v>
      </c>
      <c r="Z23" s="261" t="n">
        <v>620842.8</v>
      </c>
      <c r="AA23" s="262" t="n">
        <v>253047.8</v>
      </c>
      <c r="AB23" s="262" t="n">
        <v>10445.7</v>
      </c>
      <c r="AC23" s="263" t="n">
        <v>357349.3</v>
      </c>
      <c r="AD23" s="261" t="n">
        <v>750838.4</v>
      </c>
      <c r="AE23" s="262" t="n">
        <v>295851.5</v>
      </c>
      <c r="AF23" s="262" t="n">
        <v>10048.6</v>
      </c>
      <c r="AG23" s="263" t="n">
        <v>444938.3</v>
      </c>
      <c r="AI23" s="369" t="n"/>
      <c r="AJ23" s="369" t="n"/>
      <c r="AK23" s="369" t="n"/>
      <c r="AL23" s="369" t="n"/>
      <c r="AM23" s="369" t="n"/>
      <c r="AN23" s="369" t="n"/>
      <c r="AO23" s="369" t="n"/>
      <c r="AP23" s="369" t="n"/>
      <c r="AQ23" s="369" t="n"/>
      <c r="AR23" s="369" t="n"/>
      <c r="AS23" s="369" t="n"/>
      <c r="AT23" s="369" t="n"/>
      <c r="AU23" s="369" t="n"/>
    </row>
    <row r="24" ht="15" customHeight="1" s="226">
      <c r="A24" s="260" t="inlineStr">
        <is>
          <t xml:space="preserve"> Тульская область</t>
        </is>
      </c>
      <c r="B24" s="261" t="n">
        <v>552308.4</v>
      </c>
      <c r="C24" s="262" t="n">
        <v>218716.6</v>
      </c>
      <c r="D24" s="262" t="n">
        <v>7297</v>
      </c>
      <c r="E24" s="263" t="n">
        <v>326294.8</v>
      </c>
      <c r="F24" s="261" t="n">
        <v>594407.6</v>
      </c>
      <c r="G24" s="262" t="n">
        <v>225071.7</v>
      </c>
      <c r="H24" s="262" t="n">
        <v>7963.5</v>
      </c>
      <c r="I24" s="263" t="n">
        <v>361372.4</v>
      </c>
      <c r="J24" s="261" t="n">
        <v>666763</v>
      </c>
      <c r="K24" s="262" t="n">
        <v>237053.4</v>
      </c>
      <c r="L24" s="262" t="n">
        <v>8980</v>
      </c>
      <c r="M24" s="263" t="n">
        <v>420729.6</v>
      </c>
      <c r="N24" s="261" t="n">
        <v>676822.6</v>
      </c>
      <c r="O24" s="262" t="n">
        <v>263174.9</v>
      </c>
      <c r="P24" s="262" t="n">
        <v>8567.299999999999</v>
      </c>
      <c r="Q24" s="263" t="n">
        <v>405080.4</v>
      </c>
      <c r="R24" s="261" t="n">
        <v>713110.4</v>
      </c>
      <c r="S24" s="262" t="n">
        <v>265532.2</v>
      </c>
      <c r="T24" s="262" t="n">
        <v>8054.3</v>
      </c>
      <c r="U24" s="263" t="n">
        <v>439523.9</v>
      </c>
      <c r="V24" s="261" t="n">
        <v>887541.1</v>
      </c>
      <c r="W24" s="262" t="n">
        <v>310973.1</v>
      </c>
      <c r="X24" s="262" t="n">
        <v>8211.6</v>
      </c>
      <c r="Y24" s="263" t="n">
        <v>568356.4</v>
      </c>
      <c r="Z24" s="261" t="n">
        <v>1002419.4</v>
      </c>
      <c r="AA24" s="262" t="n">
        <v>336782.3</v>
      </c>
      <c r="AB24" s="262" t="n">
        <v>9503.4</v>
      </c>
      <c r="AC24" s="263" t="n">
        <v>656133.7</v>
      </c>
      <c r="AD24" s="261" t="n">
        <v>1149160.2</v>
      </c>
      <c r="AE24" s="262" t="n">
        <v>402429.5</v>
      </c>
      <c r="AF24" s="262" t="n">
        <v>8911</v>
      </c>
      <c r="AG24" s="263" t="n">
        <v>737819.7</v>
      </c>
      <c r="AI24" s="369" t="n"/>
      <c r="AJ24" s="369" t="n"/>
      <c r="AK24" s="369" t="n"/>
      <c r="AL24" s="369" t="n"/>
      <c r="AM24" s="369" t="n"/>
      <c r="AN24" s="369" t="n"/>
      <c r="AO24" s="369" t="n"/>
      <c r="AP24" s="369" t="n"/>
      <c r="AQ24" s="369" t="n"/>
      <c r="AR24" s="369" t="n"/>
      <c r="AS24" s="369" t="n"/>
      <c r="AT24" s="369" t="n"/>
      <c r="AU24" s="369" t="n"/>
    </row>
    <row r="25" ht="15" customHeight="1" s="226">
      <c r="A25" s="260" t="inlineStr">
        <is>
          <t xml:space="preserve"> Ярославская область</t>
        </is>
      </c>
      <c r="B25" s="261" t="n">
        <v>498880.3</v>
      </c>
      <c r="C25" s="262" t="n">
        <v>215852.5</v>
      </c>
      <c r="D25" s="262" t="n">
        <v>8848.1</v>
      </c>
      <c r="E25" s="263" t="n">
        <v>274179.7</v>
      </c>
      <c r="F25" s="261" t="n">
        <v>534549.7</v>
      </c>
      <c r="G25" s="262" t="n">
        <v>233542.9</v>
      </c>
      <c r="H25" s="262" t="n">
        <v>9046.200000000001</v>
      </c>
      <c r="I25" s="263" t="n">
        <v>291960.6</v>
      </c>
      <c r="J25" s="261" t="n">
        <v>583605.3</v>
      </c>
      <c r="K25" s="262" t="n">
        <v>254511.4</v>
      </c>
      <c r="L25" s="262" t="n">
        <v>9322.799999999999</v>
      </c>
      <c r="M25" s="263" t="n">
        <v>319771.1</v>
      </c>
      <c r="N25" s="261" t="n">
        <v>609150.8</v>
      </c>
      <c r="O25" s="262" t="n">
        <v>270384.4</v>
      </c>
      <c r="P25" s="262" t="n">
        <v>7957.6</v>
      </c>
      <c r="Q25" s="263" t="n">
        <v>330808.8</v>
      </c>
      <c r="R25" s="261" t="n">
        <v>611748.5</v>
      </c>
      <c r="S25" s="262" t="n">
        <v>272734.4</v>
      </c>
      <c r="T25" s="262" t="n">
        <v>7959.9</v>
      </c>
      <c r="U25" s="263" t="n">
        <v>331054.2</v>
      </c>
      <c r="V25" s="261" t="n">
        <v>695015.4</v>
      </c>
      <c r="W25" s="262" t="n">
        <v>304960.8</v>
      </c>
      <c r="X25" s="262" t="n">
        <v>8145.2</v>
      </c>
      <c r="Y25" s="263" t="n">
        <v>381909.4</v>
      </c>
      <c r="Z25" s="261" t="n">
        <v>740598.6</v>
      </c>
      <c r="AA25" s="262" t="n">
        <v>319886.6</v>
      </c>
      <c r="AB25" s="262" t="n">
        <v>8990</v>
      </c>
      <c r="AC25" s="263" t="n">
        <v>411722</v>
      </c>
      <c r="AD25" s="261" t="n">
        <v>849769.9</v>
      </c>
      <c r="AE25" s="262" t="n">
        <v>375160</v>
      </c>
      <c r="AF25" s="262" t="n">
        <v>9310.5</v>
      </c>
      <c r="AG25" s="263" t="n">
        <v>465299.4</v>
      </c>
      <c r="AI25" s="369" t="n"/>
      <c r="AJ25" s="369" t="n"/>
      <c r="AK25" s="369" t="n"/>
      <c r="AL25" s="369" t="n"/>
      <c r="AM25" s="369" t="n"/>
      <c r="AN25" s="369" t="n"/>
      <c r="AO25" s="369" t="n"/>
      <c r="AP25" s="369" t="n"/>
      <c r="AQ25" s="369" t="n"/>
      <c r="AR25" s="369" t="n"/>
      <c r="AS25" s="369" t="n"/>
      <c r="AT25" s="369" t="n"/>
      <c r="AU25" s="369" t="n"/>
    </row>
    <row r="26" ht="15" customHeight="1" s="226">
      <c r="A26" s="260" t="inlineStr">
        <is>
          <t xml:space="preserve"> г.Москва</t>
        </is>
      </c>
      <c r="B26" s="261" t="n">
        <v>15121534.2</v>
      </c>
      <c r="C26" s="262" t="n">
        <v>5219724.3</v>
      </c>
      <c r="D26" s="262" t="n">
        <v>140731.4</v>
      </c>
      <c r="E26" s="263" t="n">
        <v>9761078.5</v>
      </c>
      <c r="F26" s="261" t="n">
        <v>16538189.5</v>
      </c>
      <c r="G26" s="262" t="n">
        <v>5790615.9</v>
      </c>
      <c r="H26" s="262" t="n">
        <v>184555.5</v>
      </c>
      <c r="I26" s="263" t="n">
        <v>10563018.1</v>
      </c>
      <c r="J26" s="261" t="n">
        <v>18777726</v>
      </c>
      <c r="K26" s="262" t="n">
        <v>6490411.4</v>
      </c>
      <c r="L26" s="262" t="n">
        <v>194325.6</v>
      </c>
      <c r="M26" s="263" t="n">
        <v>12092989</v>
      </c>
      <c r="N26" s="261" t="n">
        <v>19797064.3</v>
      </c>
      <c r="O26" s="262" t="n">
        <v>7202960.5</v>
      </c>
      <c r="P26" s="262" t="n">
        <v>169708</v>
      </c>
      <c r="Q26" s="263" t="n">
        <v>12424395.8</v>
      </c>
      <c r="R26" s="261" t="n">
        <v>20260717.7</v>
      </c>
      <c r="S26" s="262" t="n">
        <v>7771156.6</v>
      </c>
      <c r="T26" s="262" t="n">
        <v>173208.3</v>
      </c>
      <c r="U26" s="263" t="n">
        <v>12316352.8</v>
      </c>
      <c r="V26" s="261" t="n">
        <v>24265759.9</v>
      </c>
      <c r="W26" s="262" t="n">
        <v>8469260.4</v>
      </c>
      <c r="X26" s="262" t="n">
        <v>207998.1</v>
      </c>
      <c r="Y26" s="263" t="n">
        <v>15588501.4</v>
      </c>
      <c r="Z26" s="261" t="n">
        <v>27726392.1</v>
      </c>
      <c r="AA26" s="262" t="n">
        <v>9505572.1</v>
      </c>
      <c r="AB26" s="262" t="n">
        <v>231101.8</v>
      </c>
      <c r="AC26" s="263" t="n">
        <v>17989718.2</v>
      </c>
      <c r="AD26" s="261" t="n">
        <v>32339001.6</v>
      </c>
      <c r="AE26" s="262" t="n">
        <v>10701041.9</v>
      </c>
      <c r="AF26" s="262" t="n">
        <v>241042.1</v>
      </c>
      <c r="AG26" s="263" t="n">
        <v>21396917.6</v>
      </c>
      <c r="AI26" s="369" t="n"/>
      <c r="AJ26" s="369" t="n"/>
      <c r="AK26" s="369" t="n"/>
      <c r="AL26" s="369" t="n"/>
      <c r="AM26" s="369" t="n"/>
      <c r="AN26" s="369" t="n"/>
      <c r="AO26" s="369" t="n"/>
      <c r="AP26" s="369" t="n"/>
      <c r="AQ26" s="369" t="n"/>
      <c r="AR26" s="369" t="n"/>
      <c r="AS26" s="369" t="n"/>
      <c r="AT26" s="369" t="n"/>
      <c r="AU26" s="369" t="n"/>
    </row>
    <row r="27" ht="15" customHeight="1" s="226">
      <c r="A27" s="253" t="inlineStr">
        <is>
          <t>Северо-Западный федеральный округ</t>
        </is>
      </c>
      <c r="B27" s="254">
        <f>SUM(B28:B39)-B32-B31</f>
        <v/>
      </c>
      <c r="C27" s="254">
        <f>SUM(C28:C39)-C32-C31</f>
        <v/>
      </c>
      <c r="D27" s="254">
        <f>SUM(D28:D39)-D32-D31</f>
        <v/>
      </c>
      <c r="E27" s="254">
        <f>SUM(E28:E39)-E32-E31</f>
        <v/>
      </c>
      <c r="F27" s="254">
        <f>SUM(F28:F39)-F32-F31</f>
        <v/>
      </c>
      <c r="G27" s="254">
        <f>SUM(G28:G39)-G32-G31</f>
        <v/>
      </c>
      <c r="H27" s="254">
        <f>SUM(H28:H39)-H32-H31</f>
        <v/>
      </c>
      <c r="I27" s="254">
        <f>SUM(I28:I39)-I32-I31</f>
        <v/>
      </c>
      <c r="J27" s="254">
        <f>SUM(J28:J39)-J32-J31</f>
        <v/>
      </c>
      <c r="K27" s="254">
        <f>SUM(K28:K39)-K32-K31</f>
        <v/>
      </c>
      <c r="L27" s="254">
        <f>SUM(L28:L39)-L32-L31</f>
        <v/>
      </c>
      <c r="M27" s="254">
        <f>SUM(M28:M39)-M32-M31</f>
        <v/>
      </c>
      <c r="N27" s="254">
        <f>SUM(N28:N39)-N32-N31</f>
        <v/>
      </c>
      <c r="O27" s="254">
        <f>SUM(O28:O39)-O32-O31</f>
        <v/>
      </c>
      <c r="P27" s="254">
        <f>SUM(P28:P39)-P32-P31</f>
        <v/>
      </c>
      <c r="Q27" s="254">
        <f>SUM(Q28:Q39)-Q32-Q31</f>
        <v/>
      </c>
      <c r="R27" s="254">
        <f>SUM(R28:R39)-R32-R31</f>
        <v/>
      </c>
      <c r="S27" s="254">
        <f>SUM(S28:S39)-S32-S31</f>
        <v/>
      </c>
      <c r="T27" s="254">
        <f>SUM(T28:T39)-T32-T31</f>
        <v/>
      </c>
      <c r="U27" s="254">
        <f>SUM(U28:U39)-U32-U31</f>
        <v/>
      </c>
      <c r="V27" s="254">
        <f>SUM(V28:V39)-V32-V31</f>
        <v/>
      </c>
      <c r="W27" s="254">
        <f>SUM(W28:W39)-W32-W31</f>
        <v/>
      </c>
      <c r="X27" s="254">
        <f>SUM(X28:X39)-X32-X31</f>
        <v/>
      </c>
      <c r="Y27" s="254">
        <f>SUM(Y28:Y39)-Y32-Y31</f>
        <v/>
      </c>
      <c r="Z27" s="254">
        <f>SUM(Z28:Z39)-Z32-Z31</f>
        <v/>
      </c>
      <c r="AA27" s="254">
        <f>SUM(AA28:AA39)-AA32-AA31</f>
        <v/>
      </c>
      <c r="AB27" s="254">
        <f>SUM(AB28:AB39)-AB32-AB31</f>
        <v/>
      </c>
      <c r="AC27" s="254">
        <f>SUM(AC28:AC39)-AC32-AC31</f>
        <v/>
      </c>
      <c r="AD27" s="254">
        <f>SUM(AD28:AD39)-AD32-AD31</f>
        <v/>
      </c>
      <c r="AE27" s="254">
        <f>SUM(AE28:AE39)-AE32-AE31</f>
        <v/>
      </c>
      <c r="AF27" s="254">
        <f>SUM(AF28:AF39)-AF32-AF31</f>
        <v/>
      </c>
      <c r="AG27" s="254">
        <f>SUM(AG28:AG39)-AG32-AG31</f>
        <v/>
      </c>
      <c r="AI27" s="369" t="n"/>
      <c r="AJ27" s="369" t="n"/>
      <c r="AK27" s="369" t="n"/>
      <c r="AL27" s="369" t="n"/>
      <c r="AM27" s="369" t="n"/>
      <c r="AN27" s="369" t="n"/>
      <c r="AO27" s="369" t="n"/>
      <c r="AP27" s="369" t="n"/>
      <c r="AQ27" s="369" t="n"/>
      <c r="AR27" s="369" t="n"/>
      <c r="AS27" s="369" t="n"/>
      <c r="AT27" s="369" t="n"/>
      <c r="AU27" s="369" t="n"/>
    </row>
    <row r="28" ht="15" customHeight="1" s="226">
      <c r="A28" s="260" t="inlineStr">
        <is>
          <t xml:space="preserve"> Республика Карелия</t>
        </is>
      </c>
      <c r="B28" s="261" t="n">
        <v>248140.4</v>
      </c>
      <c r="C28" s="262" t="n">
        <v>107581</v>
      </c>
      <c r="D28" s="262" t="n">
        <v>3022.2</v>
      </c>
      <c r="E28" s="263" t="n">
        <v>137537.2</v>
      </c>
      <c r="F28" s="261" t="n">
        <v>270802.5</v>
      </c>
      <c r="G28" s="262" t="n">
        <v>115688</v>
      </c>
      <c r="H28" s="262" t="n">
        <v>3282.4</v>
      </c>
      <c r="I28" s="263" t="n">
        <v>151832.1</v>
      </c>
      <c r="J28" s="261" t="n">
        <v>300977.1</v>
      </c>
      <c r="K28" s="262" t="n">
        <v>119787</v>
      </c>
      <c r="L28" s="262" t="n">
        <v>3638.5</v>
      </c>
      <c r="M28" s="263" t="n">
        <v>177551.6</v>
      </c>
      <c r="N28" s="261" t="n">
        <v>319050</v>
      </c>
      <c r="O28" s="262" t="n">
        <v>124029.4</v>
      </c>
      <c r="P28" s="262" t="n">
        <v>3297.6</v>
      </c>
      <c r="Q28" s="263" t="n">
        <v>191723</v>
      </c>
      <c r="R28" s="261" t="n">
        <v>322803.6</v>
      </c>
      <c r="S28" s="262" t="n">
        <v>131954.1</v>
      </c>
      <c r="T28" s="262" t="n">
        <v>3233.4</v>
      </c>
      <c r="U28" s="263" t="n">
        <v>187616.1</v>
      </c>
      <c r="V28" s="261" t="n">
        <v>447564.1</v>
      </c>
      <c r="W28" s="262" t="n">
        <v>145641.5</v>
      </c>
      <c r="X28" s="262" t="n">
        <v>3567.7</v>
      </c>
      <c r="Y28" s="263" t="n">
        <v>298354.9</v>
      </c>
      <c r="Z28" s="261" t="n">
        <v>392693.2</v>
      </c>
      <c r="AA28" s="262" t="n">
        <v>160944.1</v>
      </c>
      <c r="AB28" s="262" t="n">
        <v>3571.5</v>
      </c>
      <c r="AC28" s="263" t="n">
        <v>228177.6</v>
      </c>
      <c r="AD28" s="261" t="n">
        <v>434291.1</v>
      </c>
      <c r="AE28" s="262" t="n">
        <v>177849.8</v>
      </c>
      <c r="AF28" s="262" t="n">
        <v>4007.8</v>
      </c>
      <c r="AG28" s="263" t="n">
        <v>252433.5</v>
      </c>
      <c r="AI28" s="369" t="n"/>
      <c r="AJ28" s="369" t="n"/>
      <c r="AK28" s="369" t="n"/>
      <c r="AL28" s="369" t="n"/>
      <c r="AM28" s="369" t="n"/>
      <c r="AN28" s="369" t="n"/>
      <c r="AO28" s="369" t="n"/>
      <c r="AP28" s="369" t="n"/>
      <c r="AQ28" s="369" t="n"/>
      <c r="AR28" s="369" t="n"/>
      <c r="AS28" s="369" t="n"/>
      <c r="AT28" s="369" t="n"/>
      <c r="AU28" s="369" t="n"/>
    </row>
    <row r="29" ht="15" customHeight="1" s="226">
      <c r="A29" s="260" t="inlineStr">
        <is>
          <t xml:space="preserve"> Республика Коми</t>
        </is>
      </c>
      <c r="B29" s="261" t="n">
        <v>578649.1</v>
      </c>
      <c r="C29" s="262" t="n">
        <v>252859.5</v>
      </c>
      <c r="D29" s="262" t="n">
        <v>15330.1</v>
      </c>
      <c r="E29" s="263" t="n">
        <v>310459.5</v>
      </c>
      <c r="F29" s="261" t="n">
        <v>608574.5</v>
      </c>
      <c r="G29" s="262" t="n">
        <v>248990.5</v>
      </c>
      <c r="H29" s="262" t="n">
        <v>19885.6</v>
      </c>
      <c r="I29" s="263" t="n">
        <v>339698.4</v>
      </c>
      <c r="J29" s="261" t="n">
        <v>696242.2</v>
      </c>
      <c r="K29" s="262" t="n">
        <v>260446.5</v>
      </c>
      <c r="L29" s="262" t="n">
        <v>23626.6</v>
      </c>
      <c r="M29" s="263" t="n">
        <v>412169.1</v>
      </c>
      <c r="N29" s="261" t="n">
        <v>718138.7</v>
      </c>
      <c r="O29" s="262" t="n">
        <v>269750.3</v>
      </c>
      <c r="P29" s="262" t="n">
        <v>21944.6</v>
      </c>
      <c r="Q29" s="263" t="n">
        <v>426443.8</v>
      </c>
      <c r="R29" s="261" t="n">
        <v>613266.9</v>
      </c>
      <c r="S29" s="262" t="n">
        <v>273781.3</v>
      </c>
      <c r="T29" s="262" t="n">
        <v>22050.5</v>
      </c>
      <c r="U29" s="263" t="n">
        <v>317435.1</v>
      </c>
      <c r="V29" s="261" t="n">
        <v>869995.8</v>
      </c>
      <c r="W29" s="262" t="n">
        <v>284028</v>
      </c>
      <c r="X29" s="262" t="n">
        <v>21417.6</v>
      </c>
      <c r="Y29" s="263" t="n">
        <v>564550.2</v>
      </c>
      <c r="Z29" s="261" t="n">
        <v>971635</v>
      </c>
      <c r="AA29" s="262" t="n">
        <v>310888.7</v>
      </c>
      <c r="AB29" s="262" t="n">
        <v>25475.8</v>
      </c>
      <c r="AC29" s="263" t="n">
        <v>635270.5</v>
      </c>
      <c r="AD29" s="261" t="n">
        <v>1049365.5</v>
      </c>
      <c r="AE29" s="262" t="n">
        <v>343729.6</v>
      </c>
      <c r="AF29" s="262" t="n">
        <v>27594.1</v>
      </c>
      <c r="AG29" s="263" t="n">
        <v>678041.8</v>
      </c>
      <c r="AI29" s="369" t="n"/>
      <c r="AJ29" s="369" t="n"/>
      <c r="AK29" s="369" t="n"/>
      <c r="AL29" s="369" t="n"/>
      <c r="AM29" s="369" t="n"/>
      <c r="AN29" s="369" t="n"/>
      <c r="AO29" s="369" t="n"/>
      <c r="AP29" s="369" t="n"/>
      <c r="AQ29" s="369" t="n"/>
      <c r="AR29" s="369" t="n"/>
      <c r="AS29" s="369" t="n"/>
      <c r="AT29" s="369" t="n"/>
      <c r="AU29" s="369" t="n"/>
    </row>
    <row r="30" ht="15" customHeight="1" s="226">
      <c r="A30" s="260" t="inlineStr">
        <is>
          <t xml:space="preserve"> Архангельская область</t>
        </is>
      </c>
      <c r="B30" s="261" t="n">
        <v>713043.9</v>
      </c>
      <c r="C30" s="262" t="n">
        <v>252736.3</v>
      </c>
      <c r="D30" s="262" t="n">
        <v>13172.1</v>
      </c>
      <c r="E30" s="263" t="n">
        <v>447135.5</v>
      </c>
      <c r="F30" s="261" t="n">
        <v>759206.5</v>
      </c>
      <c r="G30" s="262" t="n">
        <v>269477.3</v>
      </c>
      <c r="H30" s="262" t="n">
        <v>14428.7</v>
      </c>
      <c r="I30" s="263" t="n">
        <v>475300.5</v>
      </c>
      <c r="J30" s="261" t="n">
        <v>865723.3</v>
      </c>
      <c r="K30" s="262" t="n">
        <v>285841.3</v>
      </c>
      <c r="L30" s="262" t="n">
        <v>16051.4</v>
      </c>
      <c r="M30" s="263" t="n">
        <v>563830.6</v>
      </c>
      <c r="N30" s="261" t="n">
        <v>889974.4</v>
      </c>
      <c r="O30" s="262" t="n">
        <v>303956.6</v>
      </c>
      <c r="P30" s="262" t="n">
        <v>15966.9</v>
      </c>
      <c r="Q30" s="263" t="n">
        <v>570050.9</v>
      </c>
      <c r="R30" s="261" t="n">
        <v>781819</v>
      </c>
      <c r="S30" s="262" t="n">
        <v>306160.4</v>
      </c>
      <c r="T30" s="262" t="n">
        <v>15578.7</v>
      </c>
      <c r="U30" s="263" t="n">
        <v>460079.9</v>
      </c>
      <c r="V30" s="261" t="n">
        <v>1080494.9</v>
      </c>
      <c r="W30" s="262" t="n">
        <v>346217.2</v>
      </c>
      <c r="X30" s="262" t="n">
        <v>14795.1</v>
      </c>
      <c r="Y30" s="263" t="n">
        <v>719482.6</v>
      </c>
      <c r="Z30" s="261" t="n">
        <v>1189495</v>
      </c>
      <c r="AA30" s="262" t="n">
        <v>377975</v>
      </c>
      <c r="AB30" s="262" t="n">
        <v>16215.6</v>
      </c>
      <c r="AC30" s="263" t="n">
        <v>795304.4</v>
      </c>
      <c r="AD30" s="261" t="n">
        <v>1263045.1</v>
      </c>
      <c r="AE30" s="262" t="n">
        <v>419666.7</v>
      </c>
      <c r="AF30" s="262" t="n">
        <v>17355.9</v>
      </c>
      <c r="AG30" s="263" t="n">
        <v>826022.5</v>
      </c>
      <c r="AI30" s="369" t="n"/>
      <c r="AJ30" s="369" t="n"/>
      <c r="AK30" s="369" t="n"/>
      <c r="AL30" s="369" t="n"/>
      <c r="AM30" s="369" t="n"/>
      <c r="AN30" s="369" t="n"/>
      <c r="AO30" s="369" t="n"/>
      <c r="AP30" s="369" t="n"/>
      <c r="AQ30" s="369" t="n"/>
      <c r="AR30" s="369" t="n"/>
      <c r="AS30" s="369" t="n"/>
      <c r="AT30" s="369" t="n"/>
      <c r="AU30" s="369" t="n"/>
    </row>
    <row r="31" ht="15" customHeight="1" s="226">
      <c r="A31" s="260" t="inlineStr">
        <is>
          <t xml:space="preserve">     в т.ч. Ненецкий АО</t>
        </is>
      </c>
      <c r="B31" s="261" t="n">
        <v>261772.5</v>
      </c>
      <c r="C31" s="262" t="n">
        <v>35654.9</v>
      </c>
      <c r="D31" s="262" t="n">
        <v>5718.7</v>
      </c>
      <c r="E31" s="263" t="n">
        <v>220398.9</v>
      </c>
      <c r="F31" s="261" t="n">
        <v>265790.9</v>
      </c>
      <c r="G31" s="262" t="n">
        <v>39558.7</v>
      </c>
      <c r="H31" s="262" t="n">
        <v>6060.3</v>
      </c>
      <c r="I31" s="263" t="n">
        <v>220171.9</v>
      </c>
      <c r="J31" s="261" t="n">
        <v>320405.7</v>
      </c>
      <c r="K31" s="262" t="n">
        <v>38033.4</v>
      </c>
      <c r="L31" s="262" t="n">
        <v>6225.4</v>
      </c>
      <c r="M31" s="263" t="n">
        <v>276146.9</v>
      </c>
      <c r="N31" s="261" t="n">
        <v>330999</v>
      </c>
      <c r="O31" s="262" t="n">
        <v>40887.8</v>
      </c>
      <c r="P31" s="262" t="n">
        <v>6121.4</v>
      </c>
      <c r="Q31" s="263" t="n">
        <v>283989.8</v>
      </c>
      <c r="R31" s="261" t="n">
        <v>230674.3</v>
      </c>
      <c r="S31" s="262" t="n">
        <v>39127.6</v>
      </c>
      <c r="T31" s="262" t="n">
        <v>6629.9</v>
      </c>
      <c r="U31" s="263" t="n">
        <v>184916.8</v>
      </c>
      <c r="V31" s="261" t="n">
        <v>409388.3</v>
      </c>
      <c r="W31" s="262" t="n">
        <v>42155.8</v>
      </c>
      <c r="X31" s="262" t="n">
        <v>5746.1</v>
      </c>
      <c r="Y31" s="263" t="n">
        <v>361486.4</v>
      </c>
      <c r="Z31" s="261" t="n">
        <v>489207.2</v>
      </c>
      <c r="AA31" s="262" t="n">
        <v>49695.7</v>
      </c>
      <c r="AB31" s="262" t="n">
        <v>5671</v>
      </c>
      <c r="AC31" s="263" t="n">
        <v>433840.5</v>
      </c>
      <c r="AD31" s="261" t="n">
        <v>501455.5</v>
      </c>
      <c r="AE31" s="262" t="n">
        <v>55567.3</v>
      </c>
      <c r="AF31" s="262" t="n">
        <v>6193.4</v>
      </c>
      <c r="AG31" s="263" t="n">
        <v>439694.8</v>
      </c>
      <c r="AI31" s="369" t="n"/>
      <c r="AJ31" s="369" t="n"/>
      <c r="AK31" s="369" t="n"/>
      <c r="AL31" s="369" t="n"/>
      <c r="AM31" s="369" t="n"/>
      <c r="AN31" s="369" t="n"/>
      <c r="AO31" s="369" t="n"/>
      <c r="AP31" s="369" t="n"/>
      <c r="AQ31" s="369" t="n"/>
      <c r="AR31" s="369" t="n"/>
      <c r="AS31" s="369" t="n"/>
      <c r="AT31" s="369" t="n"/>
      <c r="AU31" s="369" t="n"/>
    </row>
    <row r="32" ht="19.5" customHeight="1" s="226">
      <c r="A32" s="260" t="inlineStr">
        <is>
          <t>Архангельская область без Ненецкого АО</t>
        </is>
      </c>
      <c r="B32" s="261" t="n">
        <v>451271.4</v>
      </c>
      <c r="C32" s="262" t="n">
        <v>217081.4</v>
      </c>
      <c r="D32" s="262" t="n">
        <v>7453.4</v>
      </c>
      <c r="E32" s="263" t="n">
        <v>226736.6</v>
      </c>
      <c r="F32" s="261" t="n">
        <v>493415.6</v>
      </c>
      <c r="G32" s="262" t="n">
        <v>229918.5</v>
      </c>
      <c r="H32" s="262" t="n">
        <v>8368.4</v>
      </c>
      <c r="I32" s="263" t="n">
        <v>255128.7</v>
      </c>
      <c r="J32" s="261" t="n">
        <v>545317.6</v>
      </c>
      <c r="K32" s="262" t="n">
        <v>247807.9</v>
      </c>
      <c r="L32" s="262" t="n">
        <v>9826.1</v>
      </c>
      <c r="M32" s="263" t="n">
        <v>287683.6</v>
      </c>
      <c r="N32" s="261" t="n">
        <v>558975.4</v>
      </c>
      <c r="O32" s="262" t="n">
        <v>263068.8</v>
      </c>
      <c r="P32" s="262" t="n">
        <v>9845.5</v>
      </c>
      <c r="Q32" s="263" t="n">
        <v>286061.1</v>
      </c>
      <c r="R32" s="261" t="n">
        <v>551144.7</v>
      </c>
      <c r="S32" s="262" t="n">
        <v>267032.8</v>
      </c>
      <c r="T32" s="262" t="n">
        <v>8948.799999999999</v>
      </c>
      <c r="U32" s="263" t="n">
        <v>275163.1</v>
      </c>
      <c r="V32" s="261" t="n">
        <v>671106.7</v>
      </c>
      <c r="W32" s="262" t="n">
        <v>304061.4</v>
      </c>
      <c r="X32" s="262" t="n">
        <v>9049</v>
      </c>
      <c r="Y32" s="263" t="n">
        <v>357996.3</v>
      </c>
      <c r="Z32" s="261" t="n">
        <v>700287.8</v>
      </c>
      <c r="AA32" s="262" t="n">
        <v>328279.3</v>
      </c>
      <c r="AB32" s="262" t="n">
        <v>10544.7</v>
      </c>
      <c r="AC32" s="263" t="n">
        <v>361463.8</v>
      </c>
      <c r="AD32" s="261" t="n">
        <v>761589.6</v>
      </c>
      <c r="AE32" s="262" t="n">
        <v>364099.4</v>
      </c>
      <c r="AF32" s="262" t="n">
        <v>11162.5</v>
      </c>
      <c r="AG32" s="263" t="n">
        <v>386327.7</v>
      </c>
      <c r="AI32" s="369" t="n"/>
      <c r="AJ32" s="369" t="n"/>
      <c r="AK32" s="369" t="n"/>
      <c r="AL32" s="369" t="n"/>
      <c r="AM32" s="369" t="n"/>
      <c r="AN32" s="369" t="n"/>
      <c r="AO32" s="369" t="n"/>
      <c r="AP32" s="369" t="n"/>
      <c r="AQ32" s="369" t="n"/>
      <c r="AR32" s="369" t="n"/>
      <c r="AS32" s="369" t="n"/>
      <c r="AT32" s="369" t="n"/>
      <c r="AU32" s="369" t="n"/>
    </row>
    <row r="33" ht="15" customHeight="1" s="226">
      <c r="A33" s="260" t="inlineStr">
        <is>
          <t xml:space="preserve"> Вологодская область</t>
        </is>
      </c>
      <c r="B33" s="261" t="n">
        <v>509931.7</v>
      </c>
      <c r="C33" s="262" t="n">
        <v>185722.6</v>
      </c>
      <c r="D33" s="262" t="n">
        <v>11767.4</v>
      </c>
      <c r="E33" s="263" t="n">
        <v>312441.7</v>
      </c>
      <c r="F33" s="261" t="n">
        <v>542663.4</v>
      </c>
      <c r="G33" s="262" t="n">
        <v>200335.5</v>
      </c>
      <c r="H33" s="262" t="n">
        <v>12789.9</v>
      </c>
      <c r="I33" s="263" t="n">
        <v>329538</v>
      </c>
      <c r="J33" s="261" t="n">
        <v>615647.7</v>
      </c>
      <c r="K33" s="262" t="n">
        <v>213367.7</v>
      </c>
      <c r="L33" s="262" t="n">
        <v>15248.7</v>
      </c>
      <c r="M33" s="263" t="n">
        <v>387031.3</v>
      </c>
      <c r="N33" s="261" t="n">
        <v>632759.5</v>
      </c>
      <c r="O33" s="262" t="n">
        <v>233278.1</v>
      </c>
      <c r="P33" s="262" t="n">
        <v>14744.9</v>
      </c>
      <c r="Q33" s="263" t="n">
        <v>384736.5</v>
      </c>
      <c r="R33" s="261" t="n">
        <v>624437.1</v>
      </c>
      <c r="S33" s="262" t="n">
        <v>250231.2</v>
      </c>
      <c r="T33" s="262" t="n">
        <v>13751.5</v>
      </c>
      <c r="U33" s="263" t="n">
        <v>360454.4</v>
      </c>
      <c r="V33" s="261" t="n">
        <v>1026496.5</v>
      </c>
      <c r="W33" s="262" t="n">
        <v>278759.2</v>
      </c>
      <c r="X33" s="262" t="n">
        <v>13796.3</v>
      </c>
      <c r="Y33" s="263" t="n">
        <v>733941</v>
      </c>
      <c r="Z33" s="261" t="n">
        <v>1020858.9</v>
      </c>
      <c r="AA33" s="262" t="n">
        <v>300334.9</v>
      </c>
      <c r="AB33" s="262" t="n">
        <v>16296.2</v>
      </c>
      <c r="AC33" s="263" t="n">
        <v>704227.8</v>
      </c>
      <c r="AD33" s="261" t="n">
        <v>1081822.9</v>
      </c>
      <c r="AE33" s="262" t="n">
        <v>328436.7</v>
      </c>
      <c r="AF33" s="262" t="n">
        <v>17313.3</v>
      </c>
      <c r="AG33" s="263" t="n">
        <v>736072.9</v>
      </c>
      <c r="AI33" s="369" t="n"/>
      <c r="AJ33" s="369" t="n"/>
      <c r="AK33" s="369" t="n"/>
      <c r="AL33" s="369" t="n"/>
      <c r="AM33" s="369" t="n"/>
      <c r="AN33" s="369" t="n"/>
      <c r="AO33" s="369" t="n"/>
      <c r="AP33" s="369" t="n"/>
      <c r="AQ33" s="369" t="n"/>
      <c r="AR33" s="369" t="n"/>
      <c r="AS33" s="369" t="n"/>
      <c r="AT33" s="369" t="n"/>
      <c r="AU33" s="369" t="n"/>
    </row>
    <row r="34" ht="15" customHeight="1" s="226">
      <c r="A34" s="260" t="inlineStr">
        <is>
          <t xml:space="preserve"> Калининградская область</t>
        </is>
      </c>
      <c r="B34" s="261" t="n">
        <v>417094.9</v>
      </c>
      <c r="C34" s="262" t="n">
        <v>144996</v>
      </c>
      <c r="D34" s="262" t="n">
        <v>5043.5</v>
      </c>
      <c r="E34" s="263" t="n">
        <v>267055.4</v>
      </c>
      <c r="F34" s="261" t="n">
        <v>446677.6</v>
      </c>
      <c r="G34" s="262" t="n">
        <v>157877.4</v>
      </c>
      <c r="H34" s="262" t="n">
        <v>5654.9</v>
      </c>
      <c r="I34" s="263" t="n">
        <v>283145.3</v>
      </c>
      <c r="J34" s="261" t="n">
        <v>493302.4</v>
      </c>
      <c r="K34" s="262" t="n">
        <v>172183.3</v>
      </c>
      <c r="L34" s="262" t="n">
        <v>7055</v>
      </c>
      <c r="M34" s="263" t="n">
        <v>314064.1</v>
      </c>
      <c r="N34" s="261" t="n">
        <v>520951.2</v>
      </c>
      <c r="O34" s="262" t="n">
        <v>182005.7</v>
      </c>
      <c r="P34" s="262" t="n">
        <v>7659.9</v>
      </c>
      <c r="Q34" s="263" t="n">
        <v>331285.6</v>
      </c>
      <c r="R34" s="261" t="n">
        <v>549311.2</v>
      </c>
      <c r="S34" s="262" t="n">
        <v>190209.1</v>
      </c>
      <c r="T34" s="262" t="n">
        <v>7954.1</v>
      </c>
      <c r="U34" s="263" t="n">
        <v>351148</v>
      </c>
      <c r="V34" s="261" t="n">
        <v>683811.6</v>
      </c>
      <c r="W34" s="262" t="n">
        <v>222978.5</v>
      </c>
      <c r="X34" s="262" t="n">
        <v>8739</v>
      </c>
      <c r="Y34" s="263" t="n">
        <v>452094.1</v>
      </c>
      <c r="Z34" s="261" t="n">
        <v>733450.2</v>
      </c>
      <c r="AA34" s="262" t="n">
        <v>235264.4</v>
      </c>
      <c r="AB34" s="262" t="n">
        <v>8642.1</v>
      </c>
      <c r="AC34" s="263" t="n">
        <v>489543.7</v>
      </c>
      <c r="AD34" s="261" t="n">
        <v>785205.9</v>
      </c>
      <c r="AE34" s="262" t="n">
        <v>271104</v>
      </c>
      <c r="AF34" s="262" t="n">
        <v>9356.5</v>
      </c>
      <c r="AG34" s="263" t="n">
        <v>504745.4</v>
      </c>
      <c r="AI34" s="369" t="n"/>
      <c r="AJ34" s="369" t="n"/>
      <c r="AK34" s="369" t="n"/>
      <c r="AL34" s="369" t="n"/>
      <c r="AM34" s="369" t="n"/>
      <c r="AN34" s="369" t="n"/>
      <c r="AO34" s="369" t="n"/>
      <c r="AP34" s="369" t="n"/>
      <c r="AQ34" s="369" t="n"/>
      <c r="AR34" s="369" t="n"/>
      <c r="AS34" s="369" t="n"/>
      <c r="AT34" s="369" t="n"/>
      <c r="AU34" s="369" t="n"/>
    </row>
    <row r="35" ht="15" customHeight="1" s="226">
      <c r="A35" s="260" t="inlineStr">
        <is>
          <t xml:space="preserve"> Ленинградская область</t>
        </is>
      </c>
      <c r="B35" s="261" t="n">
        <v>953668.3</v>
      </c>
      <c r="C35" s="262" t="n">
        <v>320939.8</v>
      </c>
      <c r="D35" s="262" t="n">
        <v>19929.8</v>
      </c>
      <c r="E35" s="263" t="n">
        <v>612798.7</v>
      </c>
      <c r="F35" s="261" t="n">
        <v>1002543.3</v>
      </c>
      <c r="G35" s="262" t="n">
        <v>348405.2</v>
      </c>
      <c r="H35" s="262" t="n">
        <v>22225.2</v>
      </c>
      <c r="I35" s="263" t="n">
        <v>631912.9</v>
      </c>
      <c r="J35" s="261" t="n">
        <v>1147644.4</v>
      </c>
      <c r="K35" s="262" t="n">
        <v>394161.7</v>
      </c>
      <c r="L35" s="262" t="n">
        <v>25762</v>
      </c>
      <c r="M35" s="263" t="n">
        <v>727720.7</v>
      </c>
      <c r="N35" s="261" t="n">
        <v>1223679.6</v>
      </c>
      <c r="O35" s="262" t="n">
        <v>429983.4</v>
      </c>
      <c r="P35" s="262" t="n">
        <v>27379.1</v>
      </c>
      <c r="Q35" s="263" t="n">
        <v>766317.1</v>
      </c>
      <c r="R35" s="261" t="n">
        <v>1238641.3</v>
      </c>
      <c r="S35" s="262" t="n">
        <v>441451.6</v>
      </c>
      <c r="T35" s="262" t="n">
        <v>26209.1</v>
      </c>
      <c r="U35" s="263" t="n">
        <v>770980.6</v>
      </c>
      <c r="V35" s="261" t="n">
        <v>1473287.1</v>
      </c>
      <c r="W35" s="262" t="n">
        <v>471057.2</v>
      </c>
      <c r="X35" s="262" t="n">
        <v>28713.2</v>
      </c>
      <c r="Y35" s="263" t="n">
        <v>973516.7</v>
      </c>
      <c r="Z35" s="261" t="n">
        <v>1660133.9</v>
      </c>
      <c r="AA35" s="262" t="n">
        <v>538411.7</v>
      </c>
      <c r="AB35" s="262" t="n">
        <v>32779</v>
      </c>
      <c r="AC35" s="263" t="n">
        <v>1088943.2</v>
      </c>
      <c r="AD35" s="261" t="n">
        <v>1915187.7</v>
      </c>
      <c r="AE35" s="262" t="n">
        <v>624432.9</v>
      </c>
      <c r="AF35" s="262" t="n">
        <v>35990.8</v>
      </c>
      <c r="AG35" s="263" t="n">
        <v>1254764</v>
      </c>
      <c r="AI35" s="369" t="n"/>
      <c r="AJ35" s="369" t="n"/>
      <c r="AK35" s="369" t="n"/>
      <c r="AL35" s="369" t="n"/>
      <c r="AM35" s="369" t="n"/>
      <c r="AN35" s="369" t="n"/>
      <c r="AO35" s="369" t="n"/>
      <c r="AP35" s="369" t="n"/>
      <c r="AQ35" s="369" t="n"/>
      <c r="AR35" s="369" t="n"/>
      <c r="AS35" s="369" t="n"/>
      <c r="AT35" s="369" t="n"/>
      <c r="AU35" s="369" t="n"/>
    </row>
    <row r="36" ht="15" customHeight="1" s="226">
      <c r="A36" s="260" t="inlineStr">
        <is>
          <t xml:space="preserve"> Мурманская область</t>
        </is>
      </c>
      <c r="B36" s="261" t="n">
        <v>467006.5</v>
      </c>
      <c r="C36" s="262" t="n">
        <v>214010.3</v>
      </c>
      <c r="D36" s="262" t="n">
        <v>5973.4</v>
      </c>
      <c r="E36" s="263" t="n">
        <v>247022.8</v>
      </c>
      <c r="F36" s="261" t="n">
        <v>479352.8</v>
      </c>
      <c r="G36" s="262" t="n">
        <v>220614.2</v>
      </c>
      <c r="H36" s="262" t="n">
        <v>6868.5</v>
      </c>
      <c r="I36" s="263" t="n">
        <v>251870.1</v>
      </c>
      <c r="J36" s="261" t="n">
        <v>521051.5</v>
      </c>
      <c r="K36" s="262" t="n">
        <v>242365.2</v>
      </c>
      <c r="L36" s="262" t="n">
        <v>7604.4</v>
      </c>
      <c r="M36" s="263" t="n">
        <v>271081.9</v>
      </c>
      <c r="N36" s="261" t="n">
        <v>616504.1</v>
      </c>
      <c r="O36" s="262" t="n">
        <v>266479.9</v>
      </c>
      <c r="P36" s="262" t="n">
        <v>7528.9</v>
      </c>
      <c r="Q36" s="263" t="n">
        <v>342495.3</v>
      </c>
      <c r="R36" s="261" t="n">
        <v>798450.1</v>
      </c>
      <c r="S36" s="262" t="n">
        <v>281392.8</v>
      </c>
      <c r="T36" s="262" t="n">
        <v>7215</v>
      </c>
      <c r="U36" s="263" t="n">
        <v>509842.3</v>
      </c>
      <c r="V36" s="261" t="n">
        <v>1106607.7</v>
      </c>
      <c r="W36" s="262" t="n">
        <v>328375</v>
      </c>
      <c r="X36" s="262" t="n">
        <v>6170.6</v>
      </c>
      <c r="Y36" s="263" t="n">
        <v>772062.1</v>
      </c>
      <c r="Z36" s="261" t="n">
        <v>1152107.7</v>
      </c>
      <c r="AA36" s="262" t="n">
        <v>368255.3</v>
      </c>
      <c r="AB36" s="262" t="n">
        <v>5033.1</v>
      </c>
      <c r="AC36" s="263" t="n">
        <v>778819.3</v>
      </c>
      <c r="AD36" s="261" t="n">
        <v>1127497.3</v>
      </c>
      <c r="AE36" s="262" t="n">
        <v>407750.5</v>
      </c>
      <c r="AF36" s="262" t="n">
        <v>5217.2</v>
      </c>
      <c r="AG36" s="263" t="n">
        <v>714529.6</v>
      </c>
      <c r="AI36" s="369" t="n"/>
      <c r="AJ36" s="369" t="n"/>
      <c r="AK36" s="369" t="n"/>
      <c r="AL36" s="369" t="n"/>
      <c r="AM36" s="369" t="n"/>
      <c r="AN36" s="369" t="n"/>
      <c r="AO36" s="369" t="n"/>
      <c r="AP36" s="369" t="n"/>
      <c r="AQ36" s="369" t="n"/>
      <c r="AR36" s="369" t="n"/>
      <c r="AS36" s="369" t="n"/>
      <c r="AT36" s="369" t="n"/>
      <c r="AU36" s="369" t="n"/>
    </row>
    <row r="37" ht="15" customHeight="1" s="226">
      <c r="A37" s="260" t="inlineStr">
        <is>
          <t xml:space="preserve"> Новгородская область</t>
        </is>
      </c>
      <c r="B37" s="261" t="n">
        <v>253056.8</v>
      </c>
      <c r="C37" s="262" t="n">
        <v>100806.6</v>
      </c>
      <c r="D37" s="262" t="n">
        <v>3921.1</v>
      </c>
      <c r="E37" s="263" t="n">
        <v>148329.1</v>
      </c>
      <c r="F37" s="261" t="n">
        <v>256165.8</v>
      </c>
      <c r="G37" s="262" t="n">
        <v>111608.7</v>
      </c>
      <c r="H37" s="262" t="n">
        <v>4543.1</v>
      </c>
      <c r="I37" s="263" t="n">
        <v>140014</v>
      </c>
      <c r="J37" s="261" t="n">
        <v>259255.8</v>
      </c>
      <c r="K37" s="262" t="n">
        <v>113709.5</v>
      </c>
      <c r="L37" s="262" t="n">
        <v>4808.7</v>
      </c>
      <c r="M37" s="263" t="n">
        <v>140737.6</v>
      </c>
      <c r="N37" s="261" t="n">
        <v>273808</v>
      </c>
      <c r="O37" s="262" t="n">
        <v>114204.1</v>
      </c>
      <c r="P37" s="262" t="n">
        <v>4876</v>
      </c>
      <c r="Q37" s="263" t="n">
        <v>154727.9</v>
      </c>
      <c r="R37" s="261" t="n">
        <v>279689.3</v>
      </c>
      <c r="S37" s="262" t="n">
        <v>115154.9</v>
      </c>
      <c r="T37" s="262" t="n">
        <v>4544.6</v>
      </c>
      <c r="U37" s="263" t="n">
        <v>159989.8</v>
      </c>
      <c r="V37" s="261" t="n">
        <v>345664.3</v>
      </c>
      <c r="W37" s="262" t="n">
        <v>119116.6</v>
      </c>
      <c r="X37" s="262" t="n">
        <v>4658.8</v>
      </c>
      <c r="Y37" s="263" t="n">
        <v>221888.9</v>
      </c>
      <c r="Z37" s="261" t="n">
        <v>377578.5</v>
      </c>
      <c r="AA37" s="262" t="n">
        <v>127163.2</v>
      </c>
      <c r="AB37" s="262" t="n">
        <v>4746.3</v>
      </c>
      <c r="AC37" s="263" t="n">
        <v>245669</v>
      </c>
      <c r="AD37" s="261" t="n">
        <v>408968.1</v>
      </c>
      <c r="AE37" s="262" t="n">
        <v>148728.5</v>
      </c>
      <c r="AF37" s="262" t="n">
        <v>4555</v>
      </c>
      <c r="AG37" s="263" t="n">
        <v>255684.6</v>
      </c>
      <c r="AI37" s="369" t="n"/>
      <c r="AJ37" s="369" t="n"/>
      <c r="AK37" s="369" t="n"/>
      <c r="AL37" s="369" t="n"/>
      <c r="AM37" s="369" t="n"/>
      <c r="AN37" s="369" t="n"/>
      <c r="AO37" s="369" t="n"/>
      <c r="AP37" s="369" t="n"/>
      <c r="AQ37" s="369" t="n"/>
      <c r="AR37" s="369" t="n"/>
      <c r="AS37" s="369" t="n"/>
      <c r="AT37" s="369" t="n"/>
      <c r="AU37" s="369" t="n"/>
    </row>
    <row r="38" ht="15" customHeight="1" s="226">
      <c r="A38" s="260" t="inlineStr">
        <is>
          <t xml:space="preserve"> Псковская область</t>
        </is>
      </c>
      <c r="B38" s="261" t="n">
        <v>159206.1</v>
      </c>
      <c r="C38" s="262" t="n">
        <v>74743.39999999999</v>
      </c>
      <c r="D38" s="262" t="n">
        <v>2302.6</v>
      </c>
      <c r="E38" s="263" t="n">
        <v>82160.10000000001</v>
      </c>
      <c r="F38" s="261" t="n">
        <v>165858.1</v>
      </c>
      <c r="G38" s="262" t="n">
        <v>78131.2</v>
      </c>
      <c r="H38" s="262" t="n">
        <v>2312.2</v>
      </c>
      <c r="I38" s="263" t="n">
        <v>85414.7</v>
      </c>
      <c r="J38" s="261" t="n">
        <v>180730.3</v>
      </c>
      <c r="K38" s="262" t="n">
        <v>84789.39999999999</v>
      </c>
      <c r="L38" s="262" t="n">
        <v>2609.7</v>
      </c>
      <c r="M38" s="263" t="n">
        <v>93331.2</v>
      </c>
      <c r="N38" s="261" t="n">
        <v>196625.3</v>
      </c>
      <c r="O38" s="262" t="n">
        <v>90674</v>
      </c>
      <c r="P38" s="262" t="n">
        <v>2596.1</v>
      </c>
      <c r="Q38" s="263" t="n">
        <v>103355.2</v>
      </c>
      <c r="R38" s="261" t="n">
        <v>201756.7</v>
      </c>
      <c r="S38" s="262" t="n">
        <v>90604.8</v>
      </c>
      <c r="T38" s="262" t="n">
        <v>2453.8</v>
      </c>
      <c r="U38" s="263" t="n">
        <v>108698.1</v>
      </c>
      <c r="V38" s="261" t="n">
        <v>227739.7</v>
      </c>
      <c r="W38" s="262" t="n">
        <v>102384.9</v>
      </c>
      <c r="X38" s="262" t="n">
        <v>2493.4</v>
      </c>
      <c r="Y38" s="263" t="n">
        <v>122861.4</v>
      </c>
      <c r="Z38" s="261" t="n">
        <v>255842.8</v>
      </c>
      <c r="AA38" s="262" t="n">
        <v>113894.3</v>
      </c>
      <c r="AB38" s="262" t="n">
        <v>2625.3</v>
      </c>
      <c r="AC38" s="263" t="n">
        <v>139323.2</v>
      </c>
      <c r="AD38" s="261" t="n">
        <v>288750</v>
      </c>
      <c r="AE38" s="262" t="n">
        <v>125509.1</v>
      </c>
      <c r="AF38" s="262" t="n">
        <v>2608.7</v>
      </c>
      <c r="AG38" s="263" t="n">
        <v>160632.2</v>
      </c>
      <c r="AI38" s="369" t="n"/>
      <c r="AJ38" s="369" t="n"/>
      <c r="AK38" s="369" t="n"/>
      <c r="AL38" s="369" t="n"/>
      <c r="AM38" s="369" t="n"/>
      <c r="AN38" s="369" t="n"/>
      <c r="AO38" s="369" t="n"/>
      <c r="AP38" s="369" t="n"/>
      <c r="AQ38" s="369" t="n"/>
      <c r="AR38" s="369" t="n"/>
      <c r="AS38" s="369" t="n"/>
      <c r="AT38" s="369" t="n"/>
      <c r="AU38" s="369" t="n"/>
    </row>
    <row r="39" ht="15" customHeight="1" s="226">
      <c r="A39" s="260" t="inlineStr">
        <is>
          <t xml:space="preserve"> г.Санкт-Петербург</t>
        </is>
      </c>
      <c r="B39" s="285" t="n">
        <v>4099939.7</v>
      </c>
      <c r="C39" s="270" t="n">
        <v>1730821.5</v>
      </c>
      <c r="D39" s="270" t="n">
        <v>44444.7</v>
      </c>
      <c r="E39" s="271" t="n">
        <v>2324673.5</v>
      </c>
      <c r="F39" s="285" t="n">
        <v>4283036.3</v>
      </c>
      <c r="G39" s="270" t="n">
        <v>1868983.6</v>
      </c>
      <c r="H39" s="270" t="n">
        <v>45730.5</v>
      </c>
      <c r="I39" s="271" t="n">
        <v>2368322.2</v>
      </c>
      <c r="J39" s="285" t="n">
        <v>4785218.6</v>
      </c>
      <c r="K39" s="270" t="n">
        <v>2084938.2</v>
      </c>
      <c r="L39" s="270" t="n">
        <v>51355.5</v>
      </c>
      <c r="M39" s="271" t="n">
        <v>2648924.9</v>
      </c>
      <c r="N39" s="285" t="n">
        <v>5186129.3</v>
      </c>
      <c r="O39" s="270" t="n">
        <v>2269395.1</v>
      </c>
      <c r="P39" s="270" t="n">
        <v>45318.7</v>
      </c>
      <c r="Q39" s="271" t="n">
        <v>2871415.5</v>
      </c>
      <c r="R39" s="285" t="n">
        <v>5332558.3</v>
      </c>
      <c r="S39" s="270" t="n">
        <v>2457486.6</v>
      </c>
      <c r="T39" s="270" t="n">
        <v>44701.4</v>
      </c>
      <c r="U39" s="271" t="n">
        <v>2830370.3</v>
      </c>
      <c r="V39" s="285" t="n">
        <v>9420445.300000001</v>
      </c>
      <c r="W39" s="270" t="n">
        <v>2756066.4</v>
      </c>
      <c r="X39" s="270" t="n">
        <v>50117.5</v>
      </c>
      <c r="Y39" s="271" t="n">
        <v>6614261.4</v>
      </c>
      <c r="Z39" s="285" t="n">
        <v>11173493.1</v>
      </c>
      <c r="AA39" s="270" t="n">
        <v>3087106.8</v>
      </c>
      <c r="AB39" s="270" t="n">
        <v>62282.1</v>
      </c>
      <c r="AC39" s="271" t="n">
        <v>8024104.2</v>
      </c>
      <c r="AD39" s="285" t="n">
        <v>10908028</v>
      </c>
      <c r="AE39" s="270" t="n">
        <v>3573650.9</v>
      </c>
      <c r="AF39" s="270" t="n">
        <v>67705.2</v>
      </c>
      <c r="AG39" s="271" t="n">
        <v>7266671.9</v>
      </c>
      <c r="AI39" s="369" t="n"/>
      <c r="AJ39" s="369" t="n"/>
      <c r="AK39" s="369" t="n"/>
      <c r="AL39" s="369" t="n"/>
      <c r="AM39" s="369" t="n"/>
      <c r="AN39" s="369" t="n"/>
      <c r="AO39" s="369" t="n"/>
      <c r="AP39" s="369" t="n"/>
      <c r="AQ39" s="369" t="n"/>
      <c r="AR39" s="369" t="n"/>
      <c r="AS39" s="369" t="n"/>
      <c r="AT39" s="369" t="n"/>
      <c r="AU39" s="369" t="n"/>
    </row>
    <row r="40" ht="15" customHeight="1" s="226">
      <c r="A40" s="272" t="inlineStr">
        <is>
          <t>Южный федеральный округ</t>
        </is>
      </c>
      <c r="B40" s="254">
        <f>SUM(B41:B48)</f>
        <v/>
      </c>
      <c r="C40" s="254">
        <f>SUM(C41:C48)</f>
        <v/>
      </c>
      <c r="D40" s="254">
        <f>SUM(D41:D48)</f>
        <v/>
      </c>
      <c r="E40" s="254">
        <f>SUM(E41:E48)</f>
        <v/>
      </c>
      <c r="F40" s="254">
        <f>SUM(F41:F48)</f>
        <v/>
      </c>
      <c r="G40" s="254">
        <f>SUM(G41:G48)</f>
        <v/>
      </c>
      <c r="H40" s="254">
        <f>SUM(H41:H48)</f>
        <v/>
      </c>
      <c r="I40" s="254">
        <f>SUM(I41:I48)</f>
        <v/>
      </c>
      <c r="J40" s="254">
        <f>SUM(J41:J48)</f>
        <v/>
      </c>
      <c r="K40" s="254">
        <f>SUM(K41:K48)</f>
        <v/>
      </c>
      <c r="L40" s="254">
        <f>SUM(L41:L48)</f>
        <v/>
      </c>
      <c r="M40" s="254">
        <f>SUM(M41:M48)</f>
        <v/>
      </c>
      <c r="N40" s="254">
        <f>SUM(N41:N48)</f>
        <v/>
      </c>
      <c r="O40" s="254">
        <f>SUM(O41:O48)</f>
        <v/>
      </c>
      <c r="P40" s="254">
        <f>SUM(P41:P48)</f>
        <v/>
      </c>
      <c r="Q40" s="254">
        <f>SUM(Q41:Q48)</f>
        <v/>
      </c>
      <c r="R40" s="254">
        <f>SUM(R41:R48)</f>
        <v/>
      </c>
      <c r="S40" s="254">
        <f>SUM(S41:S48)</f>
        <v/>
      </c>
      <c r="T40" s="254">
        <f>SUM(T41:T48)</f>
        <v/>
      </c>
      <c r="U40" s="254">
        <f>SUM(U41:U48)</f>
        <v/>
      </c>
      <c r="V40" s="254">
        <f>SUM(V41:V48)</f>
        <v/>
      </c>
      <c r="W40" s="254">
        <f>SUM(W41:W48)</f>
        <v/>
      </c>
      <c r="X40" s="254">
        <f>SUM(X41:X48)</f>
        <v/>
      </c>
      <c r="Y40" s="254">
        <f>SUM(Y41:Y48)</f>
        <v/>
      </c>
      <c r="Z40" s="254">
        <f>SUM(Z41:Z48)</f>
        <v/>
      </c>
      <c r="AA40" s="254">
        <f>SUM(AA41:AA48)</f>
        <v/>
      </c>
      <c r="AB40" s="254">
        <f>SUM(AB41:AB48)</f>
        <v/>
      </c>
      <c r="AC40" s="254">
        <f>SUM(AC41:AC48)</f>
        <v/>
      </c>
      <c r="AD40" s="254">
        <f>SUM(AD41:AD48)</f>
        <v/>
      </c>
      <c r="AE40" s="254">
        <f>SUM(AE41:AE48)</f>
        <v/>
      </c>
      <c r="AF40" s="254">
        <f>SUM(AF41:AF48)</f>
        <v/>
      </c>
      <c r="AG40" s="254">
        <f>SUM(AG41:AG48)</f>
        <v/>
      </c>
      <c r="AI40" s="369" t="n"/>
      <c r="AJ40" s="369" t="n"/>
      <c r="AK40" s="369" t="n"/>
      <c r="AL40" s="369" t="n"/>
      <c r="AM40" s="369" t="n"/>
      <c r="AN40" s="369" t="n"/>
      <c r="AO40" s="369" t="n"/>
      <c r="AP40" s="369" t="n"/>
      <c r="AQ40" s="369" t="n"/>
      <c r="AR40" s="369" t="n"/>
      <c r="AS40" s="369" t="n"/>
      <c r="AT40" s="369" t="n"/>
      <c r="AU40" s="369" t="n"/>
    </row>
    <row r="41" ht="15" customHeight="1" s="226">
      <c r="A41" s="260" t="inlineStr">
        <is>
          <t xml:space="preserve"> Республика Адыгея (Адыгея)</t>
        </is>
      </c>
      <c r="B41" s="286" t="n">
        <v>101102.7</v>
      </c>
      <c r="C41" s="273" t="n">
        <v>35892.2</v>
      </c>
      <c r="D41" s="273" t="n">
        <v>1470.8</v>
      </c>
      <c r="E41" s="274" t="n">
        <v>63739.7</v>
      </c>
      <c r="F41" s="286" t="n">
        <v>109714.5</v>
      </c>
      <c r="G41" s="273" t="n">
        <v>39563</v>
      </c>
      <c r="H41" s="273" t="n">
        <v>1594.9</v>
      </c>
      <c r="I41" s="274" t="n">
        <v>68556.60000000001</v>
      </c>
      <c r="J41" s="286" t="n">
        <v>119961.8</v>
      </c>
      <c r="K41" s="273" t="n">
        <v>44244.9</v>
      </c>
      <c r="L41" s="273" t="n">
        <v>1733.4</v>
      </c>
      <c r="M41" s="274" t="n">
        <v>73983.5</v>
      </c>
      <c r="N41" s="286" t="n">
        <v>131125.8</v>
      </c>
      <c r="O41" s="273" t="n">
        <v>48598.5</v>
      </c>
      <c r="P41" s="273" t="n">
        <v>1875.3</v>
      </c>
      <c r="Q41" s="274" t="n">
        <v>80652</v>
      </c>
      <c r="R41" s="286" t="n">
        <v>142913.5</v>
      </c>
      <c r="S41" s="273" t="n">
        <v>51853.3</v>
      </c>
      <c r="T41" s="273" t="n">
        <v>2088.5</v>
      </c>
      <c r="U41" s="274" t="n">
        <v>88971.7</v>
      </c>
      <c r="V41" s="286" t="n">
        <v>171386.1</v>
      </c>
      <c r="W41" s="273" t="n">
        <v>57806</v>
      </c>
      <c r="X41" s="273" t="n">
        <v>2150.6</v>
      </c>
      <c r="Y41" s="274" t="n">
        <v>111429.5</v>
      </c>
      <c r="Z41" s="286" t="n">
        <v>191559.8</v>
      </c>
      <c r="AA41" s="273" t="n">
        <v>61686.4</v>
      </c>
      <c r="AB41" s="273" t="n">
        <v>2112</v>
      </c>
      <c r="AC41" s="274" t="n">
        <v>127761.4</v>
      </c>
      <c r="AD41" s="286" t="n">
        <v>223013</v>
      </c>
      <c r="AE41" s="273" t="n">
        <v>70957.7</v>
      </c>
      <c r="AF41" s="273" t="n">
        <v>2282.7</v>
      </c>
      <c r="AG41" s="274" t="n">
        <v>149772.6</v>
      </c>
      <c r="AI41" s="369" t="n"/>
      <c r="AJ41" s="369" t="n"/>
      <c r="AK41" s="369" t="n"/>
      <c r="AL41" s="369" t="n"/>
      <c r="AM41" s="369" t="n"/>
      <c r="AN41" s="369" t="n"/>
      <c r="AO41" s="369" t="n"/>
      <c r="AP41" s="369" t="n"/>
      <c r="AQ41" s="369" t="n"/>
      <c r="AR41" s="369" t="n"/>
      <c r="AS41" s="369" t="n"/>
      <c r="AT41" s="369" t="n"/>
      <c r="AU41" s="369" t="n"/>
    </row>
    <row r="42" ht="15" customHeight="1" s="226">
      <c r="A42" s="260" t="inlineStr">
        <is>
          <t xml:space="preserve"> Республика Калмыкия </t>
        </is>
      </c>
      <c r="B42" s="261" t="n">
        <v>69564.2</v>
      </c>
      <c r="C42" s="262" t="n">
        <v>21253.7</v>
      </c>
      <c r="D42" s="262" t="n">
        <v>1009.7</v>
      </c>
      <c r="E42" s="263" t="n">
        <v>47300.8</v>
      </c>
      <c r="F42" s="261" t="n">
        <v>80126.89999999999</v>
      </c>
      <c r="G42" s="262" t="n">
        <v>24439.1</v>
      </c>
      <c r="H42" s="262" t="n">
        <v>1092.8</v>
      </c>
      <c r="I42" s="263" t="n">
        <v>54595</v>
      </c>
      <c r="J42" s="261" t="n">
        <v>86107.10000000001</v>
      </c>
      <c r="K42" s="262" t="n">
        <v>25362.9</v>
      </c>
      <c r="L42" s="262" t="n">
        <v>1556.4</v>
      </c>
      <c r="M42" s="263" t="n">
        <v>59187.8</v>
      </c>
      <c r="N42" s="261" t="n">
        <v>88986.89999999999</v>
      </c>
      <c r="O42" s="262" t="n">
        <v>26802.9</v>
      </c>
      <c r="P42" s="262" t="n">
        <v>1295.1</v>
      </c>
      <c r="Q42" s="263" t="n">
        <v>60888.9</v>
      </c>
      <c r="R42" s="261" t="n">
        <v>94025.89999999999</v>
      </c>
      <c r="S42" s="262" t="n">
        <v>28273.9</v>
      </c>
      <c r="T42" s="262" t="n">
        <v>1410.4</v>
      </c>
      <c r="U42" s="263" t="n">
        <v>64341.6</v>
      </c>
      <c r="V42" s="261" t="n">
        <v>102377.2</v>
      </c>
      <c r="W42" s="262" t="n">
        <v>31420.6</v>
      </c>
      <c r="X42" s="262" t="n">
        <v>1761.6</v>
      </c>
      <c r="Y42" s="263" t="n">
        <v>69195</v>
      </c>
      <c r="Z42" s="261" t="n">
        <v>119775.6</v>
      </c>
      <c r="AA42" s="262" t="n">
        <v>34560.4</v>
      </c>
      <c r="AB42" s="262" t="n">
        <v>1745</v>
      </c>
      <c r="AC42" s="263" t="n">
        <v>83470.2</v>
      </c>
      <c r="AD42" s="261" t="n">
        <v>166710.2</v>
      </c>
      <c r="AE42" s="262" t="n">
        <v>40630.8</v>
      </c>
      <c r="AF42" s="262" t="n">
        <v>1167.6</v>
      </c>
      <c r="AG42" s="263" t="n">
        <v>124911.8</v>
      </c>
      <c r="AI42" s="369" t="n"/>
      <c r="AJ42" s="369" t="n"/>
      <c r="AK42" s="369" t="n"/>
      <c r="AL42" s="369" t="n"/>
      <c r="AM42" s="369" t="n"/>
      <c r="AN42" s="369" t="n"/>
      <c r="AO42" s="369" t="n"/>
      <c r="AP42" s="369" t="n"/>
      <c r="AQ42" s="369" t="n"/>
      <c r="AR42" s="369" t="n"/>
      <c r="AS42" s="369" t="n"/>
      <c r="AT42" s="369" t="n"/>
      <c r="AU42" s="369" t="n"/>
    </row>
    <row r="43" ht="15" customHeight="1" s="226">
      <c r="A43" s="260" t="inlineStr">
        <is>
          <t xml:space="preserve"> Республика Крым</t>
        </is>
      </c>
      <c r="B43" s="261" t="n">
        <v>362671.7</v>
      </c>
      <c r="C43" s="262" t="n">
        <v>167717.4</v>
      </c>
      <c r="D43" s="262" t="n">
        <v>1727.9</v>
      </c>
      <c r="E43" s="263" t="n">
        <v>193226.4</v>
      </c>
      <c r="F43" s="261" t="n">
        <v>384983.4</v>
      </c>
      <c r="G43" s="262" t="n">
        <v>196233.7</v>
      </c>
      <c r="H43" s="262" t="n">
        <v>2382.3</v>
      </c>
      <c r="I43" s="263" t="n">
        <v>186367.4</v>
      </c>
      <c r="J43" s="261" t="n">
        <v>437438</v>
      </c>
      <c r="K43" s="262" t="n">
        <v>221707.2</v>
      </c>
      <c r="L43" s="262" t="n">
        <v>3210.9</v>
      </c>
      <c r="M43" s="263" t="n">
        <v>212519.9</v>
      </c>
      <c r="N43" s="261" t="n">
        <v>475525.3</v>
      </c>
      <c r="O43" s="262" t="n">
        <v>228021.5</v>
      </c>
      <c r="P43" s="262" t="n">
        <v>3637.5</v>
      </c>
      <c r="Q43" s="263" t="n">
        <v>243866.3</v>
      </c>
      <c r="R43" s="261" t="n">
        <v>517147.3</v>
      </c>
      <c r="S43" s="262" t="n">
        <v>241609.3</v>
      </c>
      <c r="T43" s="262" t="n">
        <v>4351.2</v>
      </c>
      <c r="U43" s="263" t="n">
        <v>271186.8</v>
      </c>
      <c r="V43" s="261" t="n">
        <v>614282.9</v>
      </c>
      <c r="W43" s="262" t="n">
        <v>283875.3</v>
      </c>
      <c r="X43" s="262" t="n">
        <v>5119.7</v>
      </c>
      <c r="Y43" s="263" t="n">
        <v>325287.9</v>
      </c>
      <c r="Z43" s="261" t="n">
        <v>652451.7</v>
      </c>
      <c r="AA43" s="262" t="n">
        <v>304852.9</v>
      </c>
      <c r="AB43" s="262" t="n">
        <v>5861.6</v>
      </c>
      <c r="AC43" s="263" t="n">
        <v>341737.2</v>
      </c>
      <c r="AD43" s="261" t="n">
        <v>722497.8</v>
      </c>
      <c r="AE43" s="262" t="n">
        <v>347026.3</v>
      </c>
      <c r="AF43" s="262" t="n">
        <v>6827</v>
      </c>
      <c r="AG43" s="263" t="n">
        <v>368644.5</v>
      </c>
      <c r="AI43" s="369" t="n"/>
      <c r="AJ43" s="369" t="n"/>
      <c r="AK43" s="369" t="n"/>
      <c r="AL43" s="369" t="n"/>
      <c r="AM43" s="369" t="n"/>
      <c r="AN43" s="369" t="n"/>
      <c r="AO43" s="369" t="n"/>
      <c r="AP43" s="369" t="n"/>
      <c r="AQ43" s="369" t="n"/>
      <c r="AR43" s="369" t="n"/>
      <c r="AS43" s="369" t="n"/>
      <c r="AT43" s="369" t="n"/>
      <c r="AU43" s="369" t="n"/>
    </row>
    <row r="44" ht="15" customHeight="1" s="226">
      <c r="A44" s="260" t="inlineStr">
        <is>
          <t xml:space="preserve"> Краснодарский край</t>
        </is>
      </c>
      <c r="B44" s="261" t="n">
        <v>2257074.5</v>
      </c>
      <c r="C44" s="262" t="n">
        <v>722086.6</v>
      </c>
      <c r="D44" s="262" t="n">
        <v>37112.1</v>
      </c>
      <c r="E44" s="263" t="n">
        <v>1497875.8</v>
      </c>
      <c r="F44" s="261" t="n">
        <v>2422752.7</v>
      </c>
      <c r="G44" s="262" t="n">
        <v>755440</v>
      </c>
      <c r="H44" s="262" t="n">
        <v>45269.4</v>
      </c>
      <c r="I44" s="263" t="n">
        <v>1622043.3</v>
      </c>
      <c r="J44" s="261" t="n">
        <v>2499915.5</v>
      </c>
      <c r="K44" s="262" t="n">
        <v>814833.4</v>
      </c>
      <c r="L44" s="262" t="n">
        <v>54402.5</v>
      </c>
      <c r="M44" s="263" t="n">
        <v>1630679.6</v>
      </c>
      <c r="N44" s="261" t="n">
        <v>2577131.1</v>
      </c>
      <c r="O44" s="262" t="n">
        <v>879597.5</v>
      </c>
      <c r="P44" s="262" t="n">
        <v>52940.5</v>
      </c>
      <c r="Q44" s="263" t="n">
        <v>1644593.1</v>
      </c>
      <c r="R44" s="261" t="n">
        <v>2667228.2</v>
      </c>
      <c r="S44" s="262" t="n">
        <v>952333.5</v>
      </c>
      <c r="T44" s="262" t="n">
        <v>50783.8</v>
      </c>
      <c r="U44" s="263" t="n">
        <v>1664110.9</v>
      </c>
      <c r="V44" s="261" t="n">
        <v>3280988.8</v>
      </c>
      <c r="W44" s="262" t="n">
        <v>1074916</v>
      </c>
      <c r="X44" s="262" t="n">
        <v>52459</v>
      </c>
      <c r="Y44" s="263" t="n">
        <v>2153613.8</v>
      </c>
      <c r="Z44" s="261" t="n">
        <v>4289164.5</v>
      </c>
      <c r="AA44" s="262" t="n">
        <v>1183420.1</v>
      </c>
      <c r="AB44" s="262" t="n">
        <v>56274.5</v>
      </c>
      <c r="AC44" s="263" t="n">
        <v>3049469.9</v>
      </c>
      <c r="AD44" s="261" t="n">
        <v>4772036</v>
      </c>
      <c r="AE44" s="262" t="n">
        <v>1367559.2</v>
      </c>
      <c r="AF44" s="262" t="n">
        <v>57789.7</v>
      </c>
      <c r="AG44" s="263" t="n">
        <v>3346687.1</v>
      </c>
      <c r="AI44" s="369" t="n"/>
      <c r="AJ44" s="369" t="n"/>
      <c r="AK44" s="369" t="n"/>
      <c r="AL44" s="369" t="n"/>
      <c r="AM44" s="369" t="n"/>
      <c r="AN44" s="369" t="n"/>
      <c r="AO44" s="369" t="n"/>
      <c r="AP44" s="369" t="n"/>
      <c r="AQ44" s="369" t="n"/>
      <c r="AR44" s="369" t="n"/>
      <c r="AS44" s="369" t="n"/>
      <c r="AT44" s="369" t="n"/>
      <c r="AU44" s="369" t="n"/>
    </row>
    <row r="45" ht="15" customHeight="1" s="226">
      <c r="A45" s="260" t="inlineStr">
        <is>
          <t xml:space="preserve"> Астраханская область</t>
        </is>
      </c>
      <c r="B45" s="261" t="n">
        <v>368485.4</v>
      </c>
      <c r="C45" s="262" t="n">
        <v>119589.5</v>
      </c>
      <c r="D45" s="262" t="n">
        <v>5239.1</v>
      </c>
      <c r="E45" s="263" t="n">
        <v>243656.8</v>
      </c>
      <c r="F45" s="261" t="n">
        <v>442608.8</v>
      </c>
      <c r="G45" s="262" t="n">
        <v>125146.8</v>
      </c>
      <c r="H45" s="262" t="n">
        <v>6547.5</v>
      </c>
      <c r="I45" s="263" t="n">
        <v>310914.5</v>
      </c>
      <c r="J45" s="261" t="n">
        <v>579210</v>
      </c>
      <c r="K45" s="262" t="n">
        <v>128279.8</v>
      </c>
      <c r="L45" s="262" t="n">
        <v>7289.8</v>
      </c>
      <c r="M45" s="263" t="n">
        <v>443640.4</v>
      </c>
      <c r="N45" s="261" t="n">
        <v>601811.2</v>
      </c>
      <c r="O45" s="262" t="n">
        <v>140958.1</v>
      </c>
      <c r="P45" s="262" t="n">
        <v>7858.3</v>
      </c>
      <c r="Q45" s="263" t="n">
        <v>452994.8</v>
      </c>
      <c r="R45" s="261" t="n">
        <v>527290.2</v>
      </c>
      <c r="S45" s="262" t="n">
        <v>151438</v>
      </c>
      <c r="T45" s="262" t="n">
        <v>8156.4</v>
      </c>
      <c r="U45" s="263" t="n">
        <v>367695.8</v>
      </c>
      <c r="V45" s="261" t="n">
        <v>663770.6</v>
      </c>
      <c r="W45" s="262" t="n">
        <v>160790.1</v>
      </c>
      <c r="X45" s="262" t="n">
        <v>8725.700000000001</v>
      </c>
      <c r="Y45" s="263" t="n">
        <v>494254.8</v>
      </c>
      <c r="Z45" s="261" t="n">
        <v>763880.4</v>
      </c>
      <c r="AA45" s="262" t="n">
        <v>172223.4</v>
      </c>
      <c r="AB45" s="262" t="n">
        <v>10953.9</v>
      </c>
      <c r="AC45" s="263" t="n">
        <v>580703.1</v>
      </c>
      <c r="AD45" s="261" t="n">
        <v>777718.3</v>
      </c>
      <c r="AE45" s="262" t="n">
        <v>188630.5</v>
      </c>
      <c r="AF45" s="262" t="n">
        <v>11675.8</v>
      </c>
      <c r="AG45" s="263" t="n">
        <v>577412</v>
      </c>
      <c r="AI45" s="369" t="n"/>
      <c r="AJ45" s="369" t="n"/>
      <c r="AK45" s="369" t="n"/>
      <c r="AL45" s="369" t="n"/>
      <c r="AM45" s="369" t="n"/>
      <c r="AN45" s="369" t="n"/>
      <c r="AO45" s="369" t="n"/>
      <c r="AP45" s="369" t="n"/>
      <c r="AQ45" s="369" t="n"/>
      <c r="AR45" s="369" t="n"/>
      <c r="AS45" s="369" t="n"/>
      <c r="AT45" s="369" t="n"/>
      <c r="AU45" s="369" t="n"/>
    </row>
    <row r="46" ht="15" customHeight="1" s="226">
      <c r="A46" s="260" t="inlineStr">
        <is>
          <t xml:space="preserve"> Волгоградская область</t>
        </is>
      </c>
      <c r="B46" s="261" t="n">
        <v>825586.5</v>
      </c>
      <c r="C46" s="262" t="n">
        <v>295922.5</v>
      </c>
      <c r="D46" s="262" t="n">
        <v>11156.1</v>
      </c>
      <c r="E46" s="263" t="n">
        <v>518507.9</v>
      </c>
      <c r="F46" s="261" t="n">
        <v>850263.7</v>
      </c>
      <c r="G46" s="262" t="n">
        <v>309146.7</v>
      </c>
      <c r="H46" s="262" t="n">
        <v>11537.4</v>
      </c>
      <c r="I46" s="263" t="n">
        <v>529579.6</v>
      </c>
      <c r="J46" s="261" t="n">
        <v>927811.7</v>
      </c>
      <c r="K46" s="262" t="n">
        <v>325370</v>
      </c>
      <c r="L46" s="262" t="n">
        <v>12088.8</v>
      </c>
      <c r="M46" s="263" t="n">
        <v>590352.9</v>
      </c>
      <c r="N46" s="261" t="n">
        <v>963214.4</v>
      </c>
      <c r="O46" s="262" t="n">
        <v>333979.7</v>
      </c>
      <c r="P46" s="262" t="n">
        <v>11573.6</v>
      </c>
      <c r="Q46" s="263" t="n">
        <v>617661.1</v>
      </c>
      <c r="R46" s="261" t="n">
        <v>977707.7</v>
      </c>
      <c r="S46" s="262" t="n">
        <v>337441.1</v>
      </c>
      <c r="T46" s="262" t="n">
        <v>11213.2</v>
      </c>
      <c r="U46" s="263" t="n">
        <v>629053.4</v>
      </c>
      <c r="V46" s="261" t="n">
        <v>1067376.2</v>
      </c>
      <c r="W46" s="262" t="n">
        <v>373774.6</v>
      </c>
      <c r="X46" s="262" t="n">
        <v>10794.8</v>
      </c>
      <c r="Y46" s="263" t="n">
        <v>682806.8</v>
      </c>
      <c r="Z46" s="261" t="n">
        <v>1208235.4</v>
      </c>
      <c r="AA46" s="262" t="n">
        <v>404551</v>
      </c>
      <c r="AB46" s="262" t="n">
        <v>11305.9</v>
      </c>
      <c r="AC46" s="263" t="n">
        <v>792378.5</v>
      </c>
      <c r="AD46" s="261" t="n">
        <v>1384980.9</v>
      </c>
      <c r="AE46" s="262" t="n">
        <v>464800</v>
      </c>
      <c r="AF46" s="262" t="n">
        <v>12490.9</v>
      </c>
      <c r="AG46" s="263" t="n">
        <v>907690</v>
      </c>
      <c r="AI46" s="369" t="n"/>
      <c r="AJ46" s="369" t="n"/>
      <c r="AK46" s="369" t="n"/>
      <c r="AL46" s="369" t="n"/>
      <c r="AM46" s="369" t="n"/>
      <c r="AN46" s="369" t="n"/>
      <c r="AO46" s="369" t="n"/>
      <c r="AP46" s="369" t="n"/>
      <c r="AQ46" s="369" t="n"/>
      <c r="AR46" s="369" t="n"/>
      <c r="AS46" s="369" t="n"/>
      <c r="AT46" s="369" t="n"/>
      <c r="AU46" s="369" t="n"/>
    </row>
    <row r="47" ht="15" customFormat="1" customHeight="1" s="359">
      <c r="A47" s="260" t="inlineStr">
        <is>
          <t xml:space="preserve"> Ростовская область</t>
        </is>
      </c>
      <c r="B47" s="261" t="n">
        <v>1375107.4</v>
      </c>
      <c r="C47" s="262" t="n">
        <v>525346.6</v>
      </c>
      <c r="D47" s="262" t="n">
        <v>24445.6</v>
      </c>
      <c r="E47" s="263" t="n">
        <v>825315.2</v>
      </c>
      <c r="F47" s="261" t="n">
        <v>1441723.3</v>
      </c>
      <c r="G47" s="262" t="n">
        <v>554251.3</v>
      </c>
      <c r="H47" s="262" t="n">
        <v>25136.1</v>
      </c>
      <c r="I47" s="263" t="n">
        <v>862335.9</v>
      </c>
      <c r="J47" s="261" t="n">
        <v>1548222.9</v>
      </c>
      <c r="K47" s="262" t="n">
        <v>602467.9</v>
      </c>
      <c r="L47" s="262" t="n">
        <v>27885.3</v>
      </c>
      <c r="M47" s="263" t="n">
        <v>917869.7</v>
      </c>
      <c r="N47" s="261" t="n">
        <v>1636017.5</v>
      </c>
      <c r="O47" s="262" t="n">
        <v>629133.7</v>
      </c>
      <c r="P47" s="262" t="n">
        <v>25684.4</v>
      </c>
      <c r="Q47" s="263" t="n">
        <v>981199.4</v>
      </c>
      <c r="R47" s="261" t="n">
        <v>1714576.7</v>
      </c>
      <c r="S47" s="262" t="n">
        <v>625155.7</v>
      </c>
      <c r="T47" s="262" t="n">
        <v>24060.8</v>
      </c>
      <c r="U47" s="263" t="n">
        <v>1065360.2</v>
      </c>
      <c r="V47" s="261" t="n">
        <v>2042953.9</v>
      </c>
      <c r="W47" s="262" t="n">
        <v>692746.9</v>
      </c>
      <c r="X47" s="262" t="n">
        <v>24751.1</v>
      </c>
      <c r="Y47" s="263" t="n">
        <v>1325455.9</v>
      </c>
      <c r="Z47" s="261" t="n">
        <v>2317782</v>
      </c>
      <c r="AA47" s="262" t="n">
        <v>803462</v>
      </c>
      <c r="AB47" s="262" t="n">
        <v>27416.7</v>
      </c>
      <c r="AC47" s="263" t="n">
        <v>1486903.3</v>
      </c>
      <c r="AD47" s="261" t="n">
        <v>2693193</v>
      </c>
      <c r="AE47" s="262" t="n">
        <v>914344.1</v>
      </c>
      <c r="AF47" s="262" t="n">
        <v>27646</v>
      </c>
      <c r="AG47" s="263" t="n">
        <v>1751202.9</v>
      </c>
      <c r="AI47" s="369" t="n"/>
      <c r="AJ47" s="369" t="n"/>
      <c r="AK47" s="369" t="n"/>
      <c r="AL47" s="369" t="n"/>
      <c r="AM47" s="369" t="n"/>
      <c r="AN47" s="369" t="n"/>
      <c r="AO47" s="369" t="n"/>
      <c r="AP47" s="369" t="n"/>
      <c r="AQ47" s="369" t="n"/>
      <c r="AR47" s="369" t="n"/>
      <c r="AS47" s="369" t="n"/>
      <c r="AT47" s="369" t="n"/>
      <c r="AU47" s="369" t="n"/>
    </row>
    <row r="48" ht="15" customFormat="1" customHeight="1" s="359">
      <c r="A48" s="260" t="inlineStr">
        <is>
          <t xml:space="preserve"> г.Севастополь</t>
        </is>
      </c>
      <c r="B48" s="261" t="n">
        <v>89303.8</v>
      </c>
      <c r="C48" s="262" t="n">
        <v>41369.4</v>
      </c>
      <c r="D48" s="262" t="n">
        <v>491.5</v>
      </c>
      <c r="E48" s="263" t="n">
        <v>47442.9</v>
      </c>
      <c r="F48" s="261" t="n">
        <v>101280.9</v>
      </c>
      <c r="G48" s="262" t="n">
        <v>46483.4</v>
      </c>
      <c r="H48" s="262" t="n">
        <v>610</v>
      </c>
      <c r="I48" s="263" t="n">
        <v>54187.5</v>
      </c>
      <c r="J48" s="261" t="n">
        <v>121666</v>
      </c>
      <c r="K48" s="262" t="n">
        <v>51551.2</v>
      </c>
      <c r="L48" s="262" t="n">
        <v>571.5</v>
      </c>
      <c r="M48" s="263" t="n">
        <v>69543.3</v>
      </c>
      <c r="N48" s="261" t="n">
        <v>137919.4</v>
      </c>
      <c r="O48" s="262" t="n">
        <v>59636.8</v>
      </c>
      <c r="P48" s="262" t="n">
        <v>772.4</v>
      </c>
      <c r="Q48" s="263" t="n">
        <v>77510.2</v>
      </c>
      <c r="R48" s="261" t="n">
        <v>142985.6</v>
      </c>
      <c r="S48" s="262" t="n">
        <v>58369.3</v>
      </c>
      <c r="T48" s="262" t="n">
        <v>787.2</v>
      </c>
      <c r="U48" s="263" t="n">
        <v>83829.10000000001</v>
      </c>
      <c r="V48" s="261" t="n">
        <v>187986.5</v>
      </c>
      <c r="W48" s="262" t="n">
        <v>75596.5</v>
      </c>
      <c r="X48" s="262" t="n">
        <v>810.6</v>
      </c>
      <c r="Y48" s="263" t="n">
        <v>111579.4</v>
      </c>
      <c r="Z48" s="261" t="n">
        <v>228378.7</v>
      </c>
      <c r="AA48" s="262" t="n">
        <v>88583.3</v>
      </c>
      <c r="AB48" s="262" t="n">
        <v>1252.6</v>
      </c>
      <c r="AC48" s="263" t="n">
        <v>138542.8</v>
      </c>
      <c r="AD48" s="261" t="n">
        <v>253191.6</v>
      </c>
      <c r="AE48" s="262" t="n">
        <v>98636.8</v>
      </c>
      <c r="AF48" s="262" t="n">
        <v>1318.2</v>
      </c>
      <c r="AG48" s="263" t="n">
        <v>153236.6</v>
      </c>
      <c r="AI48" s="369" t="n"/>
      <c r="AJ48" s="369" t="n"/>
      <c r="AK48" s="369" t="n"/>
      <c r="AL48" s="369" t="n"/>
      <c r="AM48" s="369" t="n"/>
      <c r="AN48" s="369" t="n"/>
      <c r="AO48" s="369" t="n"/>
      <c r="AP48" s="369" t="n"/>
      <c r="AQ48" s="369" t="n"/>
      <c r="AR48" s="369" t="n"/>
      <c r="AS48" s="369" t="n"/>
      <c r="AT48" s="369" t="n"/>
      <c r="AU48" s="369" t="n"/>
    </row>
    <row r="49" ht="15" customHeight="1" s="226">
      <c r="A49" s="253" t="inlineStr">
        <is>
          <t>Северо-Кавказский федеральный округ</t>
        </is>
      </c>
      <c r="B49" s="275">
        <f>SUM(B50:B56)</f>
        <v/>
      </c>
      <c r="C49" s="275">
        <f>SUM(C50:C56)</f>
        <v/>
      </c>
      <c r="D49" s="275">
        <f>SUM(D50:D56)</f>
        <v/>
      </c>
      <c r="E49" s="254">
        <f>SUM(E50:E56)</f>
        <v/>
      </c>
      <c r="F49" s="275">
        <f>SUM(F50:F56)</f>
        <v/>
      </c>
      <c r="G49" s="275">
        <f>SUM(G50:G56)</f>
        <v/>
      </c>
      <c r="H49" s="275">
        <f>SUM(H50:H56)</f>
        <v/>
      </c>
      <c r="I49" s="254">
        <f>SUM(I50:I56)</f>
        <v/>
      </c>
      <c r="J49" s="275">
        <f>SUM(J50:J56)</f>
        <v/>
      </c>
      <c r="K49" s="275">
        <f>SUM(K50:K56)</f>
        <v/>
      </c>
      <c r="L49" s="275">
        <f>SUM(L50:L56)</f>
        <v/>
      </c>
      <c r="M49" s="254">
        <f>SUM(M50:M56)</f>
        <v/>
      </c>
      <c r="N49" s="275">
        <f>SUM(N50:N56)</f>
        <v/>
      </c>
      <c r="O49" s="275">
        <f>SUM(O50:O56)</f>
        <v/>
      </c>
      <c r="P49" s="275">
        <f>SUM(P50:P56)</f>
        <v/>
      </c>
      <c r="Q49" s="254">
        <f>SUM(Q50:Q56)</f>
        <v/>
      </c>
      <c r="R49" s="275">
        <f>SUM(R50:R56)</f>
        <v/>
      </c>
      <c r="S49" s="275">
        <f>SUM(S50:S56)</f>
        <v/>
      </c>
      <c r="T49" s="275">
        <f>SUM(T50:T56)</f>
        <v/>
      </c>
      <c r="U49" s="254">
        <f>SUM(U50:U56)</f>
        <v/>
      </c>
      <c r="V49" s="275">
        <f>SUM(V50:V56)</f>
        <v/>
      </c>
      <c r="W49" s="275">
        <f>SUM(W50:W56)</f>
        <v/>
      </c>
      <c r="X49" s="275">
        <f>SUM(X50:X56)</f>
        <v/>
      </c>
      <c r="Y49" s="254">
        <f>SUM(Y50:Y56)</f>
        <v/>
      </c>
      <c r="Z49" s="275">
        <f>SUM(Z50:Z56)</f>
        <v/>
      </c>
      <c r="AA49" s="275">
        <f>SUM(AA50:AA56)</f>
        <v/>
      </c>
      <c r="AB49" s="275">
        <f>SUM(AB50:AB56)</f>
        <v/>
      </c>
      <c r="AC49" s="254">
        <f>SUM(AC50:AC56)</f>
        <v/>
      </c>
      <c r="AD49" s="275">
        <f>SUM(AD50:AD56)</f>
        <v/>
      </c>
      <c r="AE49" s="275">
        <f>SUM(AE50:AE56)</f>
        <v/>
      </c>
      <c r="AF49" s="275">
        <f>SUM(AF50:AF56)</f>
        <v/>
      </c>
      <c r="AG49" s="254">
        <f>SUM(AG50:AG56)</f>
        <v/>
      </c>
      <c r="AI49" s="369" t="n"/>
      <c r="AJ49" s="369" t="n"/>
      <c r="AK49" s="369" t="n"/>
      <c r="AL49" s="369" t="n"/>
      <c r="AM49" s="369" t="n"/>
      <c r="AN49" s="369" t="n"/>
      <c r="AO49" s="369" t="n"/>
      <c r="AP49" s="369" t="n"/>
      <c r="AQ49" s="369" t="n"/>
      <c r="AR49" s="369" t="n"/>
      <c r="AS49" s="369" t="n"/>
      <c r="AT49" s="369" t="n"/>
      <c r="AU49" s="369" t="n"/>
    </row>
    <row r="50" ht="15" customHeight="1" s="226">
      <c r="A50" s="260" t="inlineStr">
        <is>
          <t xml:space="preserve"> Республика Дагестан</t>
        </is>
      </c>
      <c r="B50" s="261" t="n">
        <v>617587.6</v>
      </c>
      <c r="C50" s="262" t="n">
        <v>126532.5</v>
      </c>
      <c r="D50" s="262" t="n">
        <v>4415.1</v>
      </c>
      <c r="E50" s="263" t="n">
        <v>486640</v>
      </c>
      <c r="F50" s="261" t="n">
        <v>639513.3</v>
      </c>
      <c r="G50" s="262" t="n">
        <v>131741.5</v>
      </c>
      <c r="H50" s="262" t="n">
        <v>4731.3</v>
      </c>
      <c r="I50" s="263" t="n">
        <v>503040.5</v>
      </c>
      <c r="J50" s="261" t="n">
        <v>676060.8</v>
      </c>
      <c r="K50" s="262" t="n">
        <v>140298.7</v>
      </c>
      <c r="L50" s="262" t="n">
        <v>5274.2</v>
      </c>
      <c r="M50" s="263" t="n">
        <v>530487.9</v>
      </c>
      <c r="N50" s="261" t="n">
        <v>713723.6</v>
      </c>
      <c r="O50" s="262" t="n">
        <v>156695.2</v>
      </c>
      <c r="P50" s="262" t="n">
        <v>5256.9</v>
      </c>
      <c r="Q50" s="263" t="n">
        <v>551771.5</v>
      </c>
      <c r="R50" s="261" t="n">
        <v>740798.8</v>
      </c>
      <c r="S50" s="262" t="n">
        <v>188064.6</v>
      </c>
      <c r="T50" s="262" t="n">
        <v>5268.4</v>
      </c>
      <c r="U50" s="263" t="n">
        <v>547465.8</v>
      </c>
      <c r="V50" s="261" t="n">
        <v>802523.3</v>
      </c>
      <c r="W50" s="262" t="n">
        <v>198654.2</v>
      </c>
      <c r="X50" s="262" t="n">
        <v>5512.2</v>
      </c>
      <c r="Y50" s="263" t="n">
        <v>598356.9</v>
      </c>
      <c r="Z50" s="261" t="n">
        <v>876956.5</v>
      </c>
      <c r="AA50" s="262" t="n">
        <v>219803.2</v>
      </c>
      <c r="AB50" s="262" t="n">
        <v>6014</v>
      </c>
      <c r="AC50" s="263" t="n">
        <v>651139.3</v>
      </c>
      <c r="AD50" s="261" t="n">
        <v>1034705.4</v>
      </c>
      <c r="AE50" s="262" t="n">
        <v>246607.7</v>
      </c>
      <c r="AF50" s="262" t="n">
        <v>4779</v>
      </c>
      <c r="AG50" s="263" t="n">
        <v>783318.7</v>
      </c>
      <c r="AI50" s="369" t="n"/>
      <c r="AJ50" s="369" t="n"/>
      <c r="AK50" s="369" t="n"/>
      <c r="AL50" s="369" t="n"/>
      <c r="AM50" s="369" t="n"/>
      <c r="AN50" s="369" t="n"/>
      <c r="AO50" s="369" t="n"/>
      <c r="AP50" s="369" t="n"/>
      <c r="AQ50" s="369" t="n"/>
      <c r="AR50" s="369" t="n"/>
      <c r="AS50" s="369" t="n"/>
      <c r="AT50" s="369" t="n"/>
      <c r="AU50" s="369" t="n"/>
    </row>
    <row r="51" ht="15" customHeight="1" s="226">
      <c r="A51" s="260" t="inlineStr">
        <is>
          <t xml:space="preserve"> Республика Ингушетия</t>
        </is>
      </c>
      <c r="B51" s="261" t="n">
        <v>58141.5</v>
      </c>
      <c r="C51" s="262" t="n">
        <v>24834.8</v>
      </c>
      <c r="D51" s="262" t="n">
        <v>606.8</v>
      </c>
      <c r="E51" s="263" t="n">
        <v>32699.9</v>
      </c>
      <c r="F51" s="261" t="n">
        <v>60855.8</v>
      </c>
      <c r="G51" s="262" t="n">
        <v>27819</v>
      </c>
      <c r="H51" s="262" t="n">
        <v>853.8</v>
      </c>
      <c r="I51" s="263" t="n">
        <v>32183</v>
      </c>
      <c r="J51" s="261" t="n">
        <v>67468.2</v>
      </c>
      <c r="K51" s="262" t="n">
        <v>29763.5</v>
      </c>
      <c r="L51" s="262" t="n">
        <v>457.9</v>
      </c>
      <c r="M51" s="263" t="n">
        <v>37246.8</v>
      </c>
      <c r="N51" s="261" t="n">
        <v>73791.60000000001</v>
      </c>
      <c r="O51" s="262" t="n">
        <v>34313.7</v>
      </c>
      <c r="P51" s="262" t="n">
        <v>579.9</v>
      </c>
      <c r="Q51" s="263" t="n">
        <v>38898</v>
      </c>
      <c r="R51" s="261" t="n">
        <v>70857.39999999999</v>
      </c>
      <c r="S51" s="262" t="n">
        <v>36602.2</v>
      </c>
      <c r="T51" s="262" t="n">
        <v>727.1</v>
      </c>
      <c r="U51" s="263" t="n">
        <v>33528.1</v>
      </c>
      <c r="V51" s="261" t="n">
        <v>71831.7</v>
      </c>
      <c r="W51" s="262" t="n">
        <v>31382.8</v>
      </c>
      <c r="X51" s="262" t="n">
        <v>762.8</v>
      </c>
      <c r="Y51" s="263" t="n">
        <v>39686.1</v>
      </c>
      <c r="Z51" s="261" t="n">
        <v>83872.5</v>
      </c>
      <c r="AA51" s="262" t="n">
        <v>34749.9</v>
      </c>
      <c r="AB51" s="262" t="n">
        <v>1292.8</v>
      </c>
      <c r="AC51" s="263" t="n">
        <v>47829.8</v>
      </c>
      <c r="AD51" s="261" t="n">
        <v>95319.7</v>
      </c>
      <c r="AE51" s="262" t="n">
        <v>38958.9</v>
      </c>
      <c r="AF51" s="262" t="n">
        <v>870.1</v>
      </c>
      <c r="AG51" s="263" t="n">
        <v>55490.7</v>
      </c>
      <c r="AI51" s="369" t="n"/>
      <c r="AJ51" s="369" t="n"/>
      <c r="AK51" s="369" t="n"/>
      <c r="AL51" s="369" t="n"/>
      <c r="AM51" s="369" t="n"/>
      <c r="AN51" s="369" t="n"/>
      <c r="AO51" s="369" t="n"/>
      <c r="AP51" s="369" t="n"/>
      <c r="AQ51" s="369" t="n"/>
      <c r="AR51" s="369" t="n"/>
      <c r="AS51" s="369" t="n"/>
      <c r="AT51" s="369" t="n"/>
      <c r="AU51" s="369" t="n"/>
    </row>
    <row r="52" ht="15" customHeight="1" s="226">
      <c r="A52" s="260" t="inlineStr">
        <is>
          <t xml:space="preserve"> Кабардино-Балкарская Республика</t>
        </is>
      </c>
      <c r="B52" s="261" t="n">
        <v>152970.8</v>
      </c>
      <c r="C52" s="262" t="n">
        <v>43527.8</v>
      </c>
      <c r="D52" s="262" t="n">
        <v>2045.9</v>
      </c>
      <c r="E52" s="263" t="n">
        <v>107397.1</v>
      </c>
      <c r="F52" s="261" t="n">
        <v>155221.8</v>
      </c>
      <c r="G52" s="262" t="n">
        <v>46950.1</v>
      </c>
      <c r="H52" s="262" t="n">
        <v>2187.8</v>
      </c>
      <c r="I52" s="263" t="n">
        <v>106083.9</v>
      </c>
      <c r="J52" s="261" t="n">
        <v>161577.5</v>
      </c>
      <c r="K52" s="262" t="n">
        <v>51388.8</v>
      </c>
      <c r="L52" s="262" t="n">
        <v>2222.5</v>
      </c>
      <c r="M52" s="263" t="n">
        <v>107966.2</v>
      </c>
      <c r="N52" s="261" t="n">
        <v>171544.7</v>
      </c>
      <c r="O52" s="262" t="n">
        <v>55900.2</v>
      </c>
      <c r="P52" s="262" t="n">
        <v>2125.5</v>
      </c>
      <c r="Q52" s="263" t="n">
        <v>113519</v>
      </c>
      <c r="R52" s="261" t="n">
        <v>180077.5</v>
      </c>
      <c r="S52" s="262" t="n">
        <v>56304.7</v>
      </c>
      <c r="T52" s="262" t="n">
        <v>1826.5</v>
      </c>
      <c r="U52" s="263" t="n">
        <v>121946.3</v>
      </c>
      <c r="V52" s="261" t="n">
        <v>212776.9</v>
      </c>
      <c r="W52" s="262" t="n">
        <v>62779.8</v>
      </c>
      <c r="X52" s="262" t="n">
        <v>1947</v>
      </c>
      <c r="Y52" s="263" t="n">
        <v>148050.1</v>
      </c>
      <c r="Z52" s="261" t="n">
        <v>246552.8</v>
      </c>
      <c r="AA52" s="262" t="n">
        <v>69517</v>
      </c>
      <c r="AB52" s="262" t="n">
        <v>2251.8</v>
      </c>
      <c r="AC52" s="263" t="n">
        <v>174784</v>
      </c>
      <c r="AD52" s="261" t="n">
        <v>291100.4</v>
      </c>
      <c r="AE52" s="262" t="n">
        <v>78088.39999999999</v>
      </c>
      <c r="AF52" s="262" t="n">
        <v>1953.3</v>
      </c>
      <c r="AG52" s="263" t="n">
        <v>211058.7</v>
      </c>
      <c r="AI52" s="369" t="n"/>
      <c r="AJ52" s="369" t="n"/>
      <c r="AK52" s="369" t="n"/>
      <c r="AL52" s="369" t="n"/>
      <c r="AM52" s="369" t="n"/>
      <c r="AN52" s="369" t="n"/>
      <c r="AO52" s="369" t="n"/>
      <c r="AP52" s="369" t="n"/>
      <c r="AQ52" s="369" t="n"/>
      <c r="AR52" s="369" t="n"/>
      <c r="AS52" s="369" t="n"/>
      <c r="AT52" s="369" t="n"/>
      <c r="AU52" s="369" t="n"/>
    </row>
    <row r="53" ht="15" customHeight="1" s="226">
      <c r="A53" s="260" t="inlineStr">
        <is>
          <t xml:space="preserve"> Карачаево-Черкесская Республика</t>
        </is>
      </c>
      <c r="B53" s="261" t="n">
        <v>78521.10000000001</v>
      </c>
      <c r="C53" s="262" t="n">
        <v>30034.8</v>
      </c>
      <c r="D53" s="262" t="n">
        <v>1028.3</v>
      </c>
      <c r="E53" s="263" t="n">
        <v>47458</v>
      </c>
      <c r="F53" s="261" t="n">
        <v>82765.60000000001</v>
      </c>
      <c r="G53" s="262" t="n">
        <v>32235.9</v>
      </c>
      <c r="H53" s="262" t="n">
        <v>1157.4</v>
      </c>
      <c r="I53" s="263" t="n">
        <v>49372.3</v>
      </c>
      <c r="J53" s="261" t="n">
        <v>85737.89999999999</v>
      </c>
      <c r="K53" s="262" t="n">
        <v>35996.6</v>
      </c>
      <c r="L53" s="262" t="n">
        <v>1321.7</v>
      </c>
      <c r="M53" s="263" t="n">
        <v>48419.6</v>
      </c>
      <c r="N53" s="261" t="n">
        <v>91430</v>
      </c>
      <c r="O53" s="262" t="n">
        <v>37507.3</v>
      </c>
      <c r="P53" s="262" t="n">
        <v>1229</v>
      </c>
      <c r="Q53" s="263" t="n">
        <v>52693.7</v>
      </c>
      <c r="R53" s="261" t="n">
        <v>95297.10000000001</v>
      </c>
      <c r="S53" s="262" t="n">
        <v>39268.5</v>
      </c>
      <c r="T53" s="262" t="n">
        <v>1189.1</v>
      </c>
      <c r="U53" s="263" t="n">
        <v>54839.5</v>
      </c>
      <c r="V53" s="261" t="n">
        <v>108591.7</v>
      </c>
      <c r="W53" s="262" t="n">
        <v>41427.9</v>
      </c>
      <c r="X53" s="262" t="n">
        <v>1249.4</v>
      </c>
      <c r="Y53" s="263" t="n">
        <v>65914.39999999999</v>
      </c>
      <c r="Z53" s="261" t="n">
        <v>123939.3</v>
      </c>
      <c r="AA53" s="262" t="n">
        <v>44080.3</v>
      </c>
      <c r="AB53" s="262" t="n">
        <v>1536.3</v>
      </c>
      <c r="AC53" s="263" t="n">
        <v>78322.7</v>
      </c>
      <c r="AD53" s="261" t="n">
        <v>143310.6</v>
      </c>
      <c r="AE53" s="262" t="n">
        <v>48890.3</v>
      </c>
      <c r="AF53" s="262" t="n">
        <v>1672.1</v>
      </c>
      <c r="AG53" s="263" t="n">
        <v>92748.2</v>
      </c>
      <c r="AI53" s="369" t="n"/>
      <c r="AJ53" s="369" t="n"/>
      <c r="AK53" s="369" t="n"/>
      <c r="AL53" s="369" t="n"/>
      <c r="AM53" s="369" t="n"/>
      <c r="AN53" s="369" t="n"/>
      <c r="AO53" s="369" t="n"/>
      <c r="AP53" s="369" t="n"/>
      <c r="AQ53" s="369" t="n"/>
      <c r="AR53" s="369" t="n"/>
      <c r="AS53" s="369" t="n"/>
      <c r="AT53" s="369" t="n"/>
      <c r="AU53" s="369" t="n"/>
    </row>
    <row r="54" ht="15" customHeight="1" s="226">
      <c r="A54" s="260" t="inlineStr">
        <is>
          <t xml:space="preserve"> Республика Северная Осетия - Алания</t>
        </is>
      </c>
      <c r="B54" s="261" t="n">
        <v>148810.1</v>
      </c>
      <c r="C54" s="262" t="n">
        <v>53833</v>
      </c>
      <c r="D54" s="262" t="n">
        <v>1126.5</v>
      </c>
      <c r="E54" s="263" t="n">
        <v>93850.60000000001</v>
      </c>
      <c r="F54" s="261" t="n">
        <v>152526.4</v>
      </c>
      <c r="G54" s="262" t="n">
        <v>57417.4</v>
      </c>
      <c r="H54" s="262" t="n">
        <v>1261.4</v>
      </c>
      <c r="I54" s="263" t="n">
        <v>93847.60000000001</v>
      </c>
      <c r="J54" s="261" t="n">
        <v>161092.7</v>
      </c>
      <c r="K54" s="262" t="n">
        <v>61849.4</v>
      </c>
      <c r="L54" s="262" t="n">
        <v>1378.8</v>
      </c>
      <c r="M54" s="263" t="n">
        <v>97864.5</v>
      </c>
      <c r="N54" s="261" t="n">
        <v>173459.4</v>
      </c>
      <c r="O54" s="262" t="n">
        <v>65787.60000000001</v>
      </c>
      <c r="P54" s="262" t="n">
        <v>1353.6</v>
      </c>
      <c r="Q54" s="263" t="n">
        <v>106318.2</v>
      </c>
      <c r="R54" s="261" t="n">
        <v>179159</v>
      </c>
      <c r="S54" s="262" t="n">
        <v>67124.60000000001</v>
      </c>
      <c r="T54" s="262" t="n">
        <v>2064</v>
      </c>
      <c r="U54" s="263" t="n">
        <v>109970.4</v>
      </c>
      <c r="V54" s="261" t="n">
        <v>197993.1</v>
      </c>
      <c r="W54" s="262" t="n">
        <v>69765.89999999999</v>
      </c>
      <c r="X54" s="262" t="n">
        <v>2377.1</v>
      </c>
      <c r="Y54" s="263" t="n">
        <v>125850.1</v>
      </c>
      <c r="Z54" s="261" t="n">
        <v>221180.7</v>
      </c>
      <c r="AA54" s="262" t="n">
        <v>79402.8</v>
      </c>
      <c r="AB54" s="262" t="n">
        <v>2660.9</v>
      </c>
      <c r="AC54" s="263" t="n">
        <v>139117</v>
      </c>
      <c r="AD54" s="261" t="n">
        <v>266555.8</v>
      </c>
      <c r="AE54" s="262" t="n">
        <v>89549.3</v>
      </c>
      <c r="AF54" s="262" t="n">
        <v>2435.3</v>
      </c>
      <c r="AG54" s="263" t="n">
        <v>174571.2</v>
      </c>
      <c r="AI54" s="369" t="n"/>
      <c r="AJ54" s="369" t="n"/>
      <c r="AK54" s="369" t="n"/>
      <c r="AL54" s="369" t="n"/>
      <c r="AM54" s="369" t="n"/>
      <c r="AN54" s="369" t="n"/>
      <c r="AO54" s="369" t="n"/>
      <c r="AP54" s="369" t="n"/>
      <c r="AQ54" s="369" t="n"/>
      <c r="AR54" s="369" t="n"/>
      <c r="AS54" s="369" t="n"/>
      <c r="AT54" s="369" t="n"/>
      <c r="AU54" s="369" t="n"/>
    </row>
    <row r="55" ht="15" customHeight="1" s="226">
      <c r="A55" s="260" t="inlineStr">
        <is>
          <t xml:space="preserve"> Чеченская Республика</t>
        </is>
      </c>
      <c r="B55" s="261" t="n">
        <v>201634.8</v>
      </c>
      <c r="C55" s="262" t="n">
        <v>79635.5</v>
      </c>
      <c r="D55" s="262" t="n">
        <v>2534.7</v>
      </c>
      <c r="E55" s="263" t="n">
        <v>119464.6</v>
      </c>
      <c r="F55" s="261" t="n">
        <v>215975.9</v>
      </c>
      <c r="G55" s="262" t="n">
        <v>84411.39999999999</v>
      </c>
      <c r="H55" s="262" t="n">
        <v>2417.1</v>
      </c>
      <c r="I55" s="263" t="n">
        <v>129147.4</v>
      </c>
      <c r="J55" s="261" t="n">
        <v>223853.7</v>
      </c>
      <c r="K55" s="262" t="n">
        <v>94573.5</v>
      </c>
      <c r="L55" s="262" t="n">
        <v>2586.4</v>
      </c>
      <c r="M55" s="263" t="n">
        <v>126693.8</v>
      </c>
      <c r="N55" s="261" t="n">
        <v>241643.4</v>
      </c>
      <c r="O55" s="262" t="n">
        <v>106977.5</v>
      </c>
      <c r="P55" s="262" t="n">
        <v>3045.9</v>
      </c>
      <c r="Q55" s="263" t="n">
        <v>131620</v>
      </c>
      <c r="R55" s="261" t="n">
        <v>251873.2</v>
      </c>
      <c r="S55" s="262" t="n">
        <v>112852.1</v>
      </c>
      <c r="T55" s="262" t="n">
        <v>3401.9</v>
      </c>
      <c r="U55" s="263" t="n">
        <v>135619.2</v>
      </c>
      <c r="V55" s="261" t="n">
        <v>278784.6</v>
      </c>
      <c r="W55" s="262" t="n">
        <v>115933.9</v>
      </c>
      <c r="X55" s="262" t="n">
        <v>3453.3</v>
      </c>
      <c r="Y55" s="263" t="n">
        <v>159397.4</v>
      </c>
      <c r="Z55" s="261" t="n">
        <v>314434.5</v>
      </c>
      <c r="AA55" s="262" t="n">
        <v>127419.3</v>
      </c>
      <c r="AB55" s="262" t="n">
        <v>3884.6</v>
      </c>
      <c r="AC55" s="263" t="n">
        <v>183130.6</v>
      </c>
      <c r="AD55" s="261" t="n">
        <v>397223.4</v>
      </c>
      <c r="AE55" s="262" t="n">
        <v>150256.7</v>
      </c>
      <c r="AF55" s="262" t="n">
        <v>2926.2</v>
      </c>
      <c r="AG55" s="263" t="n">
        <v>244040.5</v>
      </c>
      <c r="AI55" s="369" t="n"/>
      <c r="AJ55" s="369" t="n"/>
      <c r="AK55" s="369" t="n"/>
      <c r="AL55" s="369" t="n"/>
      <c r="AM55" s="369" t="n"/>
      <c r="AN55" s="369" t="n"/>
      <c r="AO55" s="369" t="n"/>
      <c r="AP55" s="369" t="n"/>
      <c r="AQ55" s="369" t="n"/>
      <c r="AR55" s="369" t="n"/>
      <c r="AS55" s="369" t="n"/>
      <c r="AT55" s="369" t="n"/>
      <c r="AU55" s="369" t="n"/>
    </row>
    <row r="56" ht="15" customHeight="1" s="226">
      <c r="A56" s="260" t="inlineStr">
        <is>
          <t xml:space="preserve"> Ставропольский край</t>
        </is>
      </c>
      <c r="B56" s="261" t="n">
        <v>712594.5</v>
      </c>
      <c r="C56" s="262" t="n">
        <v>265357.1</v>
      </c>
      <c r="D56" s="262" t="n">
        <v>11454.5</v>
      </c>
      <c r="E56" s="263" t="n">
        <v>435782.9</v>
      </c>
      <c r="F56" s="261" t="n">
        <v>735609.5</v>
      </c>
      <c r="G56" s="262" t="n">
        <v>274989.2</v>
      </c>
      <c r="H56" s="262" t="n">
        <v>11967.2</v>
      </c>
      <c r="I56" s="263" t="n">
        <v>448653.1</v>
      </c>
      <c r="J56" s="261" t="n">
        <v>784045.7</v>
      </c>
      <c r="K56" s="262" t="n">
        <v>291247.6</v>
      </c>
      <c r="L56" s="262" t="n">
        <v>13033.4</v>
      </c>
      <c r="M56" s="263" t="n">
        <v>479764.7</v>
      </c>
      <c r="N56" s="261" t="n">
        <v>829223.9</v>
      </c>
      <c r="O56" s="262" t="n">
        <v>305850.6</v>
      </c>
      <c r="P56" s="262" t="n">
        <v>11960.4</v>
      </c>
      <c r="Q56" s="263" t="n">
        <v>511412.9</v>
      </c>
      <c r="R56" s="261" t="n">
        <v>846890.1</v>
      </c>
      <c r="S56" s="262" t="n">
        <v>327587.5</v>
      </c>
      <c r="T56" s="262" t="n">
        <v>12022.6</v>
      </c>
      <c r="U56" s="263" t="n">
        <v>507280</v>
      </c>
      <c r="V56" s="261" t="n">
        <v>1037863.5</v>
      </c>
      <c r="W56" s="262" t="n">
        <v>353237.7</v>
      </c>
      <c r="X56" s="262" t="n">
        <v>12523.1</v>
      </c>
      <c r="Y56" s="263" t="n">
        <v>672102.7</v>
      </c>
      <c r="Z56" s="261" t="n">
        <v>1177815.9</v>
      </c>
      <c r="AA56" s="262" t="n">
        <v>395273.6</v>
      </c>
      <c r="AB56" s="262" t="n">
        <v>13346.9</v>
      </c>
      <c r="AC56" s="263" t="n">
        <v>769195.4</v>
      </c>
      <c r="AD56" s="261" t="n">
        <v>1340782</v>
      </c>
      <c r="AE56" s="262" t="n">
        <v>447383.6</v>
      </c>
      <c r="AF56" s="262" t="n">
        <v>13042</v>
      </c>
      <c r="AG56" s="263" t="n">
        <v>880356.4</v>
      </c>
      <c r="AI56" s="369" t="n"/>
      <c r="AJ56" s="369" t="n"/>
      <c r="AK56" s="369" t="n"/>
      <c r="AL56" s="369" t="n"/>
      <c r="AM56" s="369" t="n"/>
      <c r="AN56" s="369" t="n"/>
      <c r="AO56" s="369" t="n"/>
      <c r="AP56" s="369" t="n"/>
      <c r="AQ56" s="369" t="n"/>
      <c r="AR56" s="369" t="n"/>
      <c r="AS56" s="369" t="n"/>
      <c r="AT56" s="369" t="n"/>
      <c r="AU56" s="369" t="n"/>
    </row>
    <row r="57" ht="15" customHeight="1" s="226">
      <c r="A57" s="253" t="inlineStr">
        <is>
          <t>Приволжский федеральный округ</t>
        </is>
      </c>
      <c r="B57" s="275">
        <f>SUM(B58:B71)</f>
        <v/>
      </c>
      <c r="C57" s="275">
        <f>SUM(C58:C71)</f>
        <v/>
      </c>
      <c r="D57" s="275">
        <f>SUM(D58:D71)</f>
        <v/>
      </c>
      <c r="E57" s="254">
        <f>SUM(E58:E71)</f>
        <v/>
      </c>
      <c r="F57" s="275">
        <f>SUM(F58:F71)</f>
        <v/>
      </c>
      <c r="G57" s="275">
        <f>SUM(G58:G71)</f>
        <v/>
      </c>
      <c r="H57" s="275">
        <f>SUM(H58:H71)</f>
        <v/>
      </c>
      <c r="I57" s="254">
        <f>SUM(I58:I71)</f>
        <v/>
      </c>
      <c r="J57" s="275">
        <f>SUM(J58:J71)</f>
        <v/>
      </c>
      <c r="K57" s="275">
        <f>SUM(K58:K71)</f>
        <v/>
      </c>
      <c r="L57" s="275">
        <f>SUM(L58:L71)</f>
        <v/>
      </c>
      <c r="M57" s="254">
        <f>SUM(M58:M71)</f>
        <v/>
      </c>
      <c r="N57" s="275">
        <f>SUM(N58:N71)</f>
        <v/>
      </c>
      <c r="O57" s="275">
        <f>SUM(O58:O71)</f>
        <v/>
      </c>
      <c r="P57" s="275">
        <f>SUM(P58:P71)</f>
        <v/>
      </c>
      <c r="Q57" s="254">
        <f>SUM(Q58:Q71)</f>
        <v/>
      </c>
      <c r="R57" s="275">
        <f>SUM(R58:R71)</f>
        <v/>
      </c>
      <c r="S57" s="275">
        <f>SUM(S58:S71)</f>
        <v/>
      </c>
      <c r="T57" s="275">
        <f>SUM(T58:T71)</f>
        <v/>
      </c>
      <c r="U57" s="254">
        <f>SUM(U58:U71)</f>
        <v/>
      </c>
      <c r="V57" s="275">
        <f>SUM(V58:V71)</f>
        <v/>
      </c>
      <c r="W57" s="275">
        <f>SUM(W58:W71)</f>
        <v/>
      </c>
      <c r="X57" s="275">
        <f>SUM(X58:X71)</f>
        <v/>
      </c>
      <c r="Y57" s="254">
        <f>SUM(Y58:Y71)</f>
        <v/>
      </c>
      <c r="Z57" s="275">
        <f>SUM(Z58:Z71)</f>
        <v/>
      </c>
      <c r="AA57" s="275">
        <f>SUM(AA58:AA71)</f>
        <v/>
      </c>
      <c r="AB57" s="275">
        <f>SUM(AB58:AB71)</f>
        <v/>
      </c>
      <c r="AC57" s="254">
        <f>SUM(AC58:AC71)</f>
        <v/>
      </c>
      <c r="AD57" s="275">
        <f>SUM(AD58:AD71)</f>
        <v/>
      </c>
      <c r="AE57" s="275">
        <f>SUM(AE58:AE71)</f>
        <v/>
      </c>
      <c r="AF57" s="275">
        <f>SUM(AF58:AF71)</f>
        <v/>
      </c>
      <c r="AG57" s="254">
        <f>SUM(AG58:AG71)</f>
        <v/>
      </c>
      <c r="AI57" s="369" t="n"/>
      <c r="AJ57" s="369" t="n"/>
      <c r="AK57" s="369" t="n"/>
      <c r="AL57" s="369" t="n"/>
      <c r="AM57" s="369" t="n"/>
      <c r="AN57" s="369" t="n"/>
      <c r="AO57" s="369" t="n"/>
      <c r="AP57" s="369" t="n"/>
      <c r="AQ57" s="369" t="n"/>
      <c r="AR57" s="369" t="n"/>
      <c r="AS57" s="369" t="n"/>
      <c r="AT57" s="369" t="n"/>
      <c r="AU57" s="369" t="n"/>
    </row>
    <row r="58" ht="15" customHeight="1" s="226">
      <c r="A58" s="322" t="inlineStr">
        <is>
          <t xml:space="preserve"> Республика Башкортостан</t>
        </is>
      </c>
      <c r="B58" s="261" t="n">
        <v>1421517.6</v>
      </c>
      <c r="C58" s="262" t="n">
        <v>517644.5</v>
      </c>
      <c r="D58" s="262" t="n">
        <v>16854.3</v>
      </c>
      <c r="E58" s="263" t="n">
        <v>887018.8</v>
      </c>
      <c r="F58" s="261" t="n">
        <v>1487892.2</v>
      </c>
      <c r="G58" s="262" t="n">
        <v>535669.4</v>
      </c>
      <c r="H58" s="262" t="n">
        <v>17858.6</v>
      </c>
      <c r="I58" s="263" t="n">
        <v>934364.2</v>
      </c>
      <c r="J58" s="261" t="n">
        <v>1739362.9</v>
      </c>
      <c r="K58" s="262" t="n">
        <v>574580.1</v>
      </c>
      <c r="L58" s="262" t="n">
        <v>20197.7</v>
      </c>
      <c r="M58" s="263" t="n">
        <v>1144585.1</v>
      </c>
      <c r="N58" s="261" t="n">
        <v>1803321.7</v>
      </c>
      <c r="O58" s="262" t="n">
        <v>621628.2</v>
      </c>
      <c r="P58" s="262" t="n">
        <v>17674.5</v>
      </c>
      <c r="Q58" s="263" t="n">
        <v>1164019</v>
      </c>
      <c r="R58" s="261" t="n">
        <v>1694189.7</v>
      </c>
      <c r="S58" s="262" t="n">
        <v>618898.6</v>
      </c>
      <c r="T58" s="262" t="n">
        <v>16188</v>
      </c>
      <c r="U58" s="263" t="n">
        <v>1059103.1</v>
      </c>
      <c r="V58" s="261" t="n">
        <v>2016023.7</v>
      </c>
      <c r="W58" s="262" t="n">
        <v>689707.3</v>
      </c>
      <c r="X58" s="262" t="n">
        <v>16390.4</v>
      </c>
      <c r="Y58" s="263" t="n">
        <v>1309926</v>
      </c>
      <c r="Z58" s="261" t="n">
        <v>2217066.7</v>
      </c>
      <c r="AA58" s="262" t="n">
        <v>742275.7</v>
      </c>
      <c r="AB58" s="262" t="n">
        <v>16762.7</v>
      </c>
      <c r="AC58" s="263" t="n">
        <v>1458028.3</v>
      </c>
      <c r="AD58" s="261" t="n">
        <v>2460269.4</v>
      </c>
      <c r="AE58" s="262" t="n">
        <v>851375.2</v>
      </c>
      <c r="AF58" s="262" t="n">
        <v>15336</v>
      </c>
      <c r="AG58" s="263" t="n">
        <v>1593558.2</v>
      </c>
      <c r="AI58" s="369" t="n"/>
      <c r="AJ58" s="369" t="n"/>
      <c r="AK58" s="369" t="n"/>
      <c r="AL58" s="369" t="n"/>
      <c r="AM58" s="369" t="n"/>
      <c r="AN58" s="369" t="n"/>
      <c r="AO58" s="369" t="n"/>
      <c r="AP58" s="369" t="n"/>
      <c r="AQ58" s="369" t="n"/>
      <c r="AR58" s="369" t="n"/>
      <c r="AS58" s="369" t="n"/>
      <c r="AT58" s="369" t="n"/>
      <c r="AU58" s="369" t="n"/>
    </row>
    <row r="59" ht="15" customHeight="1" s="226">
      <c r="A59" s="322" t="inlineStr">
        <is>
          <t xml:space="preserve"> Республика Марий Эл</t>
        </is>
      </c>
      <c r="B59" s="261" t="n">
        <v>170890.5</v>
      </c>
      <c r="C59" s="262" t="n">
        <v>73908.5</v>
      </c>
      <c r="D59" s="262" t="n">
        <v>2032.1</v>
      </c>
      <c r="E59" s="263" t="n">
        <v>94949.89999999999</v>
      </c>
      <c r="F59" s="261" t="n">
        <v>178193.2</v>
      </c>
      <c r="G59" s="262" t="n">
        <v>77459.89999999999</v>
      </c>
      <c r="H59" s="262" t="n">
        <v>2198</v>
      </c>
      <c r="I59" s="263" t="n">
        <v>98535.3</v>
      </c>
      <c r="J59" s="261" t="n">
        <v>192690.3</v>
      </c>
      <c r="K59" s="262" t="n">
        <v>83603.10000000001</v>
      </c>
      <c r="L59" s="262" t="n">
        <v>2753.3</v>
      </c>
      <c r="M59" s="263" t="n">
        <v>106333.9</v>
      </c>
      <c r="N59" s="261" t="n">
        <v>203282.1</v>
      </c>
      <c r="O59" s="262" t="n">
        <v>87389.8</v>
      </c>
      <c r="P59" s="262" t="n">
        <v>2362.3</v>
      </c>
      <c r="Q59" s="263" t="n">
        <v>113530</v>
      </c>
      <c r="R59" s="261" t="n">
        <v>197948.7</v>
      </c>
      <c r="S59" s="262" t="n">
        <v>92478.7</v>
      </c>
      <c r="T59" s="262" t="n">
        <v>2184.7</v>
      </c>
      <c r="U59" s="263" t="n">
        <v>103285.3</v>
      </c>
      <c r="V59" s="261" t="n">
        <v>226451.5</v>
      </c>
      <c r="W59" s="262" t="n">
        <v>107088.5</v>
      </c>
      <c r="X59" s="262" t="n">
        <v>2244.8</v>
      </c>
      <c r="Y59" s="263" t="n">
        <v>117118.2</v>
      </c>
      <c r="Z59" s="261" t="n">
        <v>252741.9</v>
      </c>
      <c r="AA59" s="262" t="n">
        <v>118443.6</v>
      </c>
      <c r="AB59" s="262" t="n">
        <v>2607.2</v>
      </c>
      <c r="AC59" s="263" t="n">
        <v>131691.1</v>
      </c>
      <c r="AD59" s="261" t="n">
        <v>304473.1</v>
      </c>
      <c r="AE59" s="262" t="n">
        <v>137876.5</v>
      </c>
      <c r="AF59" s="262" t="n">
        <v>2527.7</v>
      </c>
      <c r="AG59" s="263" t="n">
        <v>164068.9</v>
      </c>
      <c r="AI59" s="369" t="n"/>
      <c r="AJ59" s="369" t="n"/>
      <c r="AK59" s="369" t="n"/>
      <c r="AL59" s="369" t="n"/>
      <c r="AM59" s="369" t="n"/>
      <c r="AN59" s="369" t="n"/>
      <c r="AO59" s="369" t="n"/>
      <c r="AP59" s="369" t="n"/>
      <c r="AQ59" s="369" t="n"/>
      <c r="AR59" s="369" t="n"/>
      <c r="AS59" s="369" t="n"/>
      <c r="AT59" s="369" t="n"/>
      <c r="AU59" s="369" t="n"/>
    </row>
    <row r="60" ht="15" customHeight="1" s="226">
      <c r="A60" s="322" t="inlineStr">
        <is>
          <t xml:space="preserve"> Республика Мордовия</t>
        </is>
      </c>
      <c r="B60" s="261" t="n">
        <v>223297.8</v>
      </c>
      <c r="C60" s="262" t="n">
        <v>92701.8</v>
      </c>
      <c r="D60" s="262" t="n">
        <v>3342.7</v>
      </c>
      <c r="E60" s="263" t="n">
        <v>127253.3</v>
      </c>
      <c r="F60" s="261" t="n">
        <v>236090.8</v>
      </c>
      <c r="G60" s="262" t="n">
        <v>101602.6</v>
      </c>
      <c r="H60" s="262" t="n">
        <v>3365.4</v>
      </c>
      <c r="I60" s="263" t="n">
        <v>131122.8</v>
      </c>
      <c r="J60" s="261" t="n">
        <v>245675.6</v>
      </c>
      <c r="K60" s="262" t="n">
        <v>108450.4</v>
      </c>
      <c r="L60" s="262" t="n">
        <v>4022.3</v>
      </c>
      <c r="M60" s="263" t="n">
        <v>133202.9</v>
      </c>
      <c r="N60" s="261" t="n">
        <v>262760.6</v>
      </c>
      <c r="O60" s="262" t="n">
        <v>112981.4</v>
      </c>
      <c r="P60" s="262" t="n">
        <v>3693.6</v>
      </c>
      <c r="Q60" s="263" t="n">
        <v>146085.6</v>
      </c>
      <c r="R60" s="261" t="n">
        <v>266387</v>
      </c>
      <c r="S60" s="262" t="n">
        <v>109835.9</v>
      </c>
      <c r="T60" s="262" t="n">
        <v>3070.5</v>
      </c>
      <c r="U60" s="263" t="n">
        <v>153480.6</v>
      </c>
      <c r="V60" s="261" t="n">
        <v>304167.2</v>
      </c>
      <c r="W60" s="262" t="n">
        <v>122436</v>
      </c>
      <c r="X60" s="262" t="n">
        <v>3777.6</v>
      </c>
      <c r="Y60" s="263" t="n">
        <v>177953.6</v>
      </c>
      <c r="Z60" s="261" t="n">
        <v>338912.4</v>
      </c>
      <c r="AA60" s="262" t="n">
        <v>136921.1</v>
      </c>
      <c r="AB60" s="262" t="n">
        <v>4097.7</v>
      </c>
      <c r="AC60" s="263" t="n">
        <v>197893.6</v>
      </c>
      <c r="AD60" s="261" t="n">
        <v>396833</v>
      </c>
      <c r="AE60" s="262" t="n">
        <v>156708.3</v>
      </c>
      <c r="AF60" s="262" t="n">
        <v>4350.8</v>
      </c>
      <c r="AG60" s="263" t="n">
        <v>235773.9</v>
      </c>
      <c r="AI60" s="369" t="n"/>
      <c r="AJ60" s="369" t="n"/>
      <c r="AK60" s="369" t="n"/>
      <c r="AL60" s="369" t="n"/>
      <c r="AM60" s="369" t="n"/>
      <c r="AN60" s="369" t="n"/>
      <c r="AO60" s="369" t="n"/>
      <c r="AP60" s="369" t="n"/>
      <c r="AQ60" s="369" t="n"/>
      <c r="AR60" s="369" t="n"/>
      <c r="AS60" s="369" t="n"/>
      <c r="AT60" s="369" t="n"/>
      <c r="AU60" s="369" t="n"/>
    </row>
    <row r="61" ht="15" customHeight="1" s="226">
      <c r="A61" s="322" t="inlineStr">
        <is>
          <t xml:space="preserve"> Республика Татарстан (Татарстан)</t>
        </is>
      </c>
      <c r="B61" s="261" t="n">
        <v>2058139.9</v>
      </c>
      <c r="C61" s="262" t="n">
        <v>639036.3</v>
      </c>
      <c r="D61" s="262" t="n">
        <v>33981.2</v>
      </c>
      <c r="E61" s="263" t="n">
        <v>1385122.4</v>
      </c>
      <c r="F61" s="261" t="n">
        <v>2264655.8</v>
      </c>
      <c r="G61" s="262" t="n">
        <v>698054.5</v>
      </c>
      <c r="H61" s="262" t="n">
        <v>35198.2</v>
      </c>
      <c r="I61" s="263" t="n">
        <v>1531403.1</v>
      </c>
      <c r="J61" s="261" t="n">
        <v>2622773.9</v>
      </c>
      <c r="K61" s="262" t="n">
        <v>793465.3</v>
      </c>
      <c r="L61" s="262" t="n">
        <v>39746.6</v>
      </c>
      <c r="M61" s="263" t="n">
        <v>1789562</v>
      </c>
      <c r="N61" s="261" t="n">
        <v>2808753.3</v>
      </c>
      <c r="O61" s="262" t="n">
        <v>833376.9</v>
      </c>
      <c r="P61" s="262" t="n">
        <v>36968.4</v>
      </c>
      <c r="Q61" s="263" t="n">
        <v>1938408</v>
      </c>
      <c r="R61" s="261" t="n">
        <v>2631286.8</v>
      </c>
      <c r="S61" s="262" t="n">
        <v>764793.4</v>
      </c>
      <c r="T61" s="262" t="n">
        <v>38371.4</v>
      </c>
      <c r="U61" s="263" t="n">
        <v>1828122</v>
      </c>
      <c r="V61" s="261" t="n">
        <v>3533272.5</v>
      </c>
      <c r="W61" s="262" t="n">
        <v>881703.3</v>
      </c>
      <c r="X61" s="262" t="n">
        <v>42375.2</v>
      </c>
      <c r="Y61" s="263" t="n">
        <v>2609194</v>
      </c>
      <c r="Z61" s="261" t="n">
        <v>4144697.3</v>
      </c>
      <c r="AA61" s="262" t="n">
        <v>1017132.2</v>
      </c>
      <c r="AB61" s="262" t="n">
        <v>47259.5</v>
      </c>
      <c r="AC61" s="263" t="n">
        <v>3080305.6</v>
      </c>
      <c r="AD61" s="261" t="n">
        <v>4583352.3</v>
      </c>
      <c r="AE61" s="262" t="n">
        <v>1222977.5</v>
      </c>
      <c r="AF61" s="262" t="n">
        <v>51171.1</v>
      </c>
      <c r="AG61" s="263" t="n">
        <v>3309203.7</v>
      </c>
      <c r="AI61" s="369" t="n"/>
      <c r="AJ61" s="369" t="n"/>
      <c r="AK61" s="369" t="n"/>
      <c r="AL61" s="369" t="n"/>
      <c r="AM61" s="369" t="n"/>
      <c r="AN61" s="369" t="n"/>
      <c r="AO61" s="369" t="n"/>
      <c r="AP61" s="369" t="n"/>
      <c r="AQ61" s="369" t="n"/>
      <c r="AR61" s="369" t="n"/>
      <c r="AS61" s="369" t="n"/>
      <c r="AT61" s="369" t="n"/>
      <c r="AU61" s="369" t="n"/>
    </row>
    <row r="62" ht="15" customHeight="1" s="226">
      <c r="A62" s="322" t="inlineStr">
        <is>
          <t xml:space="preserve"> Удмуртская Республика</t>
        </is>
      </c>
      <c r="B62" s="261" t="n">
        <v>570254.8</v>
      </c>
      <c r="C62" s="262" t="n">
        <v>218835.8</v>
      </c>
      <c r="D62" s="262" t="n">
        <v>6916.7</v>
      </c>
      <c r="E62" s="263" t="n">
        <v>344502.3</v>
      </c>
      <c r="F62" s="261" t="n">
        <v>592037.6</v>
      </c>
      <c r="G62" s="262" t="n">
        <v>237099.7</v>
      </c>
      <c r="H62" s="262" t="n">
        <v>6897.4</v>
      </c>
      <c r="I62" s="263" t="n">
        <v>348040.5</v>
      </c>
      <c r="J62" s="261" t="n">
        <v>679938.9</v>
      </c>
      <c r="K62" s="262" t="n">
        <v>262215.6</v>
      </c>
      <c r="L62" s="262" t="n">
        <v>8076.2</v>
      </c>
      <c r="M62" s="263" t="n">
        <v>409647.1</v>
      </c>
      <c r="N62" s="261" t="n">
        <v>722846</v>
      </c>
      <c r="O62" s="262" t="n">
        <v>275110.9</v>
      </c>
      <c r="P62" s="262" t="n">
        <v>8723.9</v>
      </c>
      <c r="Q62" s="263" t="n">
        <v>439011.2</v>
      </c>
      <c r="R62" s="261" t="n">
        <v>684430.6</v>
      </c>
      <c r="S62" s="262" t="n">
        <v>274238.2</v>
      </c>
      <c r="T62" s="262" t="n">
        <v>6560.5</v>
      </c>
      <c r="U62" s="263" t="n">
        <v>403631.9</v>
      </c>
      <c r="V62" s="261" t="n">
        <v>867612.5</v>
      </c>
      <c r="W62" s="262" t="n">
        <v>302238.1</v>
      </c>
      <c r="X62" s="262" t="n">
        <v>7269.7</v>
      </c>
      <c r="Y62" s="263" t="n">
        <v>558104.7</v>
      </c>
      <c r="Z62" s="261" t="n">
        <v>965539.8</v>
      </c>
      <c r="AA62" s="262" t="n">
        <v>318305.3</v>
      </c>
      <c r="AB62" s="262" t="n">
        <v>8555.1</v>
      </c>
      <c r="AC62" s="263" t="n">
        <v>638679.4</v>
      </c>
      <c r="AD62" s="261" t="n">
        <v>1102900.3</v>
      </c>
      <c r="AE62" s="262" t="n">
        <v>373480.1</v>
      </c>
      <c r="AF62" s="262" t="n">
        <v>9334</v>
      </c>
      <c r="AG62" s="263" t="n">
        <v>720086.2</v>
      </c>
      <c r="AI62" s="369" t="n"/>
      <c r="AJ62" s="369" t="n"/>
      <c r="AK62" s="369" t="n"/>
      <c r="AL62" s="369" t="n"/>
      <c r="AM62" s="369" t="n"/>
      <c r="AN62" s="369" t="n"/>
      <c r="AO62" s="369" t="n"/>
      <c r="AP62" s="369" t="n"/>
      <c r="AQ62" s="369" t="n"/>
      <c r="AR62" s="369" t="n"/>
      <c r="AS62" s="369" t="n"/>
      <c r="AT62" s="369" t="n"/>
      <c r="AU62" s="369" t="n"/>
    </row>
    <row r="63" ht="15" customHeight="1" s="226">
      <c r="A63" s="322" t="inlineStr">
        <is>
          <t xml:space="preserve"> Чувашская Республика - Чувашия</t>
        </is>
      </c>
      <c r="B63" s="261" t="n">
        <v>284659.1</v>
      </c>
      <c r="C63" s="262" t="n">
        <v>118408.7</v>
      </c>
      <c r="D63" s="262" t="n">
        <v>3745.2</v>
      </c>
      <c r="E63" s="263" t="n">
        <v>162505.2</v>
      </c>
      <c r="F63" s="261" t="n">
        <v>296505.8</v>
      </c>
      <c r="G63" s="262" t="n">
        <v>123138.5</v>
      </c>
      <c r="H63" s="262" t="n">
        <v>4082.3</v>
      </c>
      <c r="I63" s="263" t="n">
        <v>169285</v>
      </c>
      <c r="J63" s="261" t="n">
        <v>316622.9</v>
      </c>
      <c r="K63" s="262" t="n">
        <v>138768.5</v>
      </c>
      <c r="L63" s="262" t="n">
        <v>4263.5</v>
      </c>
      <c r="M63" s="263" t="n">
        <v>173590.9</v>
      </c>
      <c r="N63" s="261" t="n">
        <v>339490.4</v>
      </c>
      <c r="O63" s="262" t="n">
        <v>144184.8</v>
      </c>
      <c r="P63" s="262" t="n">
        <v>4162.5</v>
      </c>
      <c r="Q63" s="263" t="n">
        <v>191143.1</v>
      </c>
      <c r="R63" s="261" t="n">
        <v>346046.4</v>
      </c>
      <c r="S63" s="262" t="n">
        <v>147804.2</v>
      </c>
      <c r="T63" s="262" t="n">
        <v>4108.8</v>
      </c>
      <c r="U63" s="263" t="n">
        <v>194133.4</v>
      </c>
      <c r="V63" s="261" t="n">
        <v>399899.3</v>
      </c>
      <c r="W63" s="262" t="n">
        <v>164184.8</v>
      </c>
      <c r="X63" s="262" t="n">
        <v>4183.1</v>
      </c>
      <c r="Y63" s="263" t="n">
        <v>231531.4</v>
      </c>
      <c r="Z63" s="261" t="n">
        <v>489177.6</v>
      </c>
      <c r="AA63" s="262" t="n">
        <v>190148.1</v>
      </c>
      <c r="AB63" s="262" t="n">
        <v>4831.5</v>
      </c>
      <c r="AC63" s="263" t="n">
        <v>294198</v>
      </c>
      <c r="AD63" s="261" t="n">
        <v>601316.7</v>
      </c>
      <c r="AE63" s="262" t="n">
        <v>227240.4</v>
      </c>
      <c r="AF63" s="262" t="n">
        <v>4837.6</v>
      </c>
      <c r="AG63" s="263" t="n">
        <v>369238.7</v>
      </c>
      <c r="AI63" s="369" t="n"/>
      <c r="AJ63" s="369" t="n"/>
      <c r="AK63" s="369" t="n"/>
      <c r="AL63" s="369" t="n"/>
      <c r="AM63" s="369" t="n"/>
      <c r="AN63" s="369" t="n"/>
      <c r="AO63" s="369" t="n"/>
      <c r="AP63" s="369" t="n"/>
      <c r="AQ63" s="369" t="n"/>
      <c r="AR63" s="369" t="n"/>
      <c r="AS63" s="369" t="n"/>
      <c r="AT63" s="369" t="n"/>
      <c r="AU63" s="369" t="n"/>
    </row>
    <row r="64" ht="15" customHeight="1" s="226">
      <c r="A64" s="260" t="inlineStr">
        <is>
          <t xml:space="preserve"> Пермский край</t>
        </is>
      </c>
      <c r="B64" s="261" t="n">
        <v>1147634</v>
      </c>
      <c r="C64" s="262" t="n">
        <v>401974.7</v>
      </c>
      <c r="D64" s="262" t="n">
        <v>17600.4</v>
      </c>
      <c r="E64" s="263" t="n">
        <v>728058.9</v>
      </c>
      <c r="F64" s="261" t="n">
        <v>1245826.9</v>
      </c>
      <c r="G64" s="262" t="n">
        <v>430978.1</v>
      </c>
      <c r="H64" s="262" t="n">
        <v>18063</v>
      </c>
      <c r="I64" s="263" t="n">
        <v>796785.8</v>
      </c>
      <c r="J64" s="261" t="n">
        <v>1422704.6</v>
      </c>
      <c r="K64" s="262" t="n">
        <v>476815.3</v>
      </c>
      <c r="L64" s="262" t="n">
        <v>19606.1</v>
      </c>
      <c r="M64" s="263" t="n">
        <v>926283.2</v>
      </c>
      <c r="N64" s="261" t="n">
        <v>1496401.4</v>
      </c>
      <c r="O64" s="262" t="n">
        <v>503510.8</v>
      </c>
      <c r="P64" s="262" t="n">
        <v>17870.4</v>
      </c>
      <c r="Q64" s="263" t="n">
        <v>975020.2</v>
      </c>
      <c r="R64" s="261" t="n">
        <v>1385352.5</v>
      </c>
      <c r="S64" s="262" t="n">
        <v>507577.4</v>
      </c>
      <c r="T64" s="262" t="n">
        <v>16708.9</v>
      </c>
      <c r="U64" s="263" t="n">
        <v>861066.2</v>
      </c>
      <c r="V64" s="261" t="n">
        <v>1765366.6</v>
      </c>
      <c r="W64" s="262" t="n">
        <v>569083</v>
      </c>
      <c r="X64" s="262" t="n">
        <v>16637.8</v>
      </c>
      <c r="Y64" s="263" t="n">
        <v>1179645.8</v>
      </c>
      <c r="Z64" s="261" t="n">
        <v>1997004.2</v>
      </c>
      <c r="AA64" s="262" t="n">
        <v>623278.5</v>
      </c>
      <c r="AB64" s="262" t="n">
        <v>21550</v>
      </c>
      <c r="AC64" s="263" t="n">
        <v>1352175.7</v>
      </c>
      <c r="AD64" s="261" t="n">
        <v>2197280.1</v>
      </c>
      <c r="AE64" s="262" t="n">
        <v>739042.2</v>
      </c>
      <c r="AF64" s="262" t="n">
        <v>21756.8</v>
      </c>
      <c r="AG64" s="263" t="n">
        <v>1436481.1</v>
      </c>
      <c r="AI64" s="369" t="n"/>
      <c r="AJ64" s="369" t="n"/>
      <c r="AK64" s="369" t="n"/>
      <c r="AL64" s="369" t="n"/>
      <c r="AM64" s="369" t="n"/>
      <c r="AN64" s="369" t="n"/>
      <c r="AO64" s="369" t="n"/>
      <c r="AP64" s="369" t="n"/>
      <c r="AQ64" s="369" t="n"/>
      <c r="AR64" s="369" t="n"/>
      <c r="AS64" s="369" t="n"/>
      <c r="AT64" s="369" t="n"/>
      <c r="AU64" s="369" t="n"/>
    </row>
    <row r="65" ht="15" customHeight="1" s="226">
      <c r="A65" s="260" t="inlineStr">
        <is>
          <t xml:space="preserve"> Кировская область</t>
        </is>
      </c>
      <c r="B65" s="261" t="n">
        <v>313533.8</v>
      </c>
      <c r="C65" s="262" t="n">
        <v>155034.6</v>
      </c>
      <c r="D65" s="262" t="n">
        <v>3593.9</v>
      </c>
      <c r="E65" s="263" t="n">
        <v>154905.3</v>
      </c>
      <c r="F65" s="261" t="n">
        <v>331754.4</v>
      </c>
      <c r="G65" s="262" t="n">
        <v>164237.8</v>
      </c>
      <c r="H65" s="262" t="n">
        <v>4067.6</v>
      </c>
      <c r="I65" s="263" t="n">
        <v>163449</v>
      </c>
      <c r="J65" s="261" t="n">
        <v>353265.5</v>
      </c>
      <c r="K65" s="262" t="n">
        <v>177539.9</v>
      </c>
      <c r="L65" s="262" t="n">
        <v>4756.6</v>
      </c>
      <c r="M65" s="263" t="n">
        <v>170969</v>
      </c>
      <c r="N65" s="261" t="n">
        <v>370472.6</v>
      </c>
      <c r="O65" s="262" t="n">
        <v>186669</v>
      </c>
      <c r="P65" s="262" t="n">
        <v>4642.6</v>
      </c>
      <c r="Q65" s="263" t="n">
        <v>179161</v>
      </c>
      <c r="R65" s="261" t="n">
        <v>396946.8</v>
      </c>
      <c r="S65" s="262" t="n">
        <v>191220</v>
      </c>
      <c r="T65" s="262" t="n">
        <v>4650.6</v>
      </c>
      <c r="U65" s="263" t="n">
        <v>201076.2</v>
      </c>
      <c r="V65" s="261" t="n">
        <v>488594.5</v>
      </c>
      <c r="W65" s="262" t="n">
        <v>214747</v>
      </c>
      <c r="X65" s="262" t="n">
        <v>5049.1</v>
      </c>
      <c r="Y65" s="263" t="n">
        <v>268798.4</v>
      </c>
      <c r="Z65" s="261" t="n">
        <v>548013.8</v>
      </c>
      <c r="AA65" s="262" t="n">
        <v>236879</v>
      </c>
      <c r="AB65" s="262" t="n">
        <v>5426.7</v>
      </c>
      <c r="AC65" s="263" t="n">
        <v>305708.1</v>
      </c>
      <c r="AD65" s="261" t="n">
        <v>605915.5</v>
      </c>
      <c r="AE65" s="262" t="n">
        <v>277958.3</v>
      </c>
      <c r="AF65" s="262" t="n">
        <v>5347.6</v>
      </c>
      <c r="AG65" s="263" t="n">
        <v>322609.6</v>
      </c>
      <c r="AI65" s="369" t="n"/>
      <c r="AJ65" s="369" t="n"/>
      <c r="AK65" s="369" t="n"/>
      <c r="AL65" s="369" t="n"/>
      <c r="AM65" s="369" t="n"/>
      <c r="AN65" s="369" t="n"/>
      <c r="AO65" s="369" t="n"/>
      <c r="AP65" s="369" t="n"/>
      <c r="AQ65" s="369" t="n"/>
      <c r="AR65" s="369" t="n"/>
      <c r="AS65" s="369" t="n"/>
      <c r="AT65" s="369" t="n"/>
      <c r="AU65" s="369" t="n"/>
    </row>
    <row r="66" ht="15" customHeight="1" s="226">
      <c r="A66" s="260" t="inlineStr">
        <is>
          <t xml:space="preserve"> Нижегородская область</t>
        </is>
      </c>
      <c r="B66" s="261" t="n">
        <v>1282751.7</v>
      </c>
      <c r="C66" s="262" t="n">
        <v>535891.9</v>
      </c>
      <c r="D66" s="262" t="n">
        <v>17819.6</v>
      </c>
      <c r="E66" s="263" t="n">
        <v>729040.2</v>
      </c>
      <c r="F66" s="261" t="n">
        <v>1387920.9</v>
      </c>
      <c r="G66" s="262" t="n">
        <v>578730.4</v>
      </c>
      <c r="H66" s="262" t="n">
        <v>17683.3</v>
      </c>
      <c r="I66" s="263" t="n">
        <v>791507.2</v>
      </c>
      <c r="J66" s="261" t="n">
        <v>1502156.2</v>
      </c>
      <c r="K66" s="262" t="n">
        <v>641726.3</v>
      </c>
      <c r="L66" s="262" t="n">
        <v>19866.1</v>
      </c>
      <c r="M66" s="263" t="n">
        <v>840563.8</v>
      </c>
      <c r="N66" s="261" t="n">
        <v>1617171.7</v>
      </c>
      <c r="O66" s="262" t="n">
        <v>698580.3</v>
      </c>
      <c r="P66" s="262" t="n">
        <v>17217.6</v>
      </c>
      <c r="Q66" s="263" t="n">
        <v>901373.8</v>
      </c>
      <c r="R66" s="261" t="n">
        <v>1600333.4</v>
      </c>
      <c r="S66" s="262" t="n">
        <v>683286.9</v>
      </c>
      <c r="T66" s="262" t="n">
        <v>16590.3</v>
      </c>
      <c r="U66" s="263" t="n">
        <v>900456.2</v>
      </c>
      <c r="V66" s="261" t="n">
        <v>1931254.1</v>
      </c>
      <c r="W66" s="262" t="n">
        <v>790323.9</v>
      </c>
      <c r="X66" s="262" t="n">
        <v>10005.8</v>
      </c>
      <c r="Y66" s="263" t="n">
        <v>1130924.4</v>
      </c>
      <c r="Z66" s="261" t="n">
        <v>2277255.2</v>
      </c>
      <c r="AA66" s="262" t="n">
        <v>873727.9</v>
      </c>
      <c r="AB66" s="262" t="n">
        <v>18958.4</v>
      </c>
      <c r="AC66" s="263" t="n">
        <v>1384568.9</v>
      </c>
      <c r="AD66" s="261" t="n">
        <v>2672241.8</v>
      </c>
      <c r="AE66" s="262" t="n">
        <v>1034457.3</v>
      </c>
      <c r="AF66" s="262" t="n">
        <v>19029.1</v>
      </c>
      <c r="AG66" s="263" t="n">
        <v>1618755.4</v>
      </c>
      <c r="AI66" s="369" t="n"/>
      <c r="AJ66" s="369" t="n"/>
      <c r="AK66" s="369" t="n"/>
      <c r="AL66" s="369" t="n"/>
      <c r="AM66" s="369" t="n"/>
      <c r="AN66" s="369" t="n"/>
      <c r="AO66" s="369" t="n"/>
      <c r="AP66" s="369" t="n"/>
      <c r="AQ66" s="369" t="n"/>
      <c r="AR66" s="369" t="n"/>
      <c r="AS66" s="369" t="n"/>
      <c r="AT66" s="369" t="n"/>
      <c r="AU66" s="369" t="n"/>
    </row>
    <row r="67" ht="15" customHeight="1" s="226">
      <c r="A67" s="260" t="inlineStr">
        <is>
          <t xml:space="preserve"> Оренбургская область</t>
        </is>
      </c>
      <c r="B67" s="261" t="n">
        <v>814765.4</v>
      </c>
      <c r="C67" s="262" t="n">
        <v>259517</v>
      </c>
      <c r="D67" s="262" t="n">
        <v>11869.5</v>
      </c>
      <c r="E67" s="263" t="n">
        <v>543378.9</v>
      </c>
      <c r="F67" s="261" t="n">
        <v>872857.1</v>
      </c>
      <c r="G67" s="262" t="n">
        <v>261849</v>
      </c>
      <c r="H67" s="262" t="n">
        <v>12071.9</v>
      </c>
      <c r="I67" s="263" t="n">
        <v>598936.2</v>
      </c>
      <c r="J67" s="261" t="n">
        <v>1058504.8</v>
      </c>
      <c r="K67" s="262" t="n">
        <v>281641.3</v>
      </c>
      <c r="L67" s="262" t="n">
        <v>12964.7</v>
      </c>
      <c r="M67" s="263" t="n">
        <v>763898.8</v>
      </c>
      <c r="N67" s="261" t="n">
        <v>1106329.3</v>
      </c>
      <c r="O67" s="262" t="n">
        <v>292779.8</v>
      </c>
      <c r="P67" s="262" t="n">
        <v>13124.3</v>
      </c>
      <c r="Q67" s="263" t="n">
        <v>800425.2</v>
      </c>
      <c r="R67" s="261" t="n">
        <v>1046728.3</v>
      </c>
      <c r="S67" s="262" t="n">
        <v>293707.2</v>
      </c>
      <c r="T67" s="262" t="n">
        <v>13258.3</v>
      </c>
      <c r="U67" s="263" t="n">
        <v>739762.8</v>
      </c>
      <c r="V67" s="261" t="n">
        <v>1409921</v>
      </c>
      <c r="W67" s="262" t="n">
        <v>325819.9</v>
      </c>
      <c r="X67" s="262" t="n">
        <v>14322.5</v>
      </c>
      <c r="Y67" s="263" t="n">
        <v>1069778.6</v>
      </c>
      <c r="Z67" s="261" t="n">
        <v>1565767.7</v>
      </c>
      <c r="AA67" s="262" t="n">
        <v>364819.8</v>
      </c>
      <c r="AB67" s="262" t="n">
        <v>16510.1</v>
      </c>
      <c r="AC67" s="263" t="n">
        <v>1184437.8</v>
      </c>
      <c r="AD67" s="261" t="n">
        <v>1763998.8</v>
      </c>
      <c r="AE67" s="262" t="n">
        <v>433504.5</v>
      </c>
      <c r="AF67" s="262" t="n">
        <v>16761.1</v>
      </c>
      <c r="AG67" s="263" t="n">
        <v>1313733.2</v>
      </c>
      <c r="AI67" s="369" t="n"/>
      <c r="AJ67" s="369" t="n"/>
      <c r="AK67" s="369" t="n"/>
      <c r="AL67" s="369" t="n"/>
      <c r="AM67" s="369" t="n"/>
      <c r="AN67" s="369" t="n"/>
      <c r="AO67" s="369" t="n"/>
      <c r="AP67" s="369" t="n"/>
      <c r="AQ67" s="369" t="n"/>
      <c r="AR67" s="369" t="n"/>
      <c r="AS67" s="369" t="n"/>
      <c r="AT67" s="369" t="n"/>
      <c r="AU67" s="369" t="n"/>
    </row>
    <row r="68" ht="15" customHeight="1" s="226">
      <c r="A68" s="260" t="inlineStr">
        <is>
          <t xml:space="preserve"> Пензенская область</t>
        </is>
      </c>
      <c r="B68" s="261" t="n">
        <v>358258.2</v>
      </c>
      <c r="C68" s="262" t="n">
        <v>141441.7</v>
      </c>
      <c r="D68" s="262" t="n">
        <v>4955</v>
      </c>
      <c r="E68" s="263" t="n">
        <v>211861.5</v>
      </c>
      <c r="F68" s="261" t="n">
        <v>376076.2</v>
      </c>
      <c r="G68" s="262" t="n">
        <v>149707.1</v>
      </c>
      <c r="H68" s="262" t="n">
        <v>5375.7</v>
      </c>
      <c r="I68" s="263" t="n">
        <v>220993.4</v>
      </c>
      <c r="J68" s="261" t="n">
        <v>411028.7</v>
      </c>
      <c r="K68" s="262" t="n">
        <v>170481.6</v>
      </c>
      <c r="L68" s="262" t="n">
        <v>5881.3</v>
      </c>
      <c r="M68" s="263" t="n">
        <v>234665.8</v>
      </c>
      <c r="N68" s="261" t="n">
        <v>448521.1</v>
      </c>
      <c r="O68" s="262" t="n">
        <v>174454.9</v>
      </c>
      <c r="P68" s="262" t="n">
        <v>6034.3</v>
      </c>
      <c r="Q68" s="263" t="n">
        <v>268031.9</v>
      </c>
      <c r="R68" s="261" t="n">
        <v>484785.4</v>
      </c>
      <c r="S68" s="262" t="n">
        <v>178185.8</v>
      </c>
      <c r="T68" s="262" t="n">
        <v>6019.6</v>
      </c>
      <c r="U68" s="263" t="n">
        <v>300580</v>
      </c>
      <c r="V68" s="261" t="n">
        <v>540115.8</v>
      </c>
      <c r="W68" s="262" t="n">
        <v>191236.7</v>
      </c>
      <c r="X68" s="262" t="n">
        <v>6311.6</v>
      </c>
      <c r="Y68" s="263" t="n">
        <v>342567.5</v>
      </c>
      <c r="Z68" s="261" t="n">
        <v>588291.7</v>
      </c>
      <c r="AA68" s="262" t="n">
        <v>210734.8</v>
      </c>
      <c r="AB68" s="262" t="n">
        <v>6972.6</v>
      </c>
      <c r="AC68" s="263" t="n">
        <v>370584.3</v>
      </c>
      <c r="AD68" s="261" t="n">
        <v>659002.8</v>
      </c>
      <c r="AE68" s="262" t="n">
        <v>245427.9</v>
      </c>
      <c r="AF68" s="262" t="n">
        <v>6973.6</v>
      </c>
      <c r="AG68" s="263" t="n">
        <v>406601.3</v>
      </c>
      <c r="AI68" s="369" t="n"/>
      <c r="AJ68" s="369" t="n"/>
      <c r="AK68" s="369" t="n"/>
      <c r="AL68" s="369" t="n"/>
      <c r="AM68" s="369" t="n"/>
      <c r="AN68" s="369" t="n"/>
      <c r="AO68" s="369" t="n"/>
      <c r="AP68" s="369" t="n"/>
      <c r="AQ68" s="369" t="n"/>
      <c r="AR68" s="369" t="n"/>
      <c r="AS68" s="369" t="n"/>
      <c r="AT68" s="369" t="n"/>
      <c r="AU68" s="369" t="n"/>
    </row>
    <row r="69" ht="15" customHeight="1" s="226">
      <c r="A69" s="260" t="inlineStr">
        <is>
          <t xml:space="preserve"> Самарская область</t>
        </is>
      </c>
      <c r="B69" s="261" t="n">
        <v>1364822.2</v>
      </c>
      <c r="C69" s="262" t="n">
        <v>508226.3</v>
      </c>
      <c r="D69" s="262" t="n">
        <v>21223</v>
      </c>
      <c r="E69" s="263" t="n">
        <v>835372.9</v>
      </c>
      <c r="F69" s="261" t="n">
        <v>1449005.7</v>
      </c>
      <c r="G69" s="262" t="n">
        <v>541912.4</v>
      </c>
      <c r="H69" s="262" t="n">
        <v>21721.6</v>
      </c>
      <c r="I69" s="263" t="n">
        <v>885371.7</v>
      </c>
      <c r="J69" s="261" t="n">
        <v>1625558.7</v>
      </c>
      <c r="K69" s="262" t="n">
        <v>596910.6</v>
      </c>
      <c r="L69" s="262" t="n">
        <v>26145.8</v>
      </c>
      <c r="M69" s="263" t="n">
        <v>1002502.3</v>
      </c>
      <c r="N69" s="261" t="n">
        <v>1689575.4</v>
      </c>
      <c r="O69" s="262" t="n">
        <v>640328.3</v>
      </c>
      <c r="P69" s="262" t="n">
        <v>24331.8</v>
      </c>
      <c r="Q69" s="263" t="n">
        <v>1024915.3</v>
      </c>
      <c r="R69" s="261" t="n">
        <v>1625461.8</v>
      </c>
      <c r="S69" s="262" t="n">
        <v>663790.2</v>
      </c>
      <c r="T69" s="262" t="n">
        <v>24435.7</v>
      </c>
      <c r="U69" s="263" t="n">
        <v>937235.9</v>
      </c>
      <c r="V69" s="261" t="n">
        <v>2157662</v>
      </c>
      <c r="W69" s="262" t="n">
        <v>718217.9</v>
      </c>
      <c r="X69" s="262" t="n">
        <v>24141.7</v>
      </c>
      <c r="Y69" s="263" t="n">
        <v>1415302.4</v>
      </c>
      <c r="Z69" s="261" t="n">
        <v>2367618.4</v>
      </c>
      <c r="AA69" s="262" t="n">
        <v>787155.9</v>
      </c>
      <c r="AB69" s="262" t="n">
        <v>25513.2</v>
      </c>
      <c r="AC69" s="263" t="n">
        <v>1554949.3</v>
      </c>
      <c r="AD69" s="261" t="n">
        <v>2646488.2</v>
      </c>
      <c r="AE69" s="262" t="n">
        <v>941210.9</v>
      </c>
      <c r="AF69" s="262" t="n">
        <v>26087.2</v>
      </c>
      <c r="AG69" s="263" t="n">
        <v>1679190.1</v>
      </c>
      <c r="AI69" s="369" t="n"/>
      <c r="AJ69" s="369" t="n"/>
      <c r="AK69" s="369" t="n"/>
      <c r="AL69" s="369" t="n"/>
      <c r="AM69" s="369" t="n"/>
      <c r="AN69" s="369" t="n"/>
      <c r="AO69" s="369" t="n"/>
      <c r="AP69" s="369" t="n"/>
      <c r="AQ69" s="369" t="n"/>
      <c r="AR69" s="369" t="n"/>
      <c r="AS69" s="369" t="n"/>
      <c r="AT69" s="369" t="n"/>
      <c r="AU69" s="369" t="n"/>
    </row>
    <row r="70" ht="15" customHeight="1" s="226">
      <c r="A70" s="322" t="inlineStr">
        <is>
          <t xml:space="preserve"> Саратовская область</t>
        </is>
      </c>
      <c r="B70" s="261" t="n">
        <v>700848.6</v>
      </c>
      <c r="C70" s="262" t="n">
        <v>272464.1</v>
      </c>
      <c r="D70" s="262" t="n">
        <v>11093.8</v>
      </c>
      <c r="E70" s="263" t="n">
        <v>417290.7</v>
      </c>
      <c r="F70" s="261" t="n">
        <v>728946.4</v>
      </c>
      <c r="G70" s="262" t="n">
        <v>290548.8</v>
      </c>
      <c r="H70" s="262" t="n">
        <v>12357</v>
      </c>
      <c r="I70" s="263" t="n">
        <v>426040.6</v>
      </c>
      <c r="J70" s="261" t="n">
        <v>773838.6</v>
      </c>
      <c r="K70" s="262" t="n">
        <v>319479.9</v>
      </c>
      <c r="L70" s="262" t="n">
        <v>13957.6</v>
      </c>
      <c r="M70" s="263" t="n">
        <v>440401.1</v>
      </c>
      <c r="N70" s="261" t="n">
        <v>809822.6</v>
      </c>
      <c r="O70" s="262" t="n">
        <v>351002</v>
      </c>
      <c r="P70" s="262" t="n">
        <v>12396.7</v>
      </c>
      <c r="Q70" s="263" t="n">
        <v>446423.9</v>
      </c>
      <c r="R70" s="261" t="n">
        <v>856515.7</v>
      </c>
      <c r="S70" s="262" t="n">
        <v>366635.2</v>
      </c>
      <c r="T70" s="262" t="n">
        <v>11168.7</v>
      </c>
      <c r="U70" s="263" t="n">
        <v>478711.8</v>
      </c>
      <c r="V70" s="261" t="n">
        <v>1009797.7</v>
      </c>
      <c r="W70" s="262" t="n">
        <v>388234.1</v>
      </c>
      <c r="X70" s="262" t="n">
        <v>11494.9</v>
      </c>
      <c r="Y70" s="263" t="n">
        <v>610068.7</v>
      </c>
      <c r="Z70" s="261" t="n">
        <v>1176232</v>
      </c>
      <c r="AA70" s="262" t="n">
        <v>428284.7</v>
      </c>
      <c r="AB70" s="262" t="n">
        <v>13026.6</v>
      </c>
      <c r="AC70" s="263" t="n">
        <v>734920.7</v>
      </c>
      <c r="AD70" s="261" t="n">
        <v>1345119</v>
      </c>
      <c r="AE70" s="262" t="n">
        <v>484740.1</v>
      </c>
      <c r="AF70" s="262" t="n">
        <v>13481.6</v>
      </c>
      <c r="AG70" s="263" t="n">
        <v>846897.3</v>
      </c>
      <c r="AI70" s="369" t="n"/>
      <c r="AJ70" s="369" t="n"/>
      <c r="AK70" s="369" t="n"/>
      <c r="AL70" s="369" t="n"/>
      <c r="AM70" s="369" t="n"/>
      <c r="AN70" s="369" t="n"/>
      <c r="AO70" s="369" t="n"/>
      <c r="AP70" s="369" t="n"/>
      <c r="AQ70" s="369" t="n"/>
      <c r="AR70" s="369" t="n"/>
      <c r="AS70" s="369" t="n"/>
      <c r="AT70" s="369" t="n"/>
      <c r="AU70" s="369" t="n"/>
    </row>
    <row r="71" ht="15" customHeight="1" s="226">
      <c r="A71" s="322" t="inlineStr">
        <is>
          <t xml:space="preserve"> Ульяновская область</t>
        </is>
      </c>
      <c r="B71" s="261" t="n">
        <v>366954.7</v>
      </c>
      <c r="C71" s="262" t="n">
        <v>143969</v>
      </c>
      <c r="D71" s="262" t="n">
        <v>4379</v>
      </c>
      <c r="E71" s="263" t="n">
        <v>218606.7</v>
      </c>
      <c r="F71" s="261" t="n">
        <v>374827.9</v>
      </c>
      <c r="G71" s="262" t="n">
        <v>151314.3</v>
      </c>
      <c r="H71" s="262" t="n">
        <v>4624</v>
      </c>
      <c r="I71" s="263" t="n">
        <v>218889.6</v>
      </c>
      <c r="J71" s="261" t="n">
        <v>386675.4</v>
      </c>
      <c r="K71" s="262" t="n">
        <v>160184.4</v>
      </c>
      <c r="L71" s="262" t="n">
        <v>5242.9</v>
      </c>
      <c r="M71" s="263" t="n">
        <v>221248.1</v>
      </c>
      <c r="N71" s="261" t="n">
        <v>424995.6</v>
      </c>
      <c r="O71" s="262" t="n">
        <v>170466.9</v>
      </c>
      <c r="P71" s="262" t="n">
        <v>5137.8</v>
      </c>
      <c r="Q71" s="263" t="n">
        <v>249390.9</v>
      </c>
      <c r="R71" s="261" t="n">
        <v>438968.9</v>
      </c>
      <c r="S71" s="262" t="n">
        <v>182596.5</v>
      </c>
      <c r="T71" s="262" t="n">
        <v>4837.6</v>
      </c>
      <c r="U71" s="263" t="n">
        <v>251534.8</v>
      </c>
      <c r="V71" s="261" t="n">
        <v>508499.1</v>
      </c>
      <c r="W71" s="262" t="n">
        <v>204002.5</v>
      </c>
      <c r="X71" s="262" t="n">
        <v>4955.4</v>
      </c>
      <c r="Y71" s="263" t="n">
        <v>299541.2</v>
      </c>
      <c r="Z71" s="261" t="n">
        <v>586437.6</v>
      </c>
      <c r="AA71" s="262" t="n">
        <v>222790.1</v>
      </c>
      <c r="AB71" s="262" t="n">
        <v>5396.8</v>
      </c>
      <c r="AC71" s="263" t="n">
        <v>358250.7</v>
      </c>
      <c r="AD71" s="261" t="n">
        <v>673635.5</v>
      </c>
      <c r="AE71" s="262" t="n">
        <v>257289</v>
      </c>
      <c r="AF71" s="262" t="n">
        <v>5078.6</v>
      </c>
      <c r="AG71" s="263" t="n">
        <v>411267.9</v>
      </c>
      <c r="AI71" s="369" t="n"/>
      <c r="AJ71" s="369" t="n"/>
      <c r="AK71" s="369" t="n"/>
      <c r="AL71" s="369" t="n"/>
      <c r="AM71" s="369" t="n"/>
      <c r="AN71" s="369" t="n"/>
      <c r="AO71" s="369" t="n"/>
      <c r="AP71" s="369" t="n"/>
      <c r="AQ71" s="369" t="n"/>
      <c r="AR71" s="369" t="n"/>
      <c r="AS71" s="369" t="n"/>
      <c r="AT71" s="369" t="n"/>
      <c r="AU71" s="369" t="n"/>
    </row>
    <row r="72" ht="15" customHeight="1" s="226">
      <c r="A72" s="272" t="inlineStr">
        <is>
          <t>Уральский федеральный округ</t>
        </is>
      </c>
      <c r="B72" s="275">
        <f>SUM(B73:B79)-B77-B78-B76</f>
        <v/>
      </c>
      <c r="C72" s="275">
        <f>SUM(C73:C79)-C77-C78-C76</f>
        <v/>
      </c>
      <c r="D72" s="275">
        <f>SUM(D73:D79)-D77-D78-D76</f>
        <v/>
      </c>
      <c r="E72" s="254">
        <f>SUM(E73:E79)-E77-E78-E76</f>
        <v/>
      </c>
      <c r="F72" s="275">
        <f>SUM(F73:F79)-F77-F78-F76</f>
        <v/>
      </c>
      <c r="G72" s="275">
        <f>SUM(G73:G79)-G77-G78-G76</f>
        <v/>
      </c>
      <c r="H72" s="275">
        <f>SUM(H73:H79)-H77-H78-H76</f>
        <v/>
      </c>
      <c r="I72" s="254">
        <f>SUM(I73:I79)-I77-I78-I76</f>
        <v/>
      </c>
      <c r="J72" s="275">
        <f>SUM(J73:J79)-J77-J78-J76</f>
        <v/>
      </c>
      <c r="K72" s="275">
        <f>SUM(K73:K79)-K77-K78-K76</f>
        <v/>
      </c>
      <c r="L72" s="275">
        <f>SUM(L73:L79)-L77-L78-L76</f>
        <v/>
      </c>
      <c r="M72" s="254">
        <f>SUM(M73:M79)-M77-M78-M76</f>
        <v/>
      </c>
      <c r="N72" s="275">
        <f>SUM(N73:N79)-N77-N78-N76</f>
        <v/>
      </c>
      <c r="O72" s="275">
        <f>SUM(O73:O79)-O77-O78-O76</f>
        <v/>
      </c>
      <c r="P72" s="275">
        <f>SUM(P73:P79)-P77-P78-P76</f>
        <v/>
      </c>
      <c r="Q72" s="254">
        <f>SUM(Q73:Q79)-Q77-Q78-Q76</f>
        <v/>
      </c>
      <c r="R72" s="275">
        <f>SUM(R73:R79)-R77-R78-R76</f>
        <v/>
      </c>
      <c r="S72" s="275">
        <f>SUM(S73:S79)-S77-S78-S76</f>
        <v/>
      </c>
      <c r="T72" s="275">
        <f>SUM(T73:T79)-T77-T78-T76</f>
        <v/>
      </c>
      <c r="U72" s="254">
        <f>SUM(U73:U79)-U77-U78-U76</f>
        <v/>
      </c>
      <c r="V72" s="275">
        <f>SUM(V73:V79)-V77-V78-V76</f>
        <v/>
      </c>
      <c r="W72" s="275">
        <f>SUM(W73:W79)-W77-W78-W76</f>
        <v/>
      </c>
      <c r="X72" s="275">
        <f>SUM(X73:X79)-X77-X78-X76</f>
        <v/>
      </c>
      <c r="Y72" s="254">
        <f>SUM(Y73:Y79)-Y77-Y78-Y76</f>
        <v/>
      </c>
      <c r="Z72" s="275">
        <f>SUM(Z73:Z79)-Z77-Z78-Z76</f>
        <v/>
      </c>
      <c r="AA72" s="275">
        <f>SUM(AA73:AA79)-AA77-AA78-AA76</f>
        <v/>
      </c>
      <c r="AB72" s="275">
        <f>SUM(AB73:AB79)-AB77-AB78-AB76</f>
        <v/>
      </c>
      <c r="AC72" s="254">
        <f>SUM(AC73:AC79)-AC77-AC78-AC76</f>
        <v/>
      </c>
      <c r="AD72" s="275">
        <f>SUM(AD73:AD79)-AD77-AD78-AD76</f>
        <v/>
      </c>
      <c r="AE72" s="275">
        <f>SUM(AE73:AE79)-AE77-AE78-AE76</f>
        <v/>
      </c>
      <c r="AF72" s="275">
        <f>SUM(AF73:AF79)-AF77-AF78-AF76</f>
        <v/>
      </c>
      <c r="AG72" s="254">
        <f>SUM(AG73:AG79)-AG77-AG78-AG76</f>
        <v/>
      </c>
      <c r="AI72" s="369" t="n"/>
      <c r="AJ72" s="369" t="n"/>
      <c r="AK72" s="369" t="n"/>
      <c r="AL72" s="369" t="n"/>
      <c r="AM72" s="369" t="n"/>
      <c r="AN72" s="369" t="n"/>
      <c r="AO72" s="369" t="n"/>
      <c r="AP72" s="369" t="n"/>
      <c r="AQ72" s="369" t="n"/>
      <c r="AR72" s="369" t="n"/>
      <c r="AS72" s="369" t="n"/>
      <c r="AT72" s="369" t="n"/>
      <c r="AU72" s="369" t="n"/>
    </row>
    <row r="73" ht="15" customHeight="1" s="226">
      <c r="A73" s="323" t="inlineStr">
        <is>
          <t xml:space="preserve"> Курганская область</t>
        </is>
      </c>
      <c r="B73" s="261" t="n">
        <v>202100.4</v>
      </c>
      <c r="C73" s="262" t="n">
        <v>85117.39999999999</v>
      </c>
      <c r="D73" s="262" t="n">
        <v>2902.5</v>
      </c>
      <c r="E73" s="263" t="n">
        <v>114080.5</v>
      </c>
      <c r="F73" s="261" t="n">
        <v>209985.5</v>
      </c>
      <c r="G73" s="262" t="n">
        <v>91075.5</v>
      </c>
      <c r="H73" s="262" t="n">
        <v>3139.2</v>
      </c>
      <c r="I73" s="263" t="n">
        <v>115770.8</v>
      </c>
      <c r="J73" s="261" t="n">
        <v>215589.9</v>
      </c>
      <c r="K73" s="262" t="n">
        <v>97723.2</v>
      </c>
      <c r="L73" s="262" t="n">
        <v>3492.1</v>
      </c>
      <c r="M73" s="263" t="n">
        <v>114374.6</v>
      </c>
      <c r="N73" s="261" t="n">
        <v>236825.8</v>
      </c>
      <c r="O73" s="262" t="n">
        <v>107222.4</v>
      </c>
      <c r="P73" s="262" t="n">
        <v>3430.4</v>
      </c>
      <c r="Q73" s="263" t="n">
        <v>126173</v>
      </c>
      <c r="R73" s="261" t="n">
        <v>240188.2</v>
      </c>
      <c r="S73" s="262" t="n">
        <v>112614.7</v>
      </c>
      <c r="T73" s="262" t="n">
        <v>3205.1</v>
      </c>
      <c r="U73" s="263" t="n">
        <v>124368.4</v>
      </c>
      <c r="V73" s="261" t="n">
        <v>272175.2</v>
      </c>
      <c r="W73" s="262" t="n">
        <v>124587.7</v>
      </c>
      <c r="X73" s="262" t="n">
        <v>3433.3</v>
      </c>
      <c r="Y73" s="263" t="n">
        <v>144154.2</v>
      </c>
      <c r="Z73" s="261" t="n">
        <v>336231.3</v>
      </c>
      <c r="AA73" s="262" t="n">
        <v>147589.2</v>
      </c>
      <c r="AB73" s="262" t="n">
        <v>3773</v>
      </c>
      <c r="AC73" s="263" t="n">
        <v>184869.1</v>
      </c>
      <c r="AD73" s="261" t="n">
        <v>380466.7</v>
      </c>
      <c r="AE73" s="262" t="n">
        <v>177972.8</v>
      </c>
      <c r="AF73" s="262" t="n">
        <v>4072.9</v>
      </c>
      <c r="AG73" s="263" t="n">
        <v>198421</v>
      </c>
      <c r="AI73" s="369" t="n"/>
      <c r="AJ73" s="369" t="n"/>
      <c r="AK73" s="369" t="n"/>
      <c r="AL73" s="369" t="n"/>
      <c r="AM73" s="369" t="n"/>
      <c r="AN73" s="369" t="n"/>
      <c r="AO73" s="369" t="n"/>
      <c r="AP73" s="369" t="n"/>
      <c r="AQ73" s="369" t="n"/>
      <c r="AR73" s="369" t="n"/>
      <c r="AS73" s="369" t="n"/>
      <c r="AT73" s="369" t="n"/>
      <c r="AU73" s="369" t="n"/>
    </row>
    <row r="74" ht="15" customHeight="1" s="226">
      <c r="A74" s="323" t="inlineStr">
        <is>
          <t xml:space="preserve"> Свердловская область</t>
        </is>
      </c>
      <c r="B74" s="261" t="n">
        <v>2109619.1</v>
      </c>
      <c r="C74" s="262" t="n">
        <v>791919.9</v>
      </c>
      <c r="D74" s="262" t="n">
        <v>32922.1</v>
      </c>
      <c r="E74" s="263" t="n">
        <v>1284777.1</v>
      </c>
      <c r="F74" s="261" t="n">
        <v>2259526</v>
      </c>
      <c r="G74" s="262" t="n">
        <v>851571.2</v>
      </c>
      <c r="H74" s="262" t="n">
        <v>37568.3</v>
      </c>
      <c r="I74" s="263" t="n">
        <v>1370386.5</v>
      </c>
      <c r="J74" s="261" t="n">
        <v>2423689.4</v>
      </c>
      <c r="K74" s="262" t="n">
        <v>923860.7</v>
      </c>
      <c r="L74" s="262" t="n">
        <v>40370.9</v>
      </c>
      <c r="M74" s="263" t="n">
        <v>1459457.8</v>
      </c>
      <c r="N74" s="261" t="n">
        <v>2535215</v>
      </c>
      <c r="O74" s="262" t="n">
        <v>989196.7</v>
      </c>
      <c r="P74" s="262" t="n">
        <v>31007.7</v>
      </c>
      <c r="Q74" s="263" t="n">
        <v>1515010.6</v>
      </c>
      <c r="R74" s="261" t="n">
        <v>2512654.9</v>
      </c>
      <c r="S74" s="262" t="n">
        <v>1000693.1</v>
      </c>
      <c r="T74" s="262" t="n">
        <v>30295.2</v>
      </c>
      <c r="U74" s="263" t="n">
        <v>1481666.6</v>
      </c>
      <c r="V74" s="261" t="n">
        <v>3083947.1</v>
      </c>
      <c r="W74" s="262" t="n">
        <v>1112913.5</v>
      </c>
      <c r="X74" s="262" t="n">
        <v>30582.8</v>
      </c>
      <c r="Y74" s="263" t="n">
        <v>1940450.8</v>
      </c>
      <c r="Z74" s="261" t="n">
        <v>3443588.6</v>
      </c>
      <c r="AA74" s="262" t="n">
        <v>1275339.1</v>
      </c>
      <c r="AB74" s="262" t="n">
        <v>35102.5</v>
      </c>
      <c r="AC74" s="263" t="n">
        <v>2133147</v>
      </c>
      <c r="AD74" s="261" t="n">
        <v>4128119.1</v>
      </c>
      <c r="AE74" s="262" t="n">
        <v>1547576.2</v>
      </c>
      <c r="AF74" s="262" t="n">
        <v>35886.7</v>
      </c>
      <c r="AG74" s="263" t="n">
        <v>2544656.2</v>
      </c>
      <c r="AI74" s="369" t="n"/>
      <c r="AJ74" s="369" t="n"/>
      <c r="AK74" s="369" t="n"/>
      <c r="AL74" s="369" t="n"/>
      <c r="AM74" s="369" t="n"/>
      <c r="AN74" s="369" t="n"/>
      <c r="AO74" s="369" t="n"/>
      <c r="AP74" s="369" t="n"/>
      <c r="AQ74" s="369" t="n"/>
      <c r="AR74" s="369" t="n"/>
      <c r="AS74" s="369" t="n"/>
      <c r="AT74" s="369" t="n"/>
      <c r="AU74" s="369" t="n"/>
    </row>
    <row r="75" ht="15" customHeight="1" s="226">
      <c r="A75" s="323" t="inlineStr">
        <is>
          <t xml:space="preserve"> Тюменская область</t>
        </is>
      </c>
      <c r="B75" s="261" t="n">
        <v>6125961.8</v>
      </c>
      <c r="C75" s="262" t="n">
        <v>1667270.6</v>
      </c>
      <c r="D75" s="262" t="n">
        <v>128620</v>
      </c>
      <c r="E75" s="263" t="n">
        <v>4330071.2</v>
      </c>
      <c r="F75" s="261" t="n">
        <v>7097070.2</v>
      </c>
      <c r="G75" s="262" t="n">
        <v>1801846.2</v>
      </c>
      <c r="H75" s="262" t="n">
        <v>143384.3</v>
      </c>
      <c r="I75" s="263" t="n">
        <v>5151839.7</v>
      </c>
      <c r="J75" s="261" t="n">
        <v>8875003.699999999</v>
      </c>
      <c r="K75" s="262" t="n">
        <v>1949224.2</v>
      </c>
      <c r="L75" s="262" t="n">
        <v>158242.7</v>
      </c>
      <c r="M75" s="263" t="n">
        <v>6767536.8</v>
      </c>
      <c r="N75" s="261" t="n">
        <v>8952460.5</v>
      </c>
      <c r="O75" s="262" t="n">
        <v>1961416.8</v>
      </c>
      <c r="P75" s="262" t="n">
        <v>155709.8</v>
      </c>
      <c r="Q75" s="263" t="n">
        <v>6835333.9</v>
      </c>
      <c r="R75" s="261" t="n">
        <v>7280595.6</v>
      </c>
      <c r="S75" s="262" t="n">
        <v>2053413.1</v>
      </c>
      <c r="T75" s="262" t="n">
        <v>153764.3</v>
      </c>
      <c r="U75" s="263" t="n">
        <v>5073418.2</v>
      </c>
      <c r="V75" s="261" t="n">
        <v>11492922.3</v>
      </c>
      <c r="W75" s="262" t="n">
        <v>2285068.2</v>
      </c>
      <c r="X75" s="262" t="n">
        <v>162439.6</v>
      </c>
      <c r="Y75" s="263" t="n">
        <v>9045414.5</v>
      </c>
      <c r="Z75" s="261" t="n">
        <v>13908749.1</v>
      </c>
      <c r="AA75" s="262" t="n">
        <v>2565892.7</v>
      </c>
      <c r="AB75" s="262" t="n">
        <v>218922.9</v>
      </c>
      <c r="AC75" s="263" t="n">
        <v>11123933.5</v>
      </c>
      <c r="AD75" s="261" t="n">
        <v>15946597.2</v>
      </c>
      <c r="AE75" s="262" t="n">
        <v>2902126.4</v>
      </c>
      <c r="AF75" s="262" t="n">
        <v>234574.4</v>
      </c>
      <c r="AG75" s="263" t="n">
        <v>12809896.4</v>
      </c>
      <c r="AI75" s="369" t="n"/>
      <c r="AJ75" s="369" t="n"/>
      <c r="AK75" s="369" t="n"/>
      <c r="AL75" s="369" t="n"/>
      <c r="AM75" s="369" t="n"/>
      <c r="AN75" s="369" t="n"/>
      <c r="AO75" s="369" t="n"/>
      <c r="AP75" s="369" t="n"/>
      <c r="AQ75" s="369" t="n"/>
      <c r="AR75" s="369" t="n"/>
      <c r="AS75" s="369" t="n"/>
      <c r="AT75" s="369" t="n"/>
      <c r="AU75" s="369" t="n"/>
    </row>
    <row r="76" ht="15" customHeight="1" s="226">
      <c r="A76" s="260" t="inlineStr">
        <is>
          <t xml:space="preserve"> в т.ч. Ханты-Мансийский АО-Югра</t>
        </is>
      </c>
      <c r="B76" s="261" t="n">
        <v>3130196.4</v>
      </c>
      <c r="C76" s="262" t="n">
        <v>842145.6</v>
      </c>
      <c r="D76" s="262" t="n">
        <v>61571</v>
      </c>
      <c r="E76" s="263" t="n">
        <v>2226479.8</v>
      </c>
      <c r="F76" s="261" t="n">
        <v>3557367.1</v>
      </c>
      <c r="G76" s="262" t="n">
        <v>889850.9</v>
      </c>
      <c r="H76" s="262" t="n">
        <v>65056.4</v>
      </c>
      <c r="I76" s="263" t="n">
        <v>2602459.8</v>
      </c>
      <c r="J76" s="261" t="n">
        <v>4506739.7</v>
      </c>
      <c r="K76" s="262" t="n">
        <v>957376.4</v>
      </c>
      <c r="L76" s="262" t="n">
        <v>71799.10000000001</v>
      </c>
      <c r="M76" s="263" t="n">
        <v>3477564.2</v>
      </c>
      <c r="N76" s="261" t="n">
        <v>4558879.8</v>
      </c>
      <c r="O76" s="262" t="n">
        <v>969988.1</v>
      </c>
      <c r="P76" s="262" t="n">
        <v>71417.39999999999</v>
      </c>
      <c r="Q76" s="263" t="n">
        <v>3517474.3</v>
      </c>
      <c r="R76" s="261" t="n">
        <v>3341832</v>
      </c>
      <c r="S76" s="262" t="n">
        <v>1007605.8</v>
      </c>
      <c r="T76" s="262" t="n">
        <v>69045.3</v>
      </c>
      <c r="U76" s="263" t="n">
        <v>2265180.9</v>
      </c>
      <c r="V76" s="261" t="n">
        <v>5700228.3</v>
      </c>
      <c r="W76" s="262" t="n">
        <v>1101074.8</v>
      </c>
      <c r="X76" s="262" t="n">
        <v>72289.89999999999</v>
      </c>
      <c r="Y76" s="263" t="n">
        <v>4526863.6</v>
      </c>
      <c r="Z76" s="261" t="n">
        <v>6880235.3</v>
      </c>
      <c r="AA76" s="262" t="n">
        <v>1223633</v>
      </c>
      <c r="AB76" s="262" t="n">
        <v>96314.10000000001</v>
      </c>
      <c r="AC76" s="263" t="n">
        <v>5560288.2</v>
      </c>
      <c r="AD76" s="261" t="n">
        <v>8628903.5</v>
      </c>
      <c r="AE76" s="262" t="n">
        <v>1376366.7</v>
      </c>
      <c r="AF76" s="262" t="n">
        <v>100349.7</v>
      </c>
      <c r="AG76" s="263" t="n">
        <v>7152187.1</v>
      </c>
      <c r="AI76" s="369" t="n"/>
      <c r="AJ76" s="369" t="n"/>
      <c r="AK76" s="369" t="n"/>
      <c r="AL76" s="369" t="n"/>
      <c r="AM76" s="369" t="n"/>
      <c r="AN76" s="369" t="n"/>
      <c r="AO76" s="369" t="n"/>
      <c r="AP76" s="369" t="n"/>
      <c r="AQ76" s="369" t="n"/>
      <c r="AR76" s="369" t="n"/>
      <c r="AS76" s="369" t="n"/>
      <c r="AT76" s="369" t="n"/>
      <c r="AU76" s="369" t="n"/>
    </row>
    <row r="77" ht="15" customHeight="1" s="226">
      <c r="A77" s="260" t="inlineStr">
        <is>
          <t xml:space="preserve">          Ямало-Ненецкий АО</t>
        </is>
      </c>
      <c r="B77" s="261" t="n">
        <v>2028234.6</v>
      </c>
      <c r="C77" s="262" t="n">
        <v>558889.7</v>
      </c>
      <c r="D77" s="262" t="n">
        <v>55624</v>
      </c>
      <c r="E77" s="263" t="n">
        <v>1413720.9</v>
      </c>
      <c r="F77" s="261" t="n">
        <v>2456293.7</v>
      </c>
      <c r="G77" s="262" t="n">
        <v>608386.7</v>
      </c>
      <c r="H77" s="262" t="n">
        <v>65734.7</v>
      </c>
      <c r="I77" s="263" t="n">
        <v>1782172.3</v>
      </c>
      <c r="J77" s="261" t="n">
        <v>3051613.1</v>
      </c>
      <c r="K77" s="262" t="n">
        <v>624414.9</v>
      </c>
      <c r="L77" s="262" t="n">
        <v>72555.60000000001</v>
      </c>
      <c r="M77" s="263" t="n">
        <v>2354642.6</v>
      </c>
      <c r="N77" s="261" t="n">
        <v>3158827.6</v>
      </c>
      <c r="O77" s="262" t="n">
        <v>604058</v>
      </c>
      <c r="P77" s="262" t="n">
        <v>70394.39999999999</v>
      </c>
      <c r="Q77" s="263" t="n">
        <v>2484375.2</v>
      </c>
      <c r="R77" s="261" t="n">
        <v>2767734.5</v>
      </c>
      <c r="S77" s="262" t="n">
        <v>668049.3</v>
      </c>
      <c r="T77" s="262" t="n">
        <v>71045.3</v>
      </c>
      <c r="U77" s="263" t="n">
        <v>2028639.9</v>
      </c>
      <c r="V77" s="261" t="n">
        <v>4219244.6</v>
      </c>
      <c r="W77" s="262" t="n">
        <v>757685.7</v>
      </c>
      <c r="X77" s="262" t="n">
        <v>76108.2</v>
      </c>
      <c r="Y77" s="263" t="n">
        <v>3385450.7</v>
      </c>
      <c r="Z77" s="261" t="n">
        <v>5305603.6</v>
      </c>
      <c r="AA77" s="262" t="n">
        <v>869206.4</v>
      </c>
      <c r="AB77" s="262" t="n">
        <v>107651</v>
      </c>
      <c r="AC77" s="263" t="n">
        <v>4328746.2</v>
      </c>
      <c r="AD77" s="261" t="n">
        <v>5379401.8</v>
      </c>
      <c r="AE77" s="262" t="n">
        <v>990256.9</v>
      </c>
      <c r="AF77" s="262" t="n">
        <v>119300.1</v>
      </c>
      <c r="AG77" s="263" t="n">
        <v>4269844.8</v>
      </c>
      <c r="AI77" s="369" t="n"/>
      <c r="AJ77" s="369" t="n"/>
      <c r="AK77" s="369" t="n"/>
      <c r="AL77" s="369" t="n"/>
      <c r="AM77" s="369" t="n"/>
      <c r="AN77" s="369" t="n"/>
      <c r="AO77" s="369" t="n"/>
      <c r="AP77" s="369" t="n"/>
      <c r="AQ77" s="369" t="n"/>
      <c r="AR77" s="369" t="n"/>
      <c r="AS77" s="369" t="n"/>
      <c r="AT77" s="369" t="n"/>
      <c r="AU77" s="369" t="n"/>
    </row>
    <row r="78" ht="30.75" customHeight="1" s="226">
      <c r="A78" s="260" t="inlineStr">
        <is>
          <t>Тюменская область (кроме Ханты-Мансийского АО-Югры и Ямало-Ненецкого АО)</t>
        </is>
      </c>
      <c r="B78" s="261" t="n">
        <v>967530.8</v>
      </c>
      <c r="C78" s="262" t="n">
        <v>266235.3</v>
      </c>
      <c r="D78" s="262" t="n">
        <v>11425</v>
      </c>
      <c r="E78" s="263" t="n">
        <v>689870.5</v>
      </c>
      <c r="F78" s="261" t="n">
        <v>1083409.4</v>
      </c>
      <c r="G78" s="262" t="n">
        <v>303608.6</v>
      </c>
      <c r="H78" s="262" t="n">
        <v>12593.2</v>
      </c>
      <c r="I78" s="263" t="n">
        <v>767207.6</v>
      </c>
      <c r="J78" s="261" t="n">
        <v>1316650.9</v>
      </c>
      <c r="K78" s="262" t="n">
        <v>367432.9</v>
      </c>
      <c r="L78" s="262" t="n">
        <v>13888</v>
      </c>
      <c r="M78" s="263" t="n">
        <v>935330</v>
      </c>
      <c r="N78" s="261" t="n">
        <v>1234753.1</v>
      </c>
      <c r="O78" s="262" t="n">
        <v>387370.7</v>
      </c>
      <c r="P78" s="262" t="n">
        <v>13898</v>
      </c>
      <c r="Q78" s="263" t="n">
        <v>833484.4</v>
      </c>
      <c r="R78" s="261" t="n">
        <v>1171029.2</v>
      </c>
      <c r="S78" s="262" t="n">
        <v>377758</v>
      </c>
      <c r="T78" s="262" t="n">
        <v>13673.7</v>
      </c>
      <c r="U78" s="263" t="n">
        <v>779597.5</v>
      </c>
      <c r="V78" s="261" t="n">
        <v>1573449.4</v>
      </c>
      <c r="W78" s="262" t="n">
        <v>426307.7</v>
      </c>
      <c r="X78" s="262" t="n">
        <v>14041.5</v>
      </c>
      <c r="Y78" s="263" t="n">
        <v>1133100.2</v>
      </c>
      <c r="Z78" s="261" t="n">
        <v>1722910.2</v>
      </c>
      <c r="AA78" s="262" t="n">
        <v>473053.3</v>
      </c>
      <c r="AB78" s="262" t="n">
        <v>14957.8</v>
      </c>
      <c r="AC78" s="263" t="n">
        <v>1234899.1</v>
      </c>
      <c r="AD78" s="261" t="n">
        <v>1938291.9</v>
      </c>
      <c r="AE78" s="262" t="n">
        <v>535502.8</v>
      </c>
      <c r="AF78" s="262" t="n">
        <v>14924.6</v>
      </c>
      <c r="AG78" s="263" t="n">
        <v>1387864.5</v>
      </c>
      <c r="AI78" s="369" t="n"/>
      <c r="AJ78" s="369" t="n"/>
      <c r="AK78" s="369" t="n"/>
      <c r="AL78" s="369" t="n"/>
      <c r="AM78" s="369" t="n"/>
      <c r="AN78" s="369" t="n"/>
      <c r="AO78" s="369" t="n"/>
      <c r="AP78" s="369" t="n"/>
      <c r="AQ78" s="369" t="n"/>
      <c r="AR78" s="369" t="n"/>
      <c r="AS78" s="369" t="n"/>
      <c r="AT78" s="369" t="n"/>
      <c r="AU78" s="369" t="n"/>
    </row>
    <row r="79" ht="15" customHeight="1" s="226">
      <c r="A79" s="323" t="inlineStr">
        <is>
          <t xml:space="preserve"> Челябинская область</t>
        </is>
      </c>
      <c r="B79" s="261" t="n">
        <v>1332761.4</v>
      </c>
      <c r="C79" s="262" t="n">
        <v>542413.9</v>
      </c>
      <c r="D79" s="262" t="n">
        <v>20110.5</v>
      </c>
      <c r="E79" s="263" t="n">
        <v>770237</v>
      </c>
      <c r="F79" s="261" t="n">
        <v>1416613.3</v>
      </c>
      <c r="G79" s="262" t="n">
        <v>588040.4</v>
      </c>
      <c r="H79" s="262" t="n">
        <v>20237.3</v>
      </c>
      <c r="I79" s="263" t="n">
        <v>808335.6</v>
      </c>
      <c r="J79" s="261" t="n">
        <v>1521325.4</v>
      </c>
      <c r="K79" s="262" t="n">
        <v>636416.7</v>
      </c>
      <c r="L79" s="262" t="n">
        <v>22945.7</v>
      </c>
      <c r="M79" s="263" t="n">
        <v>861963</v>
      </c>
      <c r="N79" s="261" t="n">
        <v>1547518</v>
      </c>
      <c r="O79" s="262" t="n">
        <v>670489.7</v>
      </c>
      <c r="P79" s="262" t="n">
        <v>19083.7</v>
      </c>
      <c r="Q79" s="263" t="n">
        <v>857944.6</v>
      </c>
      <c r="R79" s="261" t="n">
        <v>1602739.4</v>
      </c>
      <c r="S79" s="262" t="n">
        <v>690287.5</v>
      </c>
      <c r="T79" s="262" t="n">
        <v>17913.2</v>
      </c>
      <c r="U79" s="263" t="n">
        <v>894538.7</v>
      </c>
      <c r="V79" s="261" t="n">
        <v>2064927.6</v>
      </c>
      <c r="W79" s="262" t="n">
        <v>765080.2</v>
      </c>
      <c r="X79" s="262" t="n">
        <v>18549.7</v>
      </c>
      <c r="Y79" s="263" t="n">
        <v>1281297.7</v>
      </c>
      <c r="Z79" s="261" t="n">
        <v>2228903.6</v>
      </c>
      <c r="AA79" s="262" t="n">
        <v>849803.6</v>
      </c>
      <c r="AB79" s="262" t="n">
        <v>18034</v>
      </c>
      <c r="AC79" s="263" t="n">
        <v>1361066</v>
      </c>
      <c r="AD79" s="261" t="n">
        <v>2589084.6</v>
      </c>
      <c r="AE79" s="262" t="n">
        <v>998130.1</v>
      </c>
      <c r="AF79" s="262" t="n">
        <v>18672.3</v>
      </c>
      <c r="AG79" s="263" t="n">
        <v>1572282.2</v>
      </c>
      <c r="AI79" s="369" t="n"/>
      <c r="AJ79" s="369" t="n"/>
      <c r="AK79" s="369" t="n"/>
      <c r="AL79" s="369" t="n"/>
      <c r="AM79" s="369" t="n"/>
      <c r="AN79" s="369" t="n"/>
      <c r="AO79" s="369" t="n"/>
      <c r="AP79" s="369" t="n"/>
      <c r="AQ79" s="369" t="n"/>
      <c r="AR79" s="369" t="n"/>
      <c r="AS79" s="369" t="n"/>
      <c r="AT79" s="369" t="n"/>
      <c r="AU79" s="369" t="n"/>
    </row>
    <row r="80" ht="15" customHeight="1" s="226">
      <c r="A80" s="324" t="inlineStr">
        <is>
          <t>Сибирский федеральный округ</t>
        </is>
      </c>
      <c r="B80" s="254">
        <f>SUM(B81:B90)</f>
        <v/>
      </c>
      <c r="C80" s="254">
        <f>SUM(C81:C90)</f>
        <v/>
      </c>
      <c r="D80" s="254">
        <f>SUM(D81:D90)</f>
        <v/>
      </c>
      <c r="E80" s="254">
        <f>SUM(E81:E90)</f>
        <v/>
      </c>
      <c r="F80" s="254">
        <f>SUM(F81:F90)</f>
        <v/>
      </c>
      <c r="G80" s="254">
        <f>SUM(G81:G90)</f>
        <v/>
      </c>
      <c r="H80" s="254">
        <f>SUM(H81:H90)</f>
        <v/>
      </c>
      <c r="I80" s="254">
        <f>SUM(I81:I90)</f>
        <v/>
      </c>
      <c r="J80" s="254">
        <f>SUM(J81:J90)</f>
        <v/>
      </c>
      <c r="K80" s="254">
        <f>SUM(K81:K90)</f>
        <v/>
      </c>
      <c r="L80" s="254">
        <f>SUM(L81:L90)</f>
        <v/>
      </c>
      <c r="M80" s="254">
        <f>SUM(M81:M90)</f>
        <v/>
      </c>
      <c r="N80" s="254">
        <f>SUM(N81:N90)</f>
        <v/>
      </c>
      <c r="O80" s="254">
        <f>SUM(O81:O90)</f>
        <v/>
      </c>
      <c r="P80" s="254">
        <f>SUM(P81:P90)</f>
        <v/>
      </c>
      <c r="Q80" s="254">
        <f>SUM(Q81:Q90)</f>
        <v/>
      </c>
      <c r="R80" s="254">
        <f>SUM(R81:R90)</f>
        <v/>
      </c>
      <c r="S80" s="254">
        <f>SUM(S81:S90)</f>
        <v/>
      </c>
      <c r="T80" s="254">
        <f>SUM(T81:T90)</f>
        <v/>
      </c>
      <c r="U80" s="254">
        <f>SUM(U81:U90)</f>
        <v/>
      </c>
      <c r="V80" s="254">
        <f>SUM(V81:V90)</f>
        <v/>
      </c>
      <c r="W80" s="254">
        <f>SUM(W81:W90)</f>
        <v/>
      </c>
      <c r="X80" s="254">
        <f>SUM(X81:X90)</f>
        <v/>
      </c>
      <c r="Y80" s="254">
        <f>SUM(Y81:Y90)</f>
        <v/>
      </c>
      <c r="Z80" s="254">
        <f>SUM(Z81:Z90)</f>
        <v/>
      </c>
      <c r="AA80" s="254">
        <f>SUM(AA81:AA90)</f>
        <v/>
      </c>
      <c r="AB80" s="254">
        <f>SUM(AB81:AB90)</f>
        <v/>
      </c>
      <c r="AC80" s="254">
        <f>SUM(AC81:AC90)</f>
        <v/>
      </c>
      <c r="AD80" s="254">
        <f>SUM(AD81:AD90)</f>
        <v/>
      </c>
      <c r="AE80" s="254">
        <f>SUM(AE81:AE90)</f>
        <v/>
      </c>
      <c r="AF80" s="254">
        <f>SUM(AF81:AF90)</f>
        <v/>
      </c>
      <c r="AG80" s="254">
        <f>SUM(AG81:AG90)</f>
        <v/>
      </c>
      <c r="AI80" s="369" t="n"/>
      <c r="AJ80" s="369" t="n"/>
      <c r="AK80" s="369" t="n"/>
      <c r="AL80" s="369" t="n"/>
      <c r="AM80" s="369" t="n"/>
      <c r="AN80" s="369" t="n"/>
      <c r="AO80" s="369" t="n"/>
      <c r="AP80" s="369" t="n"/>
      <c r="AQ80" s="369" t="n"/>
      <c r="AR80" s="369" t="n"/>
      <c r="AS80" s="369" t="n"/>
      <c r="AT80" s="369" t="n"/>
      <c r="AU80" s="369" t="n"/>
    </row>
    <row r="81" ht="15" customHeight="1" s="226">
      <c r="A81" s="323" t="inlineStr">
        <is>
          <t xml:space="preserve"> Республика Алтай</t>
        </is>
      </c>
      <c r="B81" s="261" t="n">
        <v>47434.9</v>
      </c>
      <c r="C81" s="262" t="n">
        <v>20958.7</v>
      </c>
      <c r="D81" s="262" t="n">
        <v>509.3</v>
      </c>
      <c r="E81" s="263" t="n">
        <v>25966.9</v>
      </c>
      <c r="F81" s="261" t="n">
        <v>48415.2</v>
      </c>
      <c r="G81" s="262" t="n">
        <v>22293.9</v>
      </c>
      <c r="H81" s="262" t="n">
        <v>482.7</v>
      </c>
      <c r="I81" s="263" t="n">
        <v>25638.6</v>
      </c>
      <c r="J81" s="261" t="n">
        <v>54069.4</v>
      </c>
      <c r="K81" s="262" t="n">
        <v>27697.1</v>
      </c>
      <c r="L81" s="262" t="n">
        <v>571.9</v>
      </c>
      <c r="M81" s="263" t="n">
        <v>25800.4</v>
      </c>
      <c r="N81" s="261" t="n">
        <v>57064</v>
      </c>
      <c r="O81" s="262" t="n">
        <v>29392.3</v>
      </c>
      <c r="P81" s="262" t="n">
        <v>692.6</v>
      </c>
      <c r="Q81" s="263" t="n">
        <v>26979.1</v>
      </c>
      <c r="R81" s="261" t="n">
        <v>62850.8</v>
      </c>
      <c r="S81" s="262" t="n">
        <v>32530.9</v>
      </c>
      <c r="T81" s="262" t="n">
        <v>742.7</v>
      </c>
      <c r="U81" s="263" t="n">
        <v>29577.2</v>
      </c>
      <c r="V81" s="261" t="n">
        <v>74513.39999999999</v>
      </c>
      <c r="W81" s="262" t="n">
        <v>36137.9</v>
      </c>
      <c r="X81" s="262" t="n">
        <v>825.3</v>
      </c>
      <c r="Y81" s="263" t="n">
        <v>37550.2</v>
      </c>
      <c r="Z81" s="261" t="n">
        <v>89613.10000000001</v>
      </c>
      <c r="AA81" s="262" t="n">
        <v>42465.1</v>
      </c>
      <c r="AB81" s="262" t="n">
        <v>815.5</v>
      </c>
      <c r="AC81" s="263" t="n">
        <v>46332.5</v>
      </c>
      <c r="AD81" s="261" t="n">
        <v>108336.5</v>
      </c>
      <c r="AE81" s="262" t="n">
        <v>51481.5</v>
      </c>
      <c r="AF81" s="262" t="n">
        <v>779.6</v>
      </c>
      <c r="AG81" s="263" t="n">
        <v>56075.4</v>
      </c>
      <c r="AI81" s="369" t="n"/>
      <c r="AJ81" s="369" t="n"/>
      <c r="AK81" s="369" t="n"/>
      <c r="AL81" s="369" t="n"/>
      <c r="AM81" s="369" t="n"/>
      <c r="AN81" s="369" t="n"/>
      <c r="AO81" s="369" t="n"/>
      <c r="AP81" s="369" t="n"/>
      <c r="AQ81" s="369" t="n"/>
      <c r="AR81" s="369" t="n"/>
      <c r="AS81" s="369" t="n"/>
      <c r="AT81" s="369" t="n"/>
      <c r="AU81" s="369" t="n"/>
    </row>
    <row r="82" ht="15" customHeight="1" s="226">
      <c r="A82" s="323" t="inlineStr">
        <is>
          <t xml:space="preserve"> Республика Тыва</t>
        </is>
      </c>
      <c r="B82" s="261" t="n">
        <v>58001.1</v>
      </c>
      <c r="C82" s="262" t="n">
        <v>33572.8</v>
      </c>
      <c r="D82" s="262" t="n">
        <v>568.1</v>
      </c>
      <c r="E82" s="263" t="n">
        <v>23860.2</v>
      </c>
      <c r="F82" s="261" t="n">
        <v>65038.9</v>
      </c>
      <c r="G82" s="262" t="n">
        <v>35453.3</v>
      </c>
      <c r="H82" s="262" t="n">
        <v>734.8</v>
      </c>
      <c r="I82" s="263" t="n">
        <v>28850.8</v>
      </c>
      <c r="J82" s="261" t="n">
        <v>73681.60000000001</v>
      </c>
      <c r="K82" s="262" t="n">
        <v>39799</v>
      </c>
      <c r="L82" s="262" t="n">
        <v>880</v>
      </c>
      <c r="M82" s="263" t="n">
        <v>33002.6</v>
      </c>
      <c r="N82" s="261" t="n">
        <v>79321.3</v>
      </c>
      <c r="O82" s="262" t="n">
        <v>43245.3</v>
      </c>
      <c r="P82" s="262" t="n">
        <v>643.6</v>
      </c>
      <c r="Q82" s="263" t="n">
        <v>35432.4</v>
      </c>
      <c r="R82" s="261" t="n">
        <v>82230.8</v>
      </c>
      <c r="S82" s="262" t="n">
        <v>48220.1</v>
      </c>
      <c r="T82" s="262" t="n">
        <v>778.2</v>
      </c>
      <c r="U82" s="263" t="n">
        <v>33232.5</v>
      </c>
      <c r="V82" s="261" t="n">
        <v>91529.3</v>
      </c>
      <c r="W82" s="262" t="n">
        <v>52799.3</v>
      </c>
      <c r="X82" s="262" t="n">
        <v>893.7</v>
      </c>
      <c r="Y82" s="263" t="n">
        <v>37836.3</v>
      </c>
      <c r="Z82" s="261" t="n">
        <v>107913.7</v>
      </c>
      <c r="AA82" s="262" t="n">
        <v>60210.3</v>
      </c>
      <c r="AB82" s="262" t="n">
        <v>808.2</v>
      </c>
      <c r="AC82" s="263" t="n">
        <v>46895.2</v>
      </c>
      <c r="AD82" s="261" t="n">
        <v>122532.5</v>
      </c>
      <c r="AE82" s="262" t="n">
        <v>66214.8</v>
      </c>
      <c r="AF82" s="262" t="n">
        <v>707.2</v>
      </c>
      <c r="AG82" s="263" t="n">
        <v>55610.5</v>
      </c>
      <c r="AI82" s="369" t="n"/>
      <c r="AJ82" s="369" t="n"/>
      <c r="AK82" s="369" t="n"/>
      <c r="AL82" s="369" t="n"/>
      <c r="AM82" s="369" t="n"/>
      <c r="AN82" s="369" t="n"/>
      <c r="AO82" s="369" t="n"/>
      <c r="AP82" s="369" t="n"/>
      <c r="AQ82" s="369" t="n"/>
      <c r="AR82" s="369" t="n"/>
      <c r="AS82" s="369" t="n"/>
      <c r="AT82" s="369" t="n"/>
      <c r="AU82" s="369" t="n"/>
    </row>
    <row r="83" ht="15" customHeight="1" s="226">
      <c r="A83" s="323" t="inlineStr">
        <is>
          <t xml:space="preserve"> Республика Хакасия</t>
        </is>
      </c>
      <c r="B83" s="261" t="n">
        <v>207742.6</v>
      </c>
      <c r="C83" s="262" t="n">
        <v>67356.89999999999</v>
      </c>
      <c r="D83" s="262" t="n">
        <v>2934.3</v>
      </c>
      <c r="E83" s="263" t="n">
        <v>137451.4</v>
      </c>
      <c r="F83" s="261" t="n">
        <v>218148.4</v>
      </c>
      <c r="G83" s="262" t="n">
        <v>72498.3</v>
      </c>
      <c r="H83" s="262" t="n">
        <v>3516.7</v>
      </c>
      <c r="I83" s="263" t="n">
        <v>142133.4</v>
      </c>
      <c r="J83" s="261" t="n">
        <v>242341.1</v>
      </c>
      <c r="K83" s="262" t="n">
        <v>75876.89999999999</v>
      </c>
      <c r="L83" s="262" t="n">
        <v>3969.9</v>
      </c>
      <c r="M83" s="263" t="n">
        <v>162494.3</v>
      </c>
      <c r="N83" s="261" t="n">
        <v>256322.3</v>
      </c>
      <c r="O83" s="262" t="n">
        <v>79338.39999999999</v>
      </c>
      <c r="P83" s="262" t="n">
        <v>3505.5</v>
      </c>
      <c r="Q83" s="263" t="n">
        <v>173478.4</v>
      </c>
      <c r="R83" s="261" t="n">
        <v>266213.2</v>
      </c>
      <c r="S83" s="262" t="n">
        <v>88272.39999999999</v>
      </c>
      <c r="T83" s="262" t="n">
        <v>3540.3</v>
      </c>
      <c r="U83" s="263" t="n">
        <v>174400.5</v>
      </c>
      <c r="V83" s="261" t="n">
        <v>315304.4</v>
      </c>
      <c r="W83" s="262" t="n">
        <v>105045</v>
      </c>
      <c r="X83" s="262" t="n">
        <v>3453</v>
      </c>
      <c r="Y83" s="263" t="n">
        <v>206806.4</v>
      </c>
      <c r="Z83" s="261" t="n">
        <v>345846.6</v>
      </c>
      <c r="AA83" s="262" t="n">
        <v>115177.2</v>
      </c>
      <c r="AB83" s="262" t="n">
        <v>3644.8</v>
      </c>
      <c r="AC83" s="263" t="n">
        <v>227024.6</v>
      </c>
      <c r="AD83" s="261" t="n">
        <v>378551.6</v>
      </c>
      <c r="AE83" s="262" t="n">
        <v>125773.8</v>
      </c>
      <c r="AF83" s="262" t="n">
        <v>3677.9</v>
      </c>
      <c r="AG83" s="263" t="n">
        <v>249099.9</v>
      </c>
      <c r="AI83" s="369" t="n"/>
      <c r="AJ83" s="369" t="n"/>
      <c r="AK83" s="369" t="n"/>
      <c r="AL83" s="369" t="n"/>
      <c r="AM83" s="369" t="n"/>
      <c r="AN83" s="369" t="n"/>
      <c r="AO83" s="369" t="n"/>
      <c r="AP83" s="369" t="n"/>
      <c r="AQ83" s="369" t="n"/>
      <c r="AR83" s="369" t="n"/>
      <c r="AS83" s="369" t="n"/>
      <c r="AT83" s="369" t="n"/>
      <c r="AU83" s="369" t="n"/>
    </row>
    <row r="84" ht="15" customHeight="1" s="226">
      <c r="A84" s="323" t="inlineStr">
        <is>
          <t xml:space="preserve"> Алтайский край</t>
        </is>
      </c>
      <c r="B84" s="261" t="n">
        <v>532401.5</v>
      </c>
      <c r="C84" s="262" t="n">
        <v>200236.9</v>
      </c>
      <c r="D84" s="262" t="n">
        <v>7919.5</v>
      </c>
      <c r="E84" s="263" t="n">
        <v>324245.1</v>
      </c>
      <c r="F84" s="261" t="n">
        <v>545303</v>
      </c>
      <c r="G84" s="262" t="n">
        <v>213954.3</v>
      </c>
      <c r="H84" s="262" t="n">
        <v>8584.9</v>
      </c>
      <c r="I84" s="263" t="n">
        <v>322763.8</v>
      </c>
      <c r="J84" s="261" t="n">
        <v>579740.5</v>
      </c>
      <c r="K84" s="262" t="n">
        <v>234748.8</v>
      </c>
      <c r="L84" s="262" t="n">
        <v>8899.700000000001</v>
      </c>
      <c r="M84" s="263" t="n">
        <v>336092</v>
      </c>
      <c r="N84" s="261" t="n">
        <v>628146.1</v>
      </c>
      <c r="O84" s="262" t="n">
        <v>255964.2</v>
      </c>
      <c r="P84" s="262" t="n">
        <v>7966.4</v>
      </c>
      <c r="Q84" s="263" t="n">
        <v>364215.5</v>
      </c>
      <c r="R84" s="261" t="n">
        <v>664129.2</v>
      </c>
      <c r="S84" s="262" t="n">
        <v>266617.8</v>
      </c>
      <c r="T84" s="262" t="n">
        <v>7839.4</v>
      </c>
      <c r="U84" s="263" t="n">
        <v>389672</v>
      </c>
      <c r="V84" s="261" t="n">
        <v>869672.1</v>
      </c>
      <c r="W84" s="262" t="n">
        <v>310806.4</v>
      </c>
      <c r="X84" s="262" t="n">
        <v>8076.5</v>
      </c>
      <c r="Y84" s="263" t="n">
        <v>550789.2</v>
      </c>
      <c r="Z84" s="261" t="n">
        <v>929614.2</v>
      </c>
      <c r="AA84" s="262" t="n">
        <v>348664.4</v>
      </c>
      <c r="AB84" s="262" t="n">
        <v>8573</v>
      </c>
      <c r="AC84" s="263" t="n">
        <v>572376.8</v>
      </c>
      <c r="AD84" s="261" t="n">
        <v>1024355.4</v>
      </c>
      <c r="AE84" s="262" t="n">
        <v>405256.8</v>
      </c>
      <c r="AF84" s="262" t="n">
        <v>8371.6</v>
      </c>
      <c r="AG84" s="263" t="n">
        <v>610727</v>
      </c>
      <c r="AI84" s="369" t="n"/>
      <c r="AJ84" s="369" t="n"/>
      <c r="AK84" s="369" t="n"/>
      <c r="AL84" s="369" t="n"/>
      <c r="AM84" s="369" t="n"/>
      <c r="AN84" s="369" t="n"/>
      <c r="AO84" s="369" t="n"/>
      <c r="AP84" s="369" t="n"/>
      <c r="AQ84" s="369" t="n"/>
      <c r="AR84" s="369" t="n"/>
      <c r="AS84" s="369" t="n"/>
      <c r="AT84" s="369" t="n"/>
      <c r="AU84" s="369" t="n"/>
    </row>
    <row r="85" ht="15" customHeight="1" s="226">
      <c r="A85" s="323" t="inlineStr">
        <is>
          <t xml:space="preserve"> Красноярский край</t>
        </is>
      </c>
      <c r="B85" s="261" t="n">
        <v>1821899.9</v>
      </c>
      <c r="C85" s="262" t="n">
        <v>634180.4</v>
      </c>
      <c r="D85" s="262" t="n">
        <v>23693.3</v>
      </c>
      <c r="E85" s="263" t="n">
        <v>1164026.2</v>
      </c>
      <c r="F85" s="261" t="n">
        <v>1977016.1</v>
      </c>
      <c r="G85" s="262" t="n">
        <v>688466.2</v>
      </c>
      <c r="H85" s="262" t="n">
        <v>25528</v>
      </c>
      <c r="I85" s="263" t="n">
        <v>1263021.9</v>
      </c>
      <c r="J85" s="261" t="n">
        <v>2374749.9</v>
      </c>
      <c r="K85" s="262" t="n">
        <v>742596.8</v>
      </c>
      <c r="L85" s="262" t="n">
        <v>28045</v>
      </c>
      <c r="M85" s="263" t="n">
        <v>1604108.1</v>
      </c>
      <c r="N85" s="261" t="n">
        <v>2696158.9</v>
      </c>
      <c r="O85" s="262" t="n">
        <v>808096.5</v>
      </c>
      <c r="P85" s="262" t="n">
        <v>24955.9</v>
      </c>
      <c r="Q85" s="263" t="n">
        <v>1863106.5</v>
      </c>
      <c r="R85" s="261" t="n">
        <v>2725096.7</v>
      </c>
      <c r="S85" s="262" t="n">
        <v>842032.1</v>
      </c>
      <c r="T85" s="262" t="n">
        <v>23240.3</v>
      </c>
      <c r="U85" s="263" t="n">
        <v>1859824.3</v>
      </c>
      <c r="V85" s="261" t="n">
        <v>3122115.3</v>
      </c>
      <c r="W85" s="262" t="n">
        <v>945519.8</v>
      </c>
      <c r="X85" s="262" t="n">
        <v>27094.7</v>
      </c>
      <c r="Y85" s="263" t="n">
        <v>2149500.8</v>
      </c>
      <c r="Z85" s="261" t="n">
        <v>3314866.6</v>
      </c>
      <c r="AA85" s="262" t="n">
        <v>1067713.1</v>
      </c>
      <c r="AB85" s="262" t="n">
        <v>31361.4</v>
      </c>
      <c r="AC85" s="263" t="n">
        <v>2215792.1</v>
      </c>
      <c r="AD85" s="261" t="n">
        <v>3719646.8</v>
      </c>
      <c r="AE85" s="262" t="n">
        <v>1213439.2</v>
      </c>
      <c r="AF85" s="262" t="n">
        <v>31897.3</v>
      </c>
      <c r="AG85" s="263" t="n">
        <v>2474310.3</v>
      </c>
      <c r="AI85" s="369" t="n"/>
      <c r="AJ85" s="369" t="n"/>
      <c r="AK85" s="369" t="n"/>
      <c r="AL85" s="369" t="n"/>
      <c r="AM85" s="369" t="n"/>
      <c r="AN85" s="369" t="n"/>
      <c r="AO85" s="369" t="n"/>
      <c r="AP85" s="369" t="n"/>
      <c r="AQ85" s="369" t="n"/>
      <c r="AR85" s="369" t="n"/>
      <c r="AS85" s="369" t="n"/>
      <c r="AT85" s="369" t="n"/>
      <c r="AU85" s="369" t="n"/>
    </row>
    <row r="86" ht="15" customHeight="1" s="226">
      <c r="A86" s="323" t="inlineStr">
        <is>
          <t xml:space="preserve"> Иркутская область</t>
        </is>
      </c>
      <c r="B86" s="261" t="n">
        <v>1139206.8</v>
      </c>
      <c r="C86" s="262" t="n">
        <v>454349.8</v>
      </c>
      <c r="D86" s="262" t="n">
        <v>18370.9</v>
      </c>
      <c r="E86" s="263" t="n">
        <v>666486.1</v>
      </c>
      <c r="F86" s="261" t="n">
        <v>1268311.7</v>
      </c>
      <c r="G86" s="262" t="n">
        <v>502066</v>
      </c>
      <c r="H86" s="262" t="n">
        <v>19077.2</v>
      </c>
      <c r="I86" s="263" t="n">
        <v>747168.5</v>
      </c>
      <c r="J86" s="261" t="n">
        <v>1460512.2</v>
      </c>
      <c r="K86" s="262" t="n">
        <v>549083.6</v>
      </c>
      <c r="L86" s="262" t="n">
        <v>22715.8</v>
      </c>
      <c r="M86" s="263" t="n">
        <v>888712.8</v>
      </c>
      <c r="N86" s="261" t="n">
        <v>1540237.8</v>
      </c>
      <c r="O86" s="262" t="n">
        <v>594530.7</v>
      </c>
      <c r="P86" s="262" t="n">
        <v>19869.2</v>
      </c>
      <c r="Q86" s="263" t="n">
        <v>925837.9</v>
      </c>
      <c r="R86" s="261" t="n">
        <v>1494326.6</v>
      </c>
      <c r="S86" s="262" t="n">
        <v>604546.4</v>
      </c>
      <c r="T86" s="262" t="n">
        <v>19536</v>
      </c>
      <c r="U86" s="263" t="n">
        <v>870244.2</v>
      </c>
      <c r="V86" s="261" t="n">
        <v>1972480.5</v>
      </c>
      <c r="W86" s="262" t="n">
        <v>677766.8</v>
      </c>
      <c r="X86" s="262" t="n">
        <v>22057</v>
      </c>
      <c r="Y86" s="263" t="n">
        <v>1272656.7</v>
      </c>
      <c r="Z86" s="261" t="n">
        <v>2347579.8</v>
      </c>
      <c r="AA86" s="262" t="n">
        <v>817405.7</v>
      </c>
      <c r="AB86" s="262" t="n">
        <v>23113.4</v>
      </c>
      <c r="AC86" s="263" t="n">
        <v>1507060.7</v>
      </c>
      <c r="AD86" s="261" t="n">
        <v>2539383.9</v>
      </c>
      <c r="AE86" s="262" t="n">
        <v>941558.7</v>
      </c>
      <c r="AF86" s="262" t="n">
        <v>23142.3</v>
      </c>
      <c r="AG86" s="263" t="n">
        <v>1574682.9</v>
      </c>
      <c r="AI86" s="369" t="n"/>
      <c r="AJ86" s="369" t="n"/>
      <c r="AK86" s="369" t="n"/>
      <c r="AL86" s="369" t="n"/>
      <c r="AM86" s="369" t="n"/>
      <c r="AN86" s="369" t="n"/>
      <c r="AO86" s="369" t="n"/>
      <c r="AP86" s="369" t="n"/>
      <c r="AQ86" s="369" t="n"/>
      <c r="AR86" s="369" t="n"/>
      <c r="AS86" s="369" t="n"/>
      <c r="AT86" s="369" t="n"/>
      <c r="AU86" s="369" t="n"/>
    </row>
    <row r="87" ht="15" customHeight="1" s="226">
      <c r="A87" s="323" t="inlineStr">
        <is>
          <t xml:space="preserve"> Кемеровская область</t>
        </is>
      </c>
      <c r="B87" s="261" t="n">
        <v>903348.9</v>
      </c>
      <c r="C87" s="262" t="n">
        <v>399669.6</v>
      </c>
      <c r="D87" s="262" t="n">
        <v>14356.8</v>
      </c>
      <c r="E87" s="263" t="n">
        <v>489322.5</v>
      </c>
      <c r="F87" s="261" t="n">
        <v>1097861</v>
      </c>
      <c r="G87" s="262" t="n">
        <v>437676.8</v>
      </c>
      <c r="H87" s="262" t="n">
        <v>14864.2</v>
      </c>
      <c r="I87" s="263" t="n">
        <v>645320</v>
      </c>
      <c r="J87" s="261" t="n">
        <v>1266424.5</v>
      </c>
      <c r="K87" s="262" t="n">
        <v>484440.3</v>
      </c>
      <c r="L87" s="262" t="n">
        <v>18324.8</v>
      </c>
      <c r="M87" s="263" t="n">
        <v>763659.4</v>
      </c>
      <c r="N87" s="261" t="n">
        <v>1110194.80356354</v>
      </c>
      <c r="O87" s="262" t="n">
        <v>523484.961313068</v>
      </c>
      <c r="P87" s="262" t="n">
        <v>16206.8190276846</v>
      </c>
      <c r="Q87" s="263" t="n">
        <v>570503.02322279</v>
      </c>
      <c r="R87" s="261" t="n">
        <v>1045077.1</v>
      </c>
      <c r="S87" s="262" t="n">
        <v>525298</v>
      </c>
      <c r="T87" s="262" t="n">
        <v>16190.4</v>
      </c>
      <c r="U87" s="263" t="n">
        <v>503588.7</v>
      </c>
      <c r="V87" s="261" t="n">
        <v>1823647.7</v>
      </c>
      <c r="W87" s="262" t="n">
        <v>594846.9</v>
      </c>
      <c r="X87" s="262" t="n">
        <v>17824.2</v>
      </c>
      <c r="Y87" s="263" t="n">
        <v>1210976.6</v>
      </c>
      <c r="Z87" s="261" t="n">
        <v>2170130.3</v>
      </c>
      <c r="AA87" s="262" t="n">
        <v>703289.1</v>
      </c>
      <c r="AB87" s="262" t="n">
        <v>18844</v>
      </c>
      <c r="AC87" s="263" t="n">
        <v>1447997.2</v>
      </c>
      <c r="AD87" s="261" t="n">
        <v>1883825.1</v>
      </c>
      <c r="AE87" s="262" t="n">
        <v>807965.2</v>
      </c>
      <c r="AF87" s="262" t="n">
        <v>18587.7</v>
      </c>
      <c r="AG87" s="263" t="n">
        <v>1057272.2</v>
      </c>
      <c r="AI87" s="369" t="n"/>
      <c r="AJ87" s="369" t="n"/>
      <c r="AK87" s="369" t="n"/>
      <c r="AL87" s="369" t="n"/>
      <c r="AM87" s="369" t="n"/>
      <c r="AN87" s="369" t="n"/>
      <c r="AO87" s="369" t="n"/>
      <c r="AP87" s="369" t="n"/>
      <c r="AQ87" s="369" t="n"/>
      <c r="AR87" s="369" t="n"/>
      <c r="AS87" s="369" t="n"/>
      <c r="AT87" s="369" t="n"/>
      <c r="AU87" s="369" t="n"/>
    </row>
    <row r="88" ht="15" customHeight="1" s="226">
      <c r="A88" s="323" t="inlineStr">
        <is>
          <t xml:space="preserve"> Новосибирская область</t>
        </is>
      </c>
      <c r="B88" s="261" t="n">
        <v>1074794.7</v>
      </c>
      <c r="C88" s="262" t="n">
        <v>489866</v>
      </c>
      <c r="D88" s="262" t="n">
        <v>15678.3</v>
      </c>
      <c r="E88" s="263" t="n">
        <v>569250.4</v>
      </c>
      <c r="F88" s="261" t="n">
        <v>1179564.2</v>
      </c>
      <c r="G88" s="262" t="n">
        <v>547772.6</v>
      </c>
      <c r="H88" s="262" t="n">
        <v>17670.8</v>
      </c>
      <c r="I88" s="263" t="n">
        <v>614120.8</v>
      </c>
      <c r="J88" s="261" t="n">
        <v>1301631.1</v>
      </c>
      <c r="K88" s="262" t="n">
        <v>585199.1</v>
      </c>
      <c r="L88" s="262" t="n">
        <v>18843.4</v>
      </c>
      <c r="M88" s="263" t="n">
        <v>697588.6</v>
      </c>
      <c r="N88" s="261" t="n">
        <v>1332895.8</v>
      </c>
      <c r="O88" s="262" t="n">
        <v>613105.8</v>
      </c>
      <c r="P88" s="262" t="n">
        <v>17140.9</v>
      </c>
      <c r="Q88" s="263" t="n">
        <v>702649.1</v>
      </c>
      <c r="R88" s="261" t="n">
        <v>1358350.1</v>
      </c>
      <c r="S88" s="262" t="n">
        <v>606631.3</v>
      </c>
      <c r="T88" s="262" t="n">
        <v>16491.4</v>
      </c>
      <c r="U88" s="263" t="n">
        <v>735227.4</v>
      </c>
      <c r="V88" s="261" t="n">
        <v>1628844.4</v>
      </c>
      <c r="W88" s="262" t="n">
        <v>674532.7</v>
      </c>
      <c r="X88" s="262" t="n">
        <v>16952.6</v>
      </c>
      <c r="Y88" s="263" t="n">
        <v>937359.1</v>
      </c>
      <c r="Z88" s="261" t="n">
        <v>1927143.6</v>
      </c>
      <c r="AA88" s="262" t="n">
        <v>777356.2</v>
      </c>
      <c r="AB88" s="262" t="n">
        <v>17493.2</v>
      </c>
      <c r="AC88" s="263" t="n">
        <v>1132294.2</v>
      </c>
      <c r="AD88" s="261" t="n">
        <v>2216436.2</v>
      </c>
      <c r="AE88" s="262" t="n">
        <v>918761.8</v>
      </c>
      <c r="AF88" s="262" t="n">
        <v>16404.3</v>
      </c>
      <c r="AG88" s="263" t="n">
        <v>1281270.1</v>
      </c>
      <c r="AI88" s="369" t="n"/>
      <c r="AJ88" s="369" t="n"/>
      <c r="AK88" s="369" t="n"/>
      <c r="AL88" s="369" t="n"/>
      <c r="AM88" s="369" t="n"/>
      <c r="AN88" s="369" t="n"/>
      <c r="AO88" s="369" t="n"/>
      <c r="AP88" s="369" t="n"/>
      <c r="AQ88" s="369" t="n"/>
      <c r="AR88" s="369" t="n"/>
      <c r="AS88" s="369" t="n"/>
      <c r="AT88" s="369" t="n"/>
      <c r="AU88" s="369" t="n"/>
    </row>
    <row r="89" ht="15" customHeight="1" s="226">
      <c r="A89" s="323" t="inlineStr">
        <is>
          <t xml:space="preserve"> Омская область</t>
        </is>
      </c>
      <c r="B89" s="261" t="n">
        <v>669480.4</v>
      </c>
      <c r="C89" s="262" t="n">
        <v>233885.4</v>
      </c>
      <c r="D89" s="262" t="n">
        <v>7135.2</v>
      </c>
      <c r="E89" s="263" t="n">
        <v>428459.8</v>
      </c>
      <c r="F89" s="261" t="n">
        <v>699716.5</v>
      </c>
      <c r="G89" s="262" t="n">
        <v>243542.4</v>
      </c>
      <c r="H89" s="262" t="n">
        <v>7410.4</v>
      </c>
      <c r="I89" s="263" t="n">
        <v>448763.7</v>
      </c>
      <c r="J89" s="261" t="n">
        <v>736076.8</v>
      </c>
      <c r="K89" s="262" t="n">
        <v>263838.1</v>
      </c>
      <c r="L89" s="262" t="n">
        <v>8024.4</v>
      </c>
      <c r="M89" s="263" t="n">
        <v>464214.3</v>
      </c>
      <c r="N89" s="261" t="n">
        <v>772095.9</v>
      </c>
      <c r="O89" s="262" t="n">
        <v>278323.1</v>
      </c>
      <c r="P89" s="262" t="n">
        <v>6849.5</v>
      </c>
      <c r="Q89" s="263" t="n">
        <v>486923.3</v>
      </c>
      <c r="R89" s="261" t="n">
        <v>770280.4</v>
      </c>
      <c r="S89" s="262" t="n">
        <v>296057.8</v>
      </c>
      <c r="T89" s="262" t="n">
        <v>6753.1</v>
      </c>
      <c r="U89" s="263" t="n">
        <v>467469.5</v>
      </c>
      <c r="V89" s="261" t="n">
        <v>796044.1</v>
      </c>
      <c r="W89" s="262" t="n">
        <v>328222</v>
      </c>
      <c r="X89" s="262" t="n">
        <v>7650.3</v>
      </c>
      <c r="Y89" s="263" t="n">
        <v>460171.8</v>
      </c>
      <c r="Z89" s="261" t="n">
        <v>926750.2</v>
      </c>
      <c r="AA89" s="262" t="n">
        <v>362871.2</v>
      </c>
      <c r="AB89" s="262" t="n">
        <v>8371.200000000001</v>
      </c>
      <c r="AC89" s="263" t="n">
        <v>555507.8</v>
      </c>
      <c r="AD89" s="261" t="n">
        <v>1056600.3</v>
      </c>
      <c r="AE89" s="262" t="n">
        <v>417988.6</v>
      </c>
      <c r="AF89" s="262" t="n">
        <v>9464.4</v>
      </c>
      <c r="AG89" s="263" t="n">
        <v>629147.3</v>
      </c>
      <c r="AI89" s="369" t="n"/>
      <c r="AJ89" s="369" t="n"/>
      <c r="AK89" s="369" t="n"/>
      <c r="AL89" s="369" t="n"/>
      <c r="AM89" s="369" t="n"/>
      <c r="AN89" s="369" t="n"/>
      <c r="AO89" s="369" t="n"/>
      <c r="AP89" s="369" t="n"/>
      <c r="AQ89" s="369" t="n"/>
      <c r="AR89" s="369" t="n"/>
      <c r="AS89" s="369" t="n"/>
      <c r="AT89" s="369" t="n"/>
      <c r="AU89" s="369" t="n"/>
    </row>
    <row r="90" ht="15" customHeight="1" s="226">
      <c r="A90" s="323" t="inlineStr">
        <is>
          <t xml:space="preserve"> Томская область</t>
        </is>
      </c>
      <c r="B90" s="285" t="n">
        <v>521043.5</v>
      </c>
      <c r="C90" s="270" t="n">
        <v>188518.1</v>
      </c>
      <c r="D90" s="270" t="n">
        <v>7937.8</v>
      </c>
      <c r="E90" s="271" t="n">
        <v>324587.6</v>
      </c>
      <c r="F90" s="285" t="n">
        <v>554393.9</v>
      </c>
      <c r="G90" s="270" t="n">
        <v>205091.1</v>
      </c>
      <c r="H90" s="270" t="n">
        <v>8328.700000000001</v>
      </c>
      <c r="I90" s="271" t="n">
        <v>340974.1</v>
      </c>
      <c r="J90" s="285" t="n">
        <v>612431.7</v>
      </c>
      <c r="K90" s="270" t="n">
        <v>219291.7</v>
      </c>
      <c r="L90" s="270" t="n">
        <v>9542.299999999999</v>
      </c>
      <c r="M90" s="271" t="n">
        <v>383597.7</v>
      </c>
      <c r="N90" s="285" t="n">
        <v>617903.6</v>
      </c>
      <c r="O90" s="270" t="n">
        <v>237030.2</v>
      </c>
      <c r="P90" s="270" t="n">
        <v>8941.1</v>
      </c>
      <c r="Q90" s="271" t="n">
        <v>371932.3</v>
      </c>
      <c r="R90" s="285" t="n">
        <v>553211.6</v>
      </c>
      <c r="S90" s="270" t="n">
        <v>238766.3</v>
      </c>
      <c r="T90" s="270" t="n">
        <v>7778.5</v>
      </c>
      <c r="U90" s="271" t="n">
        <v>306666.8</v>
      </c>
      <c r="V90" s="285" t="n">
        <v>723226.5</v>
      </c>
      <c r="W90" s="270" t="n">
        <v>261234.7</v>
      </c>
      <c r="X90" s="270" t="n">
        <v>8513.5</v>
      </c>
      <c r="Y90" s="271" t="n">
        <v>453478.3</v>
      </c>
      <c r="Z90" s="285" t="n">
        <v>813183.4</v>
      </c>
      <c r="AA90" s="270" t="n">
        <v>286254</v>
      </c>
      <c r="AB90" s="270" t="n">
        <v>9905.9</v>
      </c>
      <c r="AC90" s="271" t="n">
        <v>517023.5</v>
      </c>
      <c r="AD90" s="285" t="n">
        <v>912449.4</v>
      </c>
      <c r="AE90" s="270" t="n">
        <v>322435.3</v>
      </c>
      <c r="AF90" s="270" t="n">
        <v>9758.6</v>
      </c>
      <c r="AG90" s="271" t="n">
        <v>580255.5</v>
      </c>
      <c r="AI90" s="369" t="n"/>
      <c r="AJ90" s="369" t="n"/>
      <c r="AK90" s="369" t="n"/>
      <c r="AL90" s="369" t="n"/>
      <c r="AM90" s="369" t="n"/>
      <c r="AN90" s="369" t="n"/>
      <c r="AO90" s="369" t="n"/>
      <c r="AP90" s="369" t="n"/>
      <c r="AQ90" s="369" t="n"/>
      <c r="AR90" s="369" t="n"/>
      <c r="AS90" s="369" t="n"/>
      <c r="AT90" s="369" t="n"/>
      <c r="AU90" s="369" t="n"/>
    </row>
    <row r="91" ht="15" customHeight="1" s="226">
      <c r="A91" s="324" t="inlineStr">
        <is>
          <t>Дальневосточный федеральный округ</t>
        </is>
      </c>
      <c r="B91" s="275">
        <f>SUM(B92:B102)</f>
        <v/>
      </c>
      <c r="C91" s="275">
        <f>SUM(C92:C102)</f>
        <v/>
      </c>
      <c r="D91" s="275">
        <f>SUM(D92:D102)</f>
        <v/>
      </c>
      <c r="E91" s="254">
        <f>SUM(E92:E102)</f>
        <v/>
      </c>
      <c r="F91" s="275">
        <f>SUM(F92:F102)</f>
        <v/>
      </c>
      <c r="G91" s="275">
        <f>SUM(G92:G102)</f>
        <v/>
      </c>
      <c r="H91" s="275">
        <f>SUM(H92:H102)</f>
        <v/>
      </c>
      <c r="I91" s="254">
        <f>SUM(I92:I102)</f>
        <v/>
      </c>
      <c r="J91" s="275">
        <f>SUM(J92:J102)</f>
        <v/>
      </c>
      <c r="K91" s="275">
        <f>SUM(K92:K102)</f>
        <v/>
      </c>
      <c r="L91" s="275">
        <f>SUM(L92:L102)</f>
        <v/>
      </c>
      <c r="M91" s="254">
        <f>SUM(M92:M102)</f>
        <v/>
      </c>
      <c r="N91" s="275">
        <f>SUM(N92:N102)</f>
        <v/>
      </c>
      <c r="O91" s="275">
        <f>SUM(O92:O102)</f>
        <v/>
      </c>
      <c r="P91" s="275">
        <f>SUM(P92:P102)</f>
        <v/>
      </c>
      <c r="Q91" s="254">
        <f>SUM(Q92:Q102)</f>
        <v/>
      </c>
      <c r="R91" s="275">
        <f>SUM(R92:R102)</f>
        <v/>
      </c>
      <c r="S91" s="275">
        <f>SUM(S92:S102)</f>
        <v/>
      </c>
      <c r="T91" s="275">
        <f>SUM(T92:T102)</f>
        <v/>
      </c>
      <c r="U91" s="254">
        <f>SUM(U92:U102)</f>
        <v/>
      </c>
      <c r="V91" s="275">
        <f>SUM(V92:V102)</f>
        <v/>
      </c>
      <c r="W91" s="275">
        <f>SUM(W92:W102)</f>
        <v/>
      </c>
      <c r="X91" s="275">
        <f>SUM(X92:X102)</f>
        <v/>
      </c>
      <c r="Y91" s="254">
        <f>SUM(Y92:Y102)</f>
        <v/>
      </c>
      <c r="Z91" s="275">
        <f>SUM(Z92:Z102)</f>
        <v/>
      </c>
      <c r="AA91" s="275">
        <f>SUM(AA92:AA102)</f>
        <v/>
      </c>
      <c r="AB91" s="275">
        <f>SUM(AB92:AB102)</f>
        <v/>
      </c>
      <c r="AC91" s="254">
        <f>SUM(AC92:AC102)</f>
        <v/>
      </c>
      <c r="AD91" s="275">
        <f>SUM(AD92:AD102)</f>
        <v/>
      </c>
      <c r="AE91" s="275">
        <f>SUM(AE92:AE102)</f>
        <v/>
      </c>
      <c r="AF91" s="275">
        <f>SUM(AF92:AF102)</f>
        <v/>
      </c>
      <c r="AG91" s="254">
        <f>SUM(AG92:AG102)</f>
        <v/>
      </c>
      <c r="AI91" s="369" t="n"/>
      <c r="AJ91" s="369" t="n"/>
      <c r="AK91" s="369" t="n"/>
      <c r="AL91" s="369" t="n"/>
      <c r="AM91" s="369" t="n"/>
      <c r="AN91" s="369" t="n"/>
      <c r="AO91" s="369" t="n"/>
      <c r="AP91" s="369" t="n"/>
      <c r="AQ91" s="369" t="n"/>
      <c r="AR91" s="369" t="n"/>
      <c r="AS91" s="369" t="n"/>
      <c r="AT91" s="369" t="n"/>
      <c r="AU91" s="369" t="n"/>
    </row>
    <row r="92" ht="15" customHeight="1" s="226">
      <c r="A92" s="323" t="inlineStr">
        <is>
          <t xml:space="preserve"> Республика Бурятия</t>
        </is>
      </c>
      <c r="B92" s="286" t="n">
        <v>220764.6</v>
      </c>
      <c r="C92" s="273" t="n">
        <v>102023</v>
      </c>
      <c r="D92" s="273" t="n">
        <v>4293.1</v>
      </c>
      <c r="E92" s="274" t="n">
        <v>114448.5</v>
      </c>
      <c r="F92" s="286" t="n">
        <v>224594.1</v>
      </c>
      <c r="G92" s="273" t="n">
        <v>106564.5</v>
      </c>
      <c r="H92" s="273" t="n">
        <v>4296.4</v>
      </c>
      <c r="I92" s="274" t="n">
        <v>113733.2</v>
      </c>
      <c r="J92" s="286" t="n">
        <v>258578.6</v>
      </c>
      <c r="K92" s="273" t="n">
        <v>116666.1</v>
      </c>
      <c r="L92" s="273" t="n">
        <v>5073.1</v>
      </c>
      <c r="M92" s="274" t="n">
        <v>136839.4</v>
      </c>
      <c r="N92" s="286" t="n">
        <v>285490.6</v>
      </c>
      <c r="O92" s="273" t="n">
        <v>127033.9</v>
      </c>
      <c r="P92" s="273" t="n">
        <v>4780.8</v>
      </c>
      <c r="Q92" s="274" t="n">
        <v>153675.9</v>
      </c>
      <c r="R92" s="286" t="n">
        <v>302800.4</v>
      </c>
      <c r="S92" s="273" t="n">
        <v>134301.7</v>
      </c>
      <c r="T92" s="273" t="n">
        <v>4861.2</v>
      </c>
      <c r="U92" s="274" t="n">
        <v>163637.5</v>
      </c>
      <c r="V92" s="286" t="n">
        <v>356150.2</v>
      </c>
      <c r="W92" s="273" t="n">
        <v>153062.6</v>
      </c>
      <c r="X92" s="273" t="n">
        <v>5319.3</v>
      </c>
      <c r="Y92" s="274" t="n">
        <v>197768.3</v>
      </c>
      <c r="Z92" s="286" t="n">
        <v>447267.3</v>
      </c>
      <c r="AA92" s="273" t="n">
        <v>173649.6</v>
      </c>
      <c r="AB92" s="273" t="n">
        <v>5285.8</v>
      </c>
      <c r="AC92" s="274" t="n">
        <v>268331.9</v>
      </c>
      <c r="AD92" s="286" t="n">
        <v>503918.8</v>
      </c>
      <c r="AE92" s="273" t="n">
        <v>202686.3</v>
      </c>
      <c r="AF92" s="273" t="n">
        <v>5311.1</v>
      </c>
      <c r="AG92" s="274" t="n">
        <v>295921.4</v>
      </c>
      <c r="AI92" s="369" t="n"/>
      <c r="AJ92" s="369" t="n"/>
      <c r="AK92" s="369" t="n"/>
      <c r="AL92" s="369" t="n"/>
      <c r="AM92" s="369" t="n"/>
      <c r="AN92" s="369" t="n"/>
      <c r="AO92" s="369" t="n"/>
      <c r="AP92" s="369" t="n"/>
      <c r="AQ92" s="369" t="n"/>
      <c r="AR92" s="369" t="n"/>
      <c r="AS92" s="369" t="n"/>
      <c r="AT92" s="369" t="n"/>
      <c r="AU92" s="369" t="n"/>
    </row>
    <row r="93" ht="15" customHeight="1" s="226">
      <c r="A93" s="323" t="inlineStr">
        <is>
          <t xml:space="preserve"> Республика Саха (Якутия)</t>
        </is>
      </c>
      <c r="B93" s="261" t="n">
        <v>889449.3</v>
      </c>
      <c r="C93" s="262" t="n">
        <v>339668.3</v>
      </c>
      <c r="D93" s="262" t="n">
        <v>14300.4</v>
      </c>
      <c r="E93" s="263" t="n">
        <v>535480.6</v>
      </c>
      <c r="F93" s="261" t="n">
        <v>942029.6</v>
      </c>
      <c r="G93" s="262" t="n">
        <v>366431.5</v>
      </c>
      <c r="H93" s="262" t="n">
        <v>14646.8</v>
      </c>
      <c r="I93" s="263" t="n">
        <v>560951.3</v>
      </c>
      <c r="J93" s="261" t="n">
        <v>1126774.7</v>
      </c>
      <c r="K93" s="262" t="n">
        <v>420605.6</v>
      </c>
      <c r="L93" s="262" t="n">
        <v>17424.9</v>
      </c>
      <c r="M93" s="263" t="n">
        <v>688744.2</v>
      </c>
      <c r="N93" s="261" t="n">
        <v>1227680.3</v>
      </c>
      <c r="O93" s="262" t="n">
        <v>460245.5</v>
      </c>
      <c r="P93" s="262" t="n">
        <v>18404.2</v>
      </c>
      <c r="Q93" s="263" t="n">
        <v>749030.6</v>
      </c>
      <c r="R93" s="261" t="n">
        <v>1133688.2</v>
      </c>
      <c r="S93" s="262" t="n">
        <v>431651.8</v>
      </c>
      <c r="T93" s="262" t="n">
        <v>26253.8</v>
      </c>
      <c r="U93" s="263" t="n">
        <v>675782.6</v>
      </c>
      <c r="V93" s="261" t="n">
        <v>1672273.8</v>
      </c>
      <c r="W93" s="262" t="n">
        <v>494429.6</v>
      </c>
      <c r="X93" s="262" t="n">
        <v>26977.2</v>
      </c>
      <c r="Y93" s="263" t="n">
        <v>1150867</v>
      </c>
      <c r="Z93" s="261" t="n">
        <v>2009286.6</v>
      </c>
      <c r="AA93" s="262" t="n">
        <v>568174.6</v>
      </c>
      <c r="AB93" s="262" t="n">
        <v>20651.8</v>
      </c>
      <c r="AC93" s="263" t="n">
        <v>1420460.2</v>
      </c>
      <c r="AD93" s="261" t="n">
        <v>2229816.5</v>
      </c>
      <c r="AE93" s="262" t="n">
        <v>659254.9</v>
      </c>
      <c r="AF93" s="262" t="n">
        <v>18779.4</v>
      </c>
      <c r="AG93" s="263" t="n">
        <v>1551782.2</v>
      </c>
      <c r="AI93" s="369" t="n"/>
      <c r="AJ93" s="369" t="n"/>
      <c r="AK93" s="369" t="n"/>
      <c r="AL93" s="369" t="n"/>
      <c r="AM93" s="369" t="n"/>
      <c r="AN93" s="369" t="n"/>
      <c r="AO93" s="369" t="n"/>
      <c r="AP93" s="369" t="n"/>
      <c r="AQ93" s="369" t="n"/>
      <c r="AR93" s="369" t="n"/>
      <c r="AS93" s="369" t="n"/>
      <c r="AT93" s="369" t="n"/>
      <c r="AU93" s="369" t="n"/>
    </row>
    <row r="94" ht="15" customHeight="1" s="226">
      <c r="A94" s="323" t="inlineStr">
        <is>
          <t xml:space="preserve"> Забайкальский край</t>
        </is>
      </c>
      <c r="B94" s="261" t="n">
        <v>279140.7</v>
      </c>
      <c r="C94" s="262" t="n">
        <v>180687.9</v>
      </c>
      <c r="D94" s="262" t="n">
        <v>5751</v>
      </c>
      <c r="E94" s="263" t="n">
        <v>92701.8</v>
      </c>
      <c r="F94" s="261" t="n">
        <v>306596.5</v>
      </c>
      <c r="G94" s="262" t="n">
        <v>185757.1</v>
      </c>
      <c r="H94" s="262" t="n">
        <v>5248.2</v>
      </c>
      <c r="I94" s="263" t="n">
        <v>115591.2</v>
      </c>
      <c r="J94" s="261" t="n">
        <v>339838.9</v>
      </c>
      <c r="K94" s="262" t="n">
        <v>205420.8</v>
      </c>
      <c r="L94" s="262" t="n">
        <v>6708.7</v>
      </c>
      <c r="M94" s="263" t="n">
        <v>127709.4</v>
      </c>
      <c r="N94" s="261" t="n">
        <v>369476.5</v>
      </c>
      <c r="O94" s="262" t="n">
        <v>208259.1</v>
      </c>
      <c r="P94" s="262" t="n">
        <v>6088.5</v>
      </c>
      <c r="Q94" s="263" t="n">
        <v>155128.9</v>
      </c>
      <c r="R94" s="261" t="n">
        <v>422734.5</v>
      </c>
      <c r="S94" s="262" t="n">
        <v>221610</v>
      </c>
      <c r="T94" s="262" t="n">
        <v>6156.1</v>
      </c>
      <c r="U94" s="263" t="n">
        <v>194968.4</v>
      </c>
      <c r="V94" s="261" t="n">
        <v>516630.1</v>
      </c>
      <c r="W94" s="262" t="n">
        <v>259681.3</v>
      </c>
      <c r="X94" s="262" t="n">
        <v>6281.9</v>
      </c>
      <c r="Y94" s="263" t="n">
        <v>250666.9</v>
      </c>
      <c r="Z94" s="261" t="n">
        <v>561679.6</v>
      </c>
      <c r="AA94" s="262" t="n">
        <v>281324</v>
      </c>
      <c r="AB94" s="262" t="n">
        <v>7104.4</v>
      </c>
      <c r="AC94" s="263" t="n">
        <v>273251.2</v>
      </c>
      <c r="AD94" s="261" t="n">
        <v>718358.3</v>
      </c>
      <c r="AE94" s="262" t="n">
        <v>325127.4</v>
      </c>
      <c r="AF94" s="262" t="n">
        <v>6619.4</v>
      </c>
      <c r="AG94" s="263" t="n">
        <v>386611.5</v>
      </c>
      <c r="AI94" s="369" t="n"/>
      <c r="AJ94" s="369" t="n"/>
      <c r="AK94" s="369" t="n"/>
      <c r="AL94" s="369" t="n"/>
      <c r="AM94" s="369" t="n"/>
      <c r="AN94" s="369" t="n"/>
      <c r="AO94" s="369" t="n"/>
      <c r="AP94" s="369" t="n"/>
      <c r="AQ94" s="369" t="n"/>
      <c r="AR94" s="369" t="n"/>
      <c r="AS94" s="369" t="n"/>
      <c r="AT94" s="369" t="n"/>
      <c r="AU94" s="369" t="n"/>
    </row>
    <row r="95" ht="15" customHeight="1" s="226">
      <c r="A95" s="323" t="inlineStr">
        <is>
          <t xml:space="preserve"> Камчатский край</t>
        </is>
      </c>
      <c r="B95" s="261" t="n">
        <v>224091</v>
      </c>
      <c r="C95" s="262" t="n">
        <v>118344.4</v>
      </c>
      <c r="D95" s="262" t="n">
        <v>4120.5</v>
      </c>
      <c r="E95" s="263" t="n">
        <v>101626.1</v>
      </c>
      <c r="F95" s="261" t="n">
        <v>228167.2</v>
      </c>
      <c r="G95" s="262" t="n">
        <v>129175.2</v>
      </c>
      <c r="H95" s="262" t="n">
        <v>7878.8</v>
      </c>
      <c r="I95" s="263" t="n">
        <v>91113.2</v>
      </c>
      <c r="J95" s="261" t="n">
        <v>263151.3</v>
      </c>
      <c r="K95" s="262" t="n">
        <v>148686.8</v>
      </c>
      <c r="L95" s="262" t="n">
        <v>3031.6</v>
      </c>
      <c r="M95" s="263" t="n">
        <v>111432.9</v>
      </c>
      <c r="N95" s="261" t="n">
        <v>279337.8</v>
      </c>
      <c r="O95" s="262" t="n">
        <v>162021.2</v>
      </c>
      <c r="P95" s="262" t="n">
        <v>3325.9</v>
      </c>
      <c r="Q95" s="263" t="n">
        <v>113990.7</v>
      </c>
      <c r="R95" s="261" t="n">
        <v>296429.4</v>
      </c>
      <c r="S95" s="262" t="n">
        <v>174719.8</v>
      </c>
      <c r="T95" s="262" t="n">
        <v>3330.4</v>
      </c>
      <c r="U95" s="263" t="n">
        <v>118379.2</v>
      </c>
      <c r="V95" s="261" t="n">
        <v>351233.7</v>
      </c>
      <c r="W95" s="262" t="n">
        <v>196937.6</v>
      </c>
      <c r="X95" s="262" t="n">
        <v>3610.2</v>
      </c>
      <c r="Y95" s="263" t="n">
        <v>150685.9</v>
      </c>
      <c r="Z95" s="261" t="n">
        <v>357461.7</v>
      </c>
      <c r="AA95" s="262" t="n">
        <v>204371.7</v>
      </c>
      <c r="AB95" s="262" t="n">
        <v>3944.3</v>
      </c>
      <c r="AC95" s="263" t="n">
        <v>149145.7</v>
      </c>
      <c r="AD95" s="261" t="n">
        <v>440147.3</v>
      </c>
      <c r="AE95" s="262" t="n">
        <v>238990.2</v>
      </c>
      <c r="AF95" s="262" t="n">
        <v>3926.3</v>
      </c>
      <c r="AG95" s="263" t="n">
        <v>197230.8</v>
      </c>
      <c r="AI95" s="369" t="n"/>
      <c r="AJ95" s="369" t="n"/>
      <c r="AK95" s="369" t="n"/>
      <c r="AL95" s="369" t="n"/>
      <c r="AM95" s="369" t="n"/>
      <c r="AN95" s="369" t="n"/>
      <c r="AO95" s="369" t="n"/>
      <c r="AP95" s="369" t="n"/>
      <c r="AQ95" s="369" t="n"/>
      <c r="AR95" s="369" t="n"/>
      <c r="AS95" s="369" t="n"/>
      <c r="AT95" s="369" t="n"/>
      <c r="AU95" s="369" t="n"/>
    </row>
    <row r="96" ht="15" customHeight="1" s="226">
      <c r="A96" s="323" t="inlineStr">
        <is>
          <t xml:space="preserve"> Приморский край</t>
        </is>
      </c>
      <c r="B96" s="261" t="n">
        <v>860803.6</v>
      </c>
      <c r="C96" s="262" t="n">
        <v>333185.1</v>
      </c>
      <c r="D96" s="262" t="n">
        <v>13767.1</v>
      </c>
      <c r="E96" s="263" t="n">
        <v>513851.4</v>
      </c>
      <c r="F96" s="261" t="n">
        <v>906265</v>
      </c>
      <c r="G96" s="262" t="n">
        <v>355106.9</v>
      </c>
      <c r="H96" s="262" t="n">
        <v>15796.3</v>
      </c>
      <c r="I96" s="263" t="n">
        <v>535361.8</v>
      </c>
      <c r="J96" s="261" t="n">
        <v>965485.2</v>
      </c>
      <c r="K96" s="262" t="n">
        <v>380732.4</v>
      </c>
      <c r="L96" s="262" t="n">
        <v>15433.8</v>
      </c>
      <c r="M96" s="263" t="n">
        <v>569319</v>
      </c>
      <c r="N96" s="261" t="n">
        <v>1069330.7</v>
      </c>
      <c r="O96" s="262" t="n">
        <v>423268.1</v>
      </c>
      <c r="P96" s="262" t="n">
        <v>16118.5</v>
      </c>
      <c r="Q96" s="263" t="n">
        <v>629944.1</v>
      </c>
      <c r="R96" s="261" t="n">
        <v>1105672.6</v>
      </c>
      <c r="S96" s="262" t="n">
        <v>443616.3</v>
      </c>
      <c r="T96" s="262" t="n">
        <v>16657.8</v>
      </c>
      <c r="U96" s="263" t="n">
        <v>645398.5</v>
      </c>
      <c r="V96" s="261" t="n">
        <v>1354099.5</v>
      </c>
      <c r="W96" s="262" t="n">
        <v>521231.6</v>
      </c>
      <c r="X96" s="262" t="n">
        <v>16874.7</v>
      </c>
      <c r="Y96" s="263" t="n">
        <v>815993.2</v>
      </c>
      <c r="Z96" s="261" t="n">
        <v>1575745.3</v>
      </c>
      <c r="AA96" s="262" t="n">
        <v>596456.7</v>
      </c>
      <c r="AB96" s="262" t="n">
        <v>17836.1</v>
      </c>
      <c r="AC96" s="263" t="n">
        <v>961452.5</v>
      </c>
      <c r="AD96" s="261" t="n">
        <v>1862934.3</v>
      </c>
      <c r="AE96" s="262" t="n">
        <v>684720.1</v>
      </c>
      <c r="AF96" s="262" t="n">
        <v>17468.8</v>
      </c>
      <c r="AG96" s="263" t="n">
        <v>1160745.4</v>
      </c>
      <c r="AI96" s="369" t="n"/>
      <c r="AJ96" s="369" t="n"/>
      <c r="AK96" s="369" t="n"/>
      <c r="AL96" s="369" t="n"/>
      <c r="AM96" s="369" t="n"/>
      <c r="AN96" s="369" t="n"/>
      <c r="AO96" s="369" t="n"/>
      <c r="AP96" s="369" t="n"/>
      <c r="AQ96" s="369" t="n"/>
      <c r="AR96" s="369" t="n"/>
      <c r="AS96" s="369" t="n"/>
      <c r="AT96" s="369" t="n"/>
      <c r="AU96" s="369" t="n"/>
    </row>
    <row r="97" ht="15" customHeight="1" s="226">
      <c r="A97" s="323" t="inlineStr">
        <is>
          <t xml:space="preserve"> Хабаровский край</t>
        </is>
      </c>
      <c r="B97" s="261" t="n">
        <v>672660.4</v>
      </c>
      <c r="C97" s="262" t="n">
        <v>352848.2</v>
      </c>
      <c r="D97" s="262" t="n">
        <v>15015.9</v>
      </c>
      <c r="E97" s="263" t="n">
        <v>304796.3</v>
      </c>
      <c r="F97" s="261" t="n">
        <v>697951</v>
      </c>
      <c r="G97" s="262" t="n">
        <v>374990.6</v>
      </c>
      <c r="H97" s="262" t="n">
        <v>18996.3</v>
      </c>
      <c r="I97" s="263" t="n">
        <v>303964.1</v>
      </c>
      <c r="J97" s="261" t="n">
        <v>761589.2</v>
      </c>
      <c r="K97" s="262" t="n">
        <v>400968.8</v>
      </c>
      <c r="L97" s="262" t="n">
        <v>16765.1</v>
      </c>
      <c r="M97" s="263" t="n">
        <v>343855.3</v>
      </c>
      <c r="N97" s="261" t="n">
        <v>805215.6</v>
      </c>
      <c r="O97" s="262" t="n">
        <v>424647.6</v>
      </c>
      <c r="P97" s="262" t="n">
        <v>14363.2</v>
      </c>
      <c r="Q97" s="263" t="n">
        <v>366204.8</v>
      </c>
      <c r="R97" s="261" t="n">
        <v>856904.8</v>
      </c>
      <c r="S97" s="262" t="n">
        <v>428531.6</v>
      </c>
      <c r="T97" s="262" t="n">
        <v>13871.1</v>
      </c>
      <c r="U97" s="263" t="n">
        <v>414502.1</v>
      </c>
      <c r="V97" s="261" t="n">
        <v>1017795.1</v>
      </c>
      <c r="W97" s="262" t="n">
        <v>470474.5</v>
      </c>
      <c r="X97" s="262" t="n">
        <v>15793.8</v>
      </c>
      <c r="Y97" s="263" t="n">
        <v>531526.8</v>
      </c>
      <c r="Z97" s="261" t="n">
        <v>1065100.8</v>
      </c>
      <c r="AA97" s="262" t="n">
        <v>516561.2</v>
      </c>
      <c r="AB97" s="262" t="n">
        <v>16494.7</v>
      </c>
      <c r="AC97" s="263" t="n">
        <v>532044.9</v>
      </c>
      <c r="AD97" s="261" t="n">
        <v>1262368.1</v>
      </c>
      <c r="AE97" s="262" t="n">
        <v>585609.2</v>
      </c>
      <c r="AF97" s="262" t="n">
        <v>16634.5</v>
      </c>
      <c r="AG97" s="263" t="n">
        <v>660124.4</v>
      </c>
      <c r="AI97" s="369" t="n"/>
      <c r="AJ97" s="369" t="n"/>
      <c r="AK97" s="369" t="n"/>
      <c r="AL97" s="369" t="n"/>
      <c r="AM97" s="369" t="n"/>
      <c r="AN97" s="369" t="n"/>
      <c r="AO97" s="369" t="n"/>
      <c r="AP97" s="369" t="n"/>
      <c r="AQ97" s="369" t="n"/>
      <c r="AR97" s="369" t="n"/>
      <c r="AS97" s="369" t="n"/>
      <c r="AT97" s="369" t="n"/>
      <c r="AU97" s="369" t="n"/>
    </row>
    <row r="98" ht="15" customHeight="1" s="226">
      <c r="A98" s="323" t="inlineStr">
        <is>
          <t xml:space="preserve"> Амурская область</t>
        </is>
      </c>
      <c r="B98" s="261" t="n">
        <v>297531</v>
      </c>
      <c r="C98" s="262" t="n">
        <v>130208</v>
      </c>
      <c r="D98" s="262" t="n">
        <v>8017.3</v>
      </c>
      <c r="E98" s="263" t="n">
        <v>159305.7</v>
      </c>
      <c r="F98" s="261" t="n">
        <v>299181</v>
      </c>
      <c r="G98" s="262" t="n">
        <v>146744.1</v>
      </c>
      <c r="H98" s="262" t="n">
        <v>9167</v>
      </c>
      <c r="I98" s="263" t="n">
        <v>143269.9</v>
      </c>
      <c r="J98" s="261" t="n">
        <v>334164.4</v>
      </c>
      <c r="K98" s="262" t="n">
        <v>166423</v>
      </c>
      <c r="L98" s="262" t="n">
        <v>11002.8</v>
      </c>
      <c r="M98" s="263" t="n">
        <v>156738.6</v>
      </c>
      <c r="N98" s="261" t="n">
        <v>395617.2</v>
      </c>
      <c r="O98" s="262" t="n">
        <v>195239.2</v>
      </c>
      <c r="P98" s="262" t="n">
        <v>10225.6</v>
      </c>
      <c r="Q98" s="263" t="n">
        <v>190152.4</v>
      </c>
      <c r="R98" s="261" t="n">
        <v>449317.5</v>
      </c>
      <c r="S98" s="262" t="n">
        <v>223683</v>
      </c>
      <c r="T98" s="262" t="n">
        <v>15191.9</v>
      </c>
      <c r="U98" s="263" t="n">
        <v>210442.6</v>
      </c>
      <c r="V98" s="261" t="n">
        <v>548269.8</v>
      </c>
      <c r="W98" s="262" t="n">
        <v>271921.4</v>
      </c>
      <c r="X98" s="262" t="n">
        <v>13929.9</v>
      </c>
      <c r="Y98" s="263" t="n">
        <v>262418.5</v>
      </c>
      <c r="Z98" s="261" t="n">
        <v>603562.5</v>
      </c>
      <c r="AA98" s="262" t="n">
        <v>300795.3</v>
      </c>
      <c r="AB98" s="262" t="n">
        <v>11208.7</v>
      </c>
      <c r="AC98" s="263" t="n">
        <v>291558.5</v>
      </c>
      <c r="AD98" s="261" t="n">
        <v>793851.9</v>
      </c>
      <c r="AE98" s="262" t="n">
        <v>336319.4</v>
      </c>
      <c r="AF98" s="262" t="n">
        <v>11393.2</v>
      </c>
      <c r="AG98" s="263" t="n">
        <v>446139.3</v>
      </c>
      <c r="AI98" s="369" t="n"/>
      <c r="AJ98" s="369" t="n"/>
      <c r="AK98" s="369" t="n"/>
      <c r="AL98" s="369" t="n"/>
      <c r="AM98" s="369" t="n"/>
      <c r="AN98" s="369" t="n"/>
      <c r="AO98" s="369" t="n"/>
      <c r="AP98" s="369" t="n"/>
      <c r="AQ98" s="369" t="n"/>
      <c r="AR98" s="369" t="n"/>
      <c r="AS98" s="369" t="n"/>
      <c r="AT98" s="369" t="n"/>
      <c r="AU98" s="369" t="n"/>
    </row>
    <row r="99" ht="15" customHeight="1" s="226">
      <c r="A99" s="323" t="inlineStr">
        <is>
          <t xml:space="preserve"> Магаданская область</t>
        </is>
      </c>
      <c r="B99" s="261" t="n">
        <v>153879.8</v>
      </c>
      <c r="C99" s="262" t="n">
        <v>88659.89999999999</v>
      </c>
      <c r="D99" s="262" t="n">
        <v>2126.8</v>
      </c>
      <c r="E99" s="263" t="n">
        <v>63093.1</v>
      </c>
      <c r="F99" s="261" t="n">
        <v>161851.2</v>
      </c>
      <c r="G99" s="262" t="n">
        <v>88072.10000000001</v>
      </c>
      <c r="H99" s="262" t="n">
        <v>4770.6</v>
      </c>
      <c r="I99" s="263" t="n">
        <v>69008.5</v>
      </c>
      <c r="J99" s="261" t="n">
        <v>176370.6</v>
      </c>
      <c r="K99" s="262" t="n">
        <v>96324.3</v>
      </c>
      <c r="L99" s="262" t="n">
        <v>2691.4</v>
      </c>
      <c r="M99" s="263" t="n">
        <v>77354.89999999999</v>
      </c>
      <c r="N99" s="261" t="n">
        <v>214414.9</v>
      </c>
      <c r="O99" s="262" t="n">
        <v>103014.9</v>
      </c>
      <c r="P99" s="262" t="n">
        <v>2824.8</v>
      </c>
      <c r="Q99" s="263" t="n">
        <v>108575.2</v>
      </c>
      <c r="R99" s="261" t="n">
        <v>285146</v>
      </c>
      <c r="S99" s="262" t="n">
        <v>112533.4</v>
      </c>
      <c r="T99" s="262" t="n">
        <v>3073.3</v>
      </c>
      <c r="U99" s="263" t="n">
        <v>169539.3</v>
      </c>
      <c r="V99" s="261" t="n">
        <v>320159.6</v>
      </c>
      <c r="W99" s="262" t="n">
        <v>132881</v>
      </c>
      <c r="X99" s="262" t="n">
        <v>3372</v>
      </c>
      <c r="Y99" s="263" t="n">
        <v>183906.6</v>
      </c>
      <c r="Z99" s="261" t="n">
        <v>315361.1</v>
      </c>
      <c r="AA99" s="262" t="n">
        <v>140491.6</v>
      </c>
      <c r="AB99" s="262" t="n">
        <v>3632.6</v>
      </c>
      <c r="AC99" s="263" t="n">
        <v>171236.9</v>
      </c>
      <c r="AD99" s="261" t="n">
        <v>403892.8</v>
      </c>
      <c r="AE99" s="262" t="n">
        <v>150252.1</v>
      </c>
      <c r="AF99" s="262" t="n">
        <v>3844.8</v>
      </c>
      <c r="AG99" s="263" t="n">
        <v>249795.9</v>
      </c>
      <c r="AI99" s="369" t="n"/>
      <c r="AJ99" s="369" t="n"/>
      <c r="AK99" s="369" t="n"/>
      <c r="AL99" s="369" t="n"/>
      <c r="AM99" s="369" t="n"/>
      <c r="AN99" s="369" t="n"/>
      <c r="AO99" s="369" t="n"/>
      <c r="AP99" s="369" t="n"/>
      <c r="AQ99" s="369" t="n"/>
      <c r="AR99" s="369" t="n"/>
      <c r="AS99" s="369" t="n"/>
      <c r="AT99" s="369" t="n"/>
      <c r="AU99" s="369" t="n"/>
    </row>
    <row r="100" ht="15" customHeight="1" s="226">
      <c r="A100" s="323" t="inlineStr">
        <is>
          <t xml:space="preserve"> Сахалинская область</t>
        </is>
      </c>
      <c r="B100" s="261" t="n">
        <v>762510.3</v>
      </c>
      <c r="C100" s="262" t="n">
        <v>207896.6</v>
      </c>
      <c r="D100" s="262" t="n">
        <v>8987.5</v>
      </c>
      <c r="E100" s="263" t="n">
        <v>545626.2</v>
      </c>
      <c r="F100" s="261" t="n">
        <v>784503.4</v>
      </c>
      <c r="G100" s="262" t="n">
        <v>211749.2</v>
      </c>
      <c r="H100" s="262" t="n">
        <v>16663.3</v>
      </c>
      <c r="I100" s="263" t="n">
        <v>556090.9</v>
      </c>
      <c r="J100" s="261" t="n">
        <v>1233164.7</v>
      </c>
      <c r="K100" s="262" t="n">
        <v>243248.7</v>
      </c>
      <c r="L100" s="262" t="n">
        <v>8289.200000000001</v>
      </c>
      <c r="M100" s="263" t="n">
        <v>981626.8</v>
      </c>
      <c r="N100" s="261" t="n">
        <v>1172226.1</v>
      </c>
      <c r="O100" s="262" t="n">
        <v>271923.3</v>
      </c>
      <c r="P100" s="262" t="n">
        <v>7987.3</v>
      </c>
      <c r="Q100" s="263" t="n">
        <v>892315.5</v>
      </c>
      <c r="R100" s="261" t="n">
        <v>1001689.4</v>
      </c>
      <c r="S100" s="262" t="n">
        <v>288239.8</v>
      </c>
      <c r="T100" s="262" t="n">
        <v>7943.8</v>
      </c>
      <c r="U100" s="263" t="n">
        <v>705505.8</v>
      </c>
      <c r="V100" s="261" t="n">
        <v>1237949.8</v>
      </c>
      <c r="W100" s="262" t="n">
        <v>314254.9</v>
      </c>
      <c r="X100" s="262" t="n">
        <v>8049.9</v>
      </c>
      <c r="Y100" s="263" t="n">
        <v>915645</v>
      </c>
      <c r="Z100" s="261" t="n">
        <v>1672496.2</v>
      </c>
      <c r="AA100" s="262" t="n">
        <v>339355.2</v>
      </c>
      <c r="AB100" s="262" t="n">
        <v>8841.1</v>
      </c>
      <c r="AC100" s="263" t="n">
        <v>1324299.9</v>
      </c>
      <c r="AD100" s="261" t="n">
        <v>1624560.7</v>
      </c>
      <c r="AE100" s="262" t="n">
        <v>363217.9</v>
      </c>
      <c r="AF100" s="262" t="n">
        <v>9745.299999999999</v>
      </c>
      <c r="AG100" s="263" t="n">
        <v>1251597.5</v>
      </c>
      <c r="AI100" s="369" t="n"/>
      <c r="AJ100" s="369" t="n"/>
      <c r="AK100" s="369" t="n"/>
      <c r="AL100" s="369" t="n"/>
      <c r="AM100" s="369" t="n"/>
      <c r="AN100" s="369" t="n"/>
      <c r="AO100" s="369" t="n"/>
      <c r="AP100" s="369" t="n"/>
      <c r="AQ100" s="369" t="n"/>
      <c r="AR100" s="369" t="n"/>
      <c r="AS100" s="369" t="n"/>
      <c r="AT100" s="369" t="n"/>
      <c r="AU100" s="369" t="n"/>
    </row>
    <row r="101" ht="15" customHeight="1" s="226">
      <c r="A101" s="323" t="inlineStr">
        <is>
          <t xml:space="preserve"> Еврейская автономная область</t>
        </is>
      </c>
      <c r="B101" s="261" t="n">
        <v>48563.2</v>
      </c>
      <c r="C101" s="262" t="n">
        <v>20971</v>
      </c>
      <c r="D101" s="262" t="n">
        <v>1118.3</v>
      </c>
      <c r="E101" s="263" t="n">
        <v>26473.9</v>
      </c>
      <c r="F101" s="261" t="n">
        <v>55268</v>
      </c>
      <c r="G101" s="262" t="n">
        <v>21973.1</v>
      </c>
      <c r="H101" s="262" t="n">
        <v>1550.2</v>
      </c>
      <c r="I101" s="263" t="n">
        <v>31744.7</v>
      </c>
      <c r="J101" s="261" t="n">
        <v>54577.8</v>
      </c>
      <c r="K101" s="262" t="n">
        <v>24219.7</v>
      </c>
      <c r="L101" s="262" t="n">
        <v>1652.2</v>
      </c>
      <c r="M101" s="263" t="n">
        <v>28705.9</v>
      </c>
      <c r="N101" s="261" t="n">
        <v>56847.6</v>
      </c>
      <c r="O101" s="262" t="n">
        <v>25654.7</v>
      </c>
      <c r="P101" s="262" t="n">
        <v>1662.8</v>
      </c>
      <c r="Q101" s="263" t="n">
        <v>29530.1</v>
      </c>
      <c r="R101" s="261" t="n">
        <v>63177.1</v>
      </c>
      <c r="S101" s="262" t="n">
        <v>27806.1</v>
      </c>
      <c r="T101" s="262" t="n">
        <v>1841.2</v>
      </c>
      <c r="U101" s="263" t="n">
        <v>33529.8</v>
      </c>
      <c r="V101" s="261" t="n">
        <v>79156.89999999999</v>
      </c>
      <c r="W101" s="262" t="n">
        <v>30268.7</v>
      </c>
      <c r="X101" s="262" t="n">
        <v>1902.6</v>
      </c>
      <c r="Y101" s="263" t="n">
        <v>46985.6</v>
      </c>
      <c r="Z101" s="261" t="n">
        <v>81120.5</v>
      </c>
      <c r="AA101" s="262" t="n">
        <v>34447.8</v>
      </c>
      <c r="AB101" s="262" t="n">
        <v>1823</v>
      </c>
      <c r="AC101" s="263" t="n">
        <v>44849.7</v>
      </c>
      <c r="AD101" s="261" t="n">
        <v>102215.3</v>
      </c>
      <c r="AE101" s="262" t="n">
        <v>39238.7</v>
      </c>
      <c r="AF101" s="262" t="n">
        <v>2255</v>
      </c>
      <c r="AG101" s="263" t="n">
        <v>60721.6</v>
      </c>
      <c r="AI101" s="369" t="n"/>
      <c r="AJ101" s="369" t="n"/>
      <c r="AK101" s="369" t="n"/>
      <c r="AL101" s="369" t="n"/>
      <c r="AM101" s="369" t="n"/>
      <c r="AN101" s="369" t="n"/>
      <c r="AO101" s="369" t="n"/>
      <c r="AP101" s="369" t="n"/>
      <c r="AQ101" s="369" t="n"/>
      <c r="AR101" s="369" t="n"/>
      <c r="AS101" s="369" t="n"/>
      <c r="AT101" s="369" t="n"/>
      <c r="AU101" s="369" t="n"/>
    </row>
    <row r="102" ht="15" customHeight="1" s="226">
      <c r="A102" s="323" t="inlineStr">
        <is>
          <t xml:space="preserve"> Чукотский автономный округ</t>
        </is>
      </c>
      <c r="B102" s="264" t="n">
        <v>72174.10000000001</v>
      </c>
      <c r="C102" s="265" t="n">
        <v>37983.8</v>
      </c>
      <c r="D102" s="265" t="n">
        <v>1264.9</v>
      </c>
      <c r="E102" s="266" t="n">
        <v>32925.4</v>
      </c>
      <c r="F102" s="264" t="n">
        <v>72873.8</v>
      </c>
      <c r="G102" s="265" t="n">
        <v>42053.9</v>
      </c>
      <c r="H102" s="265" t="n">
        <v>1207.3</v>
      </c>
      <c r="I102" s="266" t="n">
        <v>29612.6</v>
      </c>
      <c r="J102" s="264" t="n">
        <v>83422.60000000001</v>
      </c>
      <c r="K102" s="265" t="n">
        <v>45869.5</v>
      </c>
      <c r="L102" s="265" t="n">
        <v>1259</v>
      </c>
      <c r="M102" s="266" t="n">
        <v>36294.1</v>
      </c>
      <c r="N102" s="264" t="n">
        <v>94995</v>
      </c>
      <c r="O102" s="265" t="n">
        <v>49618.1</v>
      </c>
      <c r="P102" s="265" t="n">
        <v>1285.7</v>
      </c>
      <c r="Q102" s="266" t="n">
        <v>44091.2</v>
      </c>
      <c r="R102" s="264" t="n">
        <v>119949.4</v>
      </c>
      <c r="S102" s="265" t="n">
        <v>57309.8</v>
      </c>
      <c r="T102" s="265" t="n">
        <v>1121.6</v>
      </c>
      <c r="U102" s="266" t="n">
        <v>61518</v>
      </c>
      <c r="V102" s="264" t="n">
        <v>140026.3</v>
      </c>
      <c r="W102" s="265" t="n">
        <v>64760.2</v>
      </c>
      <c r="X102" s="265" t="n">
        <v>1630.2</v>
      </c>
      <c r="Y102" s="266" t="n">
        <v>73635.89999999999</v>
      </c>
      <c r="Z102" s="264" t="n">
        <v>145059.8</v>
      </c>
      <c r="AA102" s="265" t="n">
        <v>74540.39999999999</v>
      </c>
      <c r="AB102" s="265" t="n">
        <v>1719.9</v>
      </c>
      <c r="AC102" s="266" t="n">
        <v>68799.5</v>
      </c>
      <c r="AD102" s="264" t="n">
        <v>186709.4</v>
      </c>
      <c r="AE102" s="265" t="n">
        <v>86615.10000000001</v>
      </c>
      <c r="AF102" s="265" t="n">
        <v>1453.5</v>
      </c>
      <c r="AG102" s="266" t="n">
        <v>98640.8</v>
      </c>
      <c r="AI102" s="369" t="n"/>
      <c r="AJ102" s="369" t="n"/>
      <c r="AK102" s="369" t="n"/>
      <c r="AL102" s="369" t="n"/>
      <c r="AM102" s="369" t="n"/>
      <c r="AN102" s="369" t="n"/>
      <c r="AO102" s="369" t="n"/>
      <c r="AP102" s="369" t="n"/>
      <c r="AQ102" s="369" t="n"/>
      <c r="AR102" s="369" t="n"/>
      <c r="AS102" s="369" t="n"/>
      <c r="AT102" s="369" t="n"/>
      <c r="AU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  <c r="I103" s="365" t="n"/>
      <c r="J103" s="365" t="n"/>
      <c r="K103" s="365" t="n"/>
      <c r="L103" s="365" t="n"/>
      <c r="M103" s="365" t="n"/>
      <c r="N103" s="365" t="n"/>
      <c r="O103" s="365" t="n"/>
      <c r="P103" s="365" t="n"/>
      <c r="Q103" s="365" t="n"/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5" t="n"/>
      <c r="AA103" s="365" t="n"/>
      <c r="AB103" s="365" t="n"/>
      <c r="AC103" s="365" t="n"/>
    </row>
    <row r="104" ht="15" customHeight="1" s="226">
      <c r="A104" s="357" t="inlineStr">
        <is>
      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4" s="357" t="n"/>
      <c r="P104" s="357" t="n"/>
      <c r="Q104" s="357" t="n"/>
      <c r="R104" s="357" t="n"/>
      <c r="S104" s="357" t="n"/>
      <c r="T104" s="357" t="n"/>
      <c r="U104" s="357" t="n"/>
      <c r="V104" s="357" t="n"/>
      <c r="W104" s="357" t="n"/>
      <c r="X104" s="359" t="n"/>
      <c r="Y104" s="359" t="n"/>
      <c r="Z104" s="359" t="n"/>
      <c r="AA104" s="359" t="n"/>
      <c r="AB104" s="359" t="n"/>
      <c r="AC104" s="359" t="n"/>
    </row>
    <row r="105" ht="12.75" customHeight="1" s="226">
      <c r="X105" s="359" t="n"/>
      <c r="Y105" s="359" t="n"/>
      <c r="Z105" s="359" t="n"/>
      <c r="AA105" s="359" t="n"/>
      <c r="AB105" s="359" t="n"/>
      <c r="AC105" s="359" t="n"/>
    </row>
    <row r="106" ht="12.75" customHeight="1" s="226">
      <c r="B106" s="369" t="n"/>
      <c r="C106" s="369" t="n"/>
      <c r="D106" s="369" t="n"/>
      <c r="E106" s="369" t="n"/>
      <c r="F106" s="369" t="n"/>
      <c r="G106" s="369" t="n"/>
      <c r="H106" s="369" t="n"/>
      <c r="I106" s="369" t="n"/>
      <c r="J106" s="369" t="n"/>
      <c r="K106" s="369" t="n"/>
      <c r="L106" s="369" t="n"/>
      <c r="M106" s="369" t="n"/>
      <c r="N106" s="369" t="n"/>
      <c r="O106" s="369" t="n"/>
      <c r="P106" s="369" t="n"/>
      <c r="Q106" s="369" t="n"/>
      <c r="R106" s="369" t="n"/>
      <c r="S106" s="369" t="n"/>
      <c r="T106" s="369" t="n"/>
      <c r="U106" s="369" t="n"/>
      <c r="V106" s="369" t="n"/>
      <c r="W106" s="369" t="n"/>
      <c r="X106" s="369" t="n"/>
      <c r="Y106" s="369" t="n"/>
      <c r="Z106" s="369" t="n"/>
      <c r="AA106" s="369" t="n"/>
      <c r="AB106" s="369" t="n"/>
      <c r="AC106" s="369" t="n"/>
      <c r="AD106" s="369" t="n"/>
      <c r="AE106" s="369" t="n"/>
      <c r="AF106" s="369" t="n"/>
      <c r="AG106" s="369" t="n"/>
    </row>
    <row r="107" ht="12.75" customHeight="1" s="226">
      <c r="B107" s="369" t="n"/>
      <c r="C107" s="369" t="n"/>
      <c r="D107" s="369" t="n"/>
      <c r="E107" s="369" t="n"/>
      <c r="F107" s="369" t="n"/>
      <c r="G107" s="369" t="n"/>
      <c r="H107" s="369" t="n"/>
      <c r="I107" s="369" t="n"/>
      <c r="J107" s="369" t="n"/>
      <c r="K107" s="369" t="n"/>
      <c r="L107" s="369" t="n"/>
      <c r="M107" s="369" t="n"/>
      <c r="N107" s="369" t="n"/>
      <c r="O107" s="369" t="n"/>
      <c r="P107" s="369" t="n"/>
      <c r="Q107" s="369" t="n"/>
      <c r="R107" s="369" t="n"/>
      <c r="S107" s="369" t="n"/>
      <c r="T107" s="369" t="n"/>
      <c r="U107" s="369" t="n"/>
      <c r="V107" s="369" t="n"/>
      <c r="W107" s="369" t="n"/>
      <c r="X107" s="369" t="n"/>
      <c r="Y107" s="369" t="n"/>
      <c r="Z107" s="369" t="n"/>
      <c r="AA107" s="369" t="n"/>
      <c r="AB107" s="369" t="n"/>
      <c r="AC107" s="369" t="n"/>
      <c r="AD107" s="369" t="n"/>
      <c r="AE107" s="369" t="n"/>
      <c r="AF107" s="369" t="n"/>
      <c r="AG107" s="369" t="n"/>
    </row>
  </sheetData>
  <mergeCells count="11">
    <mergeCell ref="AD5:AG5"/>
    <mergeCell ref="N5:Q5"/>
    <mergeCell ref="R5:U5"/>
    <mergeCell ref="A4:AG4"/>
    <mergeCell ref="A104:N104"/>
    <mergeCell ref="A1:B2"/>
    <mergeCell ref="B5:E5"/>
    <mergeCell ref="F5:I5"/>
    <mergeCell ref="J5:M5"/>
    <mergeCell ref="V5:Y5"/>
    <mergeCell ref="Z5:AC5"/>
  </mergeCells>
  <conditionalFormatting sqref="A95 A104 B104:W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V10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6" topLeftCell="Z7" activePane="bottomRight" state="frozen"/>
      <selection pane="topLeft" activeCell="A1" activeCellId="0" sqref="A1"/>
      <selection pane="topRight" activeCell="Z1" activeCellId="0" sqref="Z1"/>
      <selection pane="bottomLeft" activeCell="A7" activeCellId="0" sqref="A7"/>
      <selection pane="bottomRight" activeCell="AA9" activeCellId="0" sqref="AA9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33"/>
    <col width="9.140000000000001" customWidth="1" style="359" min="34" max="280"/>
    <col width="41.15" customWidth="1" style="359" min="281" max="281"/>
    <col width="9.289999999999999" customWidth="1" style="359" min="282" max="286"/>
    <col width="12.15" customWidth="1" style="359" min="287" max="288"/>
    <col width="10.85" customWidth="1" style="359" min="289" max="289"/>
    <col width="9.140000000000001" customWidth="1" style="359" min="290" max="536"/>
    <col width="41.15" customWidth="1" style="359" min="537" max="537"/>
    <col width="9.289999999999999" customWidth="1" style="359" min="538" max="542"/>
    <col width="12.15" customWidth="1" style="359" min="543" max="544"/>
    <col width="10.85" customWidth="1" style="359" min="545" max="545"/>
    <col width="9.140000000000001" customWidth="1" style="359" min="546" max="792"/>
    <col width="41.15" customWidth="1" style="359" min="793" max="793"/>
    <col width="9.289999999999999" customWidth="1" style="359" min="794" max="798"/>
    <col width="12.15" customWidth="1" style="359" min="799" max="800"/>
    <col width="10.85" customWidth="1" style="359" min="801" max="801"/>
    <col width="9.140000000000001" customWidth="1" style="359" min="802" max="1048"/>
    <col width="41.15" customWidth="1" style="359" min="1049" max="1049"/>
    <col width="9.289999999999999" customWidth="1" style="359" min="1050" max="1054"/>
    <col width="12.15" customWidth="1" style="359" min="1055" max="1056"/>
    <col width="10.85" customWidth="1" style="359" min="1057" max="1057"/>
    <col width="9.140000000000001" customWidth="1" style="359" min="1058" max="1304"/>
    <col width="41.15" customWidth="1" style="359" min="1305" max="1305"/>
    <col width="9.289999999999999" customWidth="1" style="359" min="1306" max="1310"/>
    <col width="12.15" customWidth="1" style="359" min="1311" max="1312"/>
    <col width="10.85" customWidth="1" style="359" min="1313" max="1313"/>
    <col width="9.140000000000001" customWidth="1" style="359" min="1314" max="1560"/>
    <col width="41.15" customWidth="1" style="359" min="1561" max="1561"/>
    <col width="9.289999999999999" customWidth="1" style="359" min="1562" max="1566"/>
    <col width="12.15" customWidth="1" style="359" min="1567" max="1568"/>
    <col width="10.85" customWidth="1" style="359" min="1569" max="1569"/>
    <col width="9.140000000000001" customWidth="1" style="359" min="1570" max="1816"/>
    <col width="41.15" customWidth="1" style="359" min="1817" max="1817"/>
    <col width="9.289999999999999" customWidth="1" style="359" min="1818" max="1822"/>
    <col width="12.15" customWidth="1" style="359" min="1823" max="1824"/>
    <col width="10.85" customWidth="1" style="359" min="1825" max="1825"/>
    <col width="9.140000000000001" customWidth="1" style="359" min="1826" max="2072"/>
    <col width="41.15" customWidth="1" style="359" min="2073" max="2073"/>
    <col width="9.289999999999999" customWidth="1" style="359" min="2074" max="2078"/>
    <col width="12.15" customWidth="1" style="359" min="2079" max="2080"/>
    <col width="10.85" customWidth="1" style="359" min="2081" max="2081"/>
    <col width="9.140000000000001" customWidth="1" style="359" min="2082" max="2328"/>
    <col width="41.15" customWidth="1" style="359" min="2329" max="2329"/>
    <col width="9.289999999999999" customWidth="1" style="359" min="2330" max="2334"/>
    <col width="12.15" customWidth="1" style="359" min="2335" max="2336"/>
    <col width="10.85" customWidth="1" style="359" min="2337" max="2337"/>
    <col width="9.140000000000001" customWidth="1" style="359" min="2338" max="2584"/>
    <col width="41.15" customWidth="1" style="359" min="2585" max="2585"/>
    <col width="9.289999999999999" customWidth="1" style="359" min="2586" max="2590"/>
    <col width="12.15" customWidth="1" style="359" min="2591" max="2592"/>
    <col width="10.85" customWidth="1" style="359" min="2593" max="2593"/>
    <col width="9.140000000000001" customWidth="1" style="359" min="2594" max="2840"/>
    <col width="41.15" customWidth="1" style="359" min="2841" max="2841"/>
    <col width="9.289999999999999" customWidth="1" style="359" min="2842" max="2846"/>
    <col width="12.15" customWidth="1" style="359" min="2847" max="2848"/>
    <col width="10.85" customWidth="1" style="359" min="2849" max="2849"/>
    <col width="9.140000000000001" customWidth="1" style="359" min="2850" max="3096"/>
    <col width="41.15" customWidth="1" style="359" min="3097" max="3097"/>
    <col width="9.289999999999999" customWidth="1" style="359" min="3098" max="3102"/>
    <col width="12.15" customWidth="1" style="359" min="3103" max="3104"/>
    <col width="10.85" customWidth="1" style="359" min="3105" max="3105"/>
    <col width="9.140000000000001" customWidth="1" style="359" min="3106" max="3352"/>
    <col width="41.15" customWidth="1" style="359" min="3353" max="3353"/>
    <col width="9.289999999999999" customWidth="1" style="359" min="3354" max="3358"/>
    <col width="12.15" customWidth="1" style="359" min="3359" max="3360"/>
    <col width="10.85" customWidth="1" style="359" min="3361" max="3361"/>
    <col width="9.140000000000001" customWidth="1" style="359" min="3362" max="3608"/>
    <col width="41.15" customWidth="1" style="359" min="3609" max="3609"/>
    <col width="9.289999999999999" customWidth="1" style="359" min="3610" max="3614"/>
    <col width="12.15" customWidth="1" style="359" min="3615" max="3616"/>
    <col width="10.85" customWidth="1" style="359" min="3617" max="3617"/>
    <col width="9.140000000000001" customWidth="1" style="359" min="3618" max="3864"/>
    <col width="41.15" customWidth="1" style="359" min="3865" max="3865"/>
    <col width="9.289999999999999" customWidth="1" style="359" min="3866" max="3870"/>
    <col width="12.15" customWidth="1" style="359" min="3871" max="3872"/>
    <col width="10.85" customWidth="1" style="359" min="3873" max="3873"/>
    <col width="9.140000000000001" customWidth="1" style="359" min="3874" max="4120"/>
    <col width="41.15" customWidth="1" style="359" min="4121" max="4121"/>
    <col width="9.289999999999999" customWidth="1" style="359" min="4122" max="4126"/>
    <col width="12.15" customWidth="1" style="359" min="4127" max="4128"/>
    <col width="10.85" customWidth="1" style="359" min="4129" max="4129"/>
    <col width="9.140000000000001" customWidth="1" style="359" min="4130" max="4376"/>
    <col width="41.15" customWidth="1" style="359" min="4377" max="4377"/>
    <col width="9.289999999999999" customWidth="1" style="359" min="4378" max="4382"/>
    <col width="12.15" customWidth="1" style="359" min="4383" max="4384"/>
    <col width="10.85" customWidth="1" style="359" min="4385" max="4385"/>
    <col width="9.140000000000001" customWidth="1" style="359" min="4386" max="4632"/>
    <col width="41.15" customWidth="1" style="359" min="4633" max="4633"/>
    <col width="9.289999999999999" customWidth="1" style="359" min="4634" max="4638"/>
    <col width="12.15" customWidth="1" style="359" min="4639" max="4640"/>
    <col width="10.85" customWidth="1" style="359" min="4641" max="4641"/>
    <col width="9.140000000000001" customWidth="1" style="359" min="4642" max="4888"/>
    <col width="41.15" customWidth="1" style="359" min="4889" max="4889"/>
    <col width="9.289999999999999" customWidth="1" style="359" min="4890" max="4894"/>
    <col width="12.15" customWidth="1" style="359" min="4895" max="4896"/>
    <col width="10.85" customWidth="1" style="359" min="4897" max="4897"/>
    <col width="9.140000000000001" customWidth="1" style="359" min="4898" max="5144"/>
    <col width="41.15" customWidth="1" style="359" min="5145" max="5145"/>
    <col width="9.289999999999999" customWidth="1" style="359" min="5146" max="5150"/>
    <col width="12.15" customWidth="1" style="359" min="5151" max="5152"/>
    <col width="10.85" customWidth="1" style="359" min="5153" max="5153"/>
    <col width="9.140000000000001" customWidth="1" style="359" min="5154" max="5400"/>
    <col width="41.15" customWidth="1" style="359" min="5401" max="5401"/>
    <col width="9.289999999999999" customWidth="1" style="359" min="5402" max="5406"/>
    <col width="12.15" customWidth="1" style="359" min="5407" max="5408"/>
    <col width="10.85" customWidth="1" style="359" min="5409" max="5409"/>
    <col width="9.140000000000001" customWidth="1" style="359" min="5410" max="5656"/>
    <col width="41.15" customWidth="1" style="359" min="5657" max="5657"/>
    <col width="9.289999999999999" customWidth="1" style="359" min="5658" max="5662"/>
    <col width="12.15" customWidth="1" style="359" min="5663" max="5664"/>
    <col width="10.85" customWidth="1" style="359" min="5665" max="5665"/>
    <col width="9.140000000000001" customWidth="1" style="359" min="5666" max="5912"/>
    <col width="41.15" customWidth="1" style="359" min="5913" max="5913"/>
    <col width="9.289999999999999" customWidth="1" style="359" min="5914" max="5918"/>
    <col width="12.15" customWidth="1" style="359" min="5919" max="5920"/>
    <col width="10.85" customWidth="1" style="359" min="5921" max="5921"/>
    <col width="9.140000000000001" customWidth="1" style="359" min="5922" max="6168"/>
    <col width="41.15" customWidth="1" style="359" min="6169" max="6169"/>
    <col width="9.289999999999999" customWidth="1" style="359" min="6170" max="6174"/>
    <col width="12.15" customWidth="1" style="359" min="6175" max="6176"/>
    <col width="10.85" customWidth="1" style="359" min="6177" max="6177"/>
    <col width="9.140000000000001" customWidth="1" style="359" min="6178" max="6424"/>
    <col width="41.15" customWidth="1" style="359" min="6425" max="6425"/>
    <col width="9.289999999999999" customWidth="1" style="359" min="6426" max="6430"/>
    <col width="12.15" customWidth="1" style="359" min="6431" max="6432"/>
    <col width="10.85" customWidth="1" style="359" min="6433" max="6433"/>
    <col width="9.140000000000001" customWidth="1" style="359" min="6434" max="6680"/>
    <col width="41.15" customWidth="1" style="359" min="6681" max="6681"/>
    <col width="9.289999999999999" customWidth="1" style="359" min="6682" max="6686"/>
    <col width="12.15" customWidth="1" style="359" min="6687" max="6688"/>
    <col width="10.85" customWidth="1" style="359" min="6689" max="6689"/>
    <col width="9.140000000000001" customWidth="1" style="359" min="6690" max="6936"/>
    <col width="41.15" customWidth="1" style="359" min="6937" max="6937"/>
    <col width="9.289999999999999" customWidth="1" style="359" min="6938" max="6942"/>
    <col width="12.15" customWidth="1" style="359" min="6943" max="6944"/>
    <col width="10.85" customWidth="1" style="359" min="6945" max="6945"/>
    <col width="9.140000000000001" customWidth="1" style="359" min="6946" max="7192"/>
    <col width="41.15" customWidth="1" style="359" min="7193" max="7193"/>
    <col width="9.289999999999999" customWidth="1" style="359" min="7194" max="7198"/>
    <col width="12.15" customWidth="1" style="359" min="7199" max="7200"/>
    <col width="10.85" customWidth="1" style="359" min="7201" max="7201"/>
    <col width="9.140000000000001" customWidth="1" style="359" min="7202" max="7448"/>
    <col width="41.15" customWidth="1" style="359" min="7449" max="7449"/>
    <col width="9.289999999999999" customWidth="1" style="359" min="7450" max="7454"/>
    <col width="12.15" customWidth="1" style="359" min="7455" max="7456"/>
    <col width="10.85" customWidth="1" style="359" min="7457" max="7457"/>
    <col width="9.140000000000001" customWidth="1" style="359" min="7458" max="7704"/>
    <col width="41.15" customWidth="1" style="359" min="7705" max="7705"/>
    <col width="9.289999999999999" customWidth="1" style="359" min="7706" max="7710"/>
    <col width="12.15" customWidth="1" style="359" min="7711" max="7712"/>
    <col width="10.85" customWidth="1" style="359" min="7713" max="7713"/>
    <col width="9.140000000000001" customWidth="1" style="359" min="7714" max="7960"/>
    <col width="41.15" customWidth="1" style="359" min="7961" max="7961"/>
    <col width="9.289999999999999" customWidth="1" style="359" min="7962" max="7966"/>
    <col width="12.15" customWidth="1" style="359" min="7967" max="7968"/>
    <col width="10.85" customWidth="1" style="359" min="7969" max="7969"/>
    <col width="9.140000000000001" customWidth="1" style="359" min="7970" max="8216"/>
    <col width="41.15" customWidth="1" style="359" min="8217" max="8217"/>
    <col width="9.289999999999999" customWidth="1" style="359" min="8218" max="8222"/>
    <col width="12.15" customWidth="1" style="359" min="8223" max="8224"/>
    <col width="10.85" customWidth="1" style="359" min="8225" max="8225"/>
    <col width="9.140000000000001" customWidth="1" style="359" min="8226" max="8472"/>
    <col width="41.15" customWidth="1" style="359" min="8473" max="8473"/>
    <col width="9.289999999999999" customWidth="1" style="359" min="8474" max="8478"/>
    <col width="12.15" customWidth="1" style="359" min="8479" max="8480"/>
    <col width="10.85" customWidth="1" style="359" min="8481" max="8481"/>
    <col width="9.140000000000001" customWidth="1" style="359" min="8482" max="8728"/>
    <col width="41.15" customWidth="1" style="359" min="8729" max="8729"/>
    <col width="9.289999999999999" customWidth="1" style="359" min="8730" max="8734"/>
    <col width="12.15" customWidth="1" style="359" min="8735" max="8736"/>
    <col width="10.85" customWidth="1" style="359" min="8737" max="8737"/>
    <col width="9.140000000000001" customWidth="1" style="359" min="8738" max="8984"/>
    <col width="41.15" customWidth="1" style="359" min="8985" max="8985"/>
    <col width="9.289999999999999" customWidth="1" style="359" min="8986" max="8990"/>
    <col width="12.15" customWidth="1" style="359" min="8991" max="8992"/>
    <col width="10.85" customWidth="1" style="359" min="8993" max="8993"/>
    <col width="9.140000000000001" customWidth="1" style="359" min="8994" max="9240"/>
    <col width="41.15" customWidth="1" style="359" min="9241" max="9241"/>
    <col width="9.289999999999999" customWidth="1" style="359" min="9242" max="9246"/>
    <col width="12.15" customWidth="1" style="359" min="9247" max="9248"/>
    <col width="10.85" customWidth="1" style="359" min="9249" max="9249"/>
    <col width="9.140000000000001" customWidth="1" style="359" min="9250" max="9496"/>
    <col width="41.15" customWidth="1" style="359" min="9497" max="9497"/>
    <col width="9.289999999999999" customWidth="1" style="359" min="9498" max="9502"/>
    <col width="12.15" customWidth="1" style="359" min="9503" max="9504"/>
    <col width="10.85" customWidth="1" style="359" min="9505" max="9505"/>
    <col width="9.140000000000001" customWidth="1" style="359" min="9506" max="9752"/>
    <col width="41.15" customWidth="1" style="359" min="9753" max="9753"/>
    <col width="9.289999999999999" customWidth="1" style="359" min="9754" max="9758"/>
    <col width="12.15" customWidth="1" style="359" min="9759" max="9760"/>
    <col width="10.85" customWidth="1" style="359" min="9761" max="9761"/>
    <col width="9.140000000000001" customWidth="1" style="359" min="9762" max="10008"/>
    <col width="41.15" customWidth="1" style="359" min="10009" max="10009"/>
    <col width="9.289999999999999" customWidth="1" style="359" min="10010" max="10014"/>
    <col width="12.15" customWidth="1" style="359" min="10015" max="10016"/>
    <col width="10.85" customWidth="1" style="359" min="10017" max="10017"/>
    <col width="9.140000000000001" customWidth="1" style="359" min="10018" max="10264"/>
    <col width="41.15" customWidth="1" style="359" min="10265" max="10265"/>
    <col width="9.289999999999999" customWidth="1" style="359" min="10266" max="10270"/>
    <col width="12.15" customWidth="1" style="359" min="10271" max="10272"/>
    <col width="10.85" customWidth="1" style="359" min="10273" max="10273"/>
    <col width="9.140000000000001" customWidth="1" style="359" min="10274" max="10520"/>
    <col width="41.15" customWidth="1" style="359" min="10521" max="10521"/>
    <col width="9.289999999999999" customWidth="1" style="359" min="10522" max="10526"/>
    <col width="12.15" customWidth="1" style="359" min="10527" max="10528"/>
    <col width="10.85" customWidth="1" style="359" min="10529" max="10529"/>
    <col width="9.140000000000001" customWidth="1" style="359" min="10530" max="10776"/>
    <col width="41.15" customWidth="1" style="359" min="10777" max="10777"/>
    <col width="9.289999999999999" customWidth="1" style="359" min="10778" max="10782"/>
    <col width="12.15" customWidth="1" style="359" min="10783" max="10784"/>
    <col width="10.85" customWidth="1" style="359" min="10785" max="10785"/>
    <col width="9.140000000000001" customWidth="1" style="359" min="10786" max="11032"/>
    <col width="41.15" customWidth="1" style="359" min="11033" max="11033"/>
    <col width="9.289999999999999" customWidth="1" style="359" min="11034" max="11038"/>
    <col width="12.15" customWidth="1" style="359" min="11039" max="11040"/>
    <col width="10.85" customWidth="1" style="359" min="11041" max="11041"/>
    <col width="9.140000000000001" customWidth="1" style="359" min="11042" max="11288"/>
    <col width="41.15" customWidth="1" style="359" min="11289" max="11289"/>
    <col width="9.289999999999999" customWidth="1" style="359" min="11290" max="11294"/>
    <col width="12.15" customWidth="1" style="359" min="11295" max="11296"/>
    <col width="10.85" customWidth="1" style="359" min="11297" max="11297"/>
    <col width="9.140000000000001" customWidth="1" style="359" min="11298" max="11544"/>
    <col width="41.15" customWidth="1" style="359" min="11545" max="11545"/>
    <col width="9.289999999999999" customWidth="1" style="359" min="11546" max="11550"/>
    <col width="12.15" customWidth="1" style="359" min="11551" max="11552"/>
    <col width="10.85" customWidth="1" style="359" min="11553" max="11553"/>
    <col width="9.140000000000001" customWidth="1" style="359" min="11554" max="11800"/>
    <col width="41.15" customWidth="1" style="359" min="11801" max="11801"/>
    <col width="9.289999999999999" customWidth="1" style="359" min="11802" max="11806"/>
    <col width="12.15" customWidth="1" style="359" min="11807" max="11808"/>
    <col width="10.85" customWidth="1" style="359" min="11809" max="11809"/>
    <col width="9.140000000000001" customWidth="1" style="359" min="11810" max="12056"/>
    <col width="41.15" customWidth="1" style="359" min="12057" max="12057"/>
    <col width="9.289999999999999" customWidth="1" style="359" min="12058" max="12062"/>
    <col width="12.15" customWidth="1" style="359" min="12063" max="12064"/>
    <col width="10.85" customWidth="1" style="359" min="12065" max="12065"/>
    <col width="9.140000000000001" customWidth="1" style="359" min="12066" max="12312"/>
    <col width="41.15" customWidth="1" style="359" min="12313" max="12313"/>
    <col width="9.289999999999999" customWidth="1" style="359" min="12314" max="12318"/>
    <col width="12.15" customWidth="1" style="359" min="12319" max="12320"/>
    <col width="10.85" customWidth="1" style="359" min="12321" max="12321"/>
    <col width="9.140000000000001" customWidth="1" style="359" min="12322" max="12568"/>
    <col width="41.15" customWidth="1" style="359" min="12569" max="12569"/>
    <col width="9.289999999999999" customWidth="1" style="359" min="12570" max="12574"/>
    <col width="12.15" customWidth="1" style="359" min="12575" max="12576"/>
    <col width="10.85" customWidth="1" style="359" min="12577" max="12577"/>
    <col width="9.140000000000001" customWidth="1" style="359" min="12578" max="12824"/>
    <col width="41.15" customWidth="1" style="359" min="12825" max="12825"/>
    <col width="9.289999999999999" customWidth="1" style="359" min="12826" max="12830"/>
    <col width="12.15" customWidth="1" style="359" min="12831" max="12832"/>
    <col width="10.85" customWidth="1" style="359" min="12833" max="12833"/>
    <col width="9.140000000000001" customWidth="1" style="359" min="12834" max="13080"/>
    <col width="41.15" customWidth="1" style="359" min="13081" max="13081"/>
    <col width="9.289999999999999" customWidth="1" style="359" min="13082" max="13086"/>
    <col width="12.15" customWidth="1" style="359" min="13087" max="13088"/>
    <col width="10.85" customWidth="1" style="359" min="13089" max="13089"/>
    <col width="9.140000000000001" customWidth="1" style="359" min="13090" max="13336"/>
    <col width="41.15" customWidth="1" style="359" min="13337" max="13337"/>
    <col width="9.289999999999999" customWidth="1" style="359" min="13338" max="13342"/>
    <col width="12.15" customWidth="1" style="359" min="13343" max="13344"/>
    <col width="10.85" customWidth="1" style="359" min="13345" max="13345"/>
    <col width="9.140000000000001" customWidth="1" style="359" min="13346" max="13592"/>
    <col width="41.15" customWidth="1" style="359" min="13593" max="13593"/>
    <col width="9.289999999999999" customWidth="1" style="359" min="13594" max="13598"/>
    <col width="12.15" customWidth="1" style="359" min="13599" max="13600"/>
    <col width="10.85" customWidth="1" style="359" min="13601" max="13601"/>
    <col width="9.140000000000001" customWidth="1" style="359" min="13602" max="13848"/>
    <col width="41.15" customWidth="1" style="359" min="13849" max="13849"/>
    <col width="9.289999999999999" customWidth="1" style="359" min="13850" max="13854"/>
    <col width="12.15" customWidth="1" style="359" min="13855" max="13856"/>
    <col width="10.85" customWidth="1" style="359" min="13857" max="13857"/>
    <col width="9.140000000000001" customWidth="1" style="359" min="13858" max="14104"/>
    <col width="41.15" customWidth="1" style="359" min="14105" max="14105"/>
    <col width="9.289999999999999" customWidth="1" style="359" min="14106" max="14110"/>
    <col width="12.15" customWidth="1" style="359" min="14111" max="14112"/>
    <col width="10.85" customWidth="1" style="359" min="14113" max="14113"/>
    <col width="9.140000000000001" customWidth="1" style="359" min="14114" max="14360"/>
    <col width="41.15" customWidth="1" style="359" min="14361" max="14361"/>
    <col width="9.289999999999999" customWidth="1" style="359" min="14362" max="14366"/>
    <col width="12.15" customWidth="1" style="359" min="14367" max="14368"/>
    <col width="10.85" customWidth="1" style="359" min="14369" max="14369"/>
    <col width="9.140000000000001" customWidth="1" style="359" min="14370" max="14616"/>
    <col width="41.15" customWidth="1" style="359" min="14617" max="14617"/>
    <col width="9.289999999999999" customWidth="1" style="359" min="14618" max="14622"/>
    <col width="12.15" customWidth="1" style="359" min="14623" max="14624"/>
    <col width="10.85" customWidth="1" style="359" min="14625" max="14625"/>
    <col width="9.140000000000001" customWidth="1" style="359" min="14626" max="14872"/>
    <col width="41.15" customWidth="1" style="359" min="14873" max="14873"/>
    <col width="9.289999999999999" customWidth="1" style="359" min="14874" max="14878"/>
    <col width="12.15" customWidth="1" style="359" min="14879" max="14880"/>
    <col width="10.85" customWidth="1" style="359" min="14881" max="14881"/>
    <col width="9.140000000000001" customWidth="1" style="359" min="14882" max="15128"/>
    <col width="41.15" customWidth="1" style="359" min="15129" max="15129"/>
    <col width="9.289999999999999" customWidth="1" style="359" min="15130" max="15134"/>
    <col width="12.15" customWidth="1" style="359" min="15135" max="15136"/>
    <col width="10.85" customWidth="1" style="359" min="15137" max="15137"/>
    <col width="9.140000000000001" customWidth="1" style="359" min="15138" max="15384"/>
    <col width="41.15" customWidth="1" style="359" min="15385" max="15385"/>
    <col width="9.289999999999999" customWidth="1" style="359" min="15386" max="15390"/>
    <col width="12.15" customWidth="1" style="359" min="15391" max="15392"/>
    <col width="10.85" customWidth="1" style="359" min="15393" max="15393"/>
    <col width="9.140000000000001" customWidth="1" style="359" min="15394" max="15640"/>
    <col width="41.15" customWidth="1" style="359" min="15641" max="15641"/>
    <col width="9.289999999999999" customWidth="1" style="359" min="15642" max="15646"/>
    <col width="12.15" customWidth="1" style="359" min="15647" max="15648"/>
    <col width="10.85" customWidth="1" style="359" min="15649" max="15649"/>
    <col width="9.140000000000001" customWidth="1" style="359" min="15650" max="15896"/>
    <col width="41.15" customWidth="1" style="359" min="15897" max="15897"/>
    <col width="9.289999999999999" customWidth="1" style="359" min="15898" max="15902"/>
    <col width="12.15" customWidth="1" style="359" min="15903" max="15904"/>
    <col width="10.85" customWidth="1" style="359" min="15905" max="15905"/>
    <col width="9.140000000000001" customWidth="1" style="359" min="15906" max="16152"/>
    <col width="41.15" customWidth="1" style="359" min="16153" max="16153"/>
    <col width="9.289999999999999" customWidth="1" style="359" min="16154" max="16158"/>
    <col width="12.15" customWidth="1" style="359" min="16159" max="16160"/>
    <col width="10.85" customWidth="1" style="359" min="16161" max="16161"/>
    <col width="9.140000000000001" customWidth="1" style="359" min="16162" max="16384"/>
  </cols>
  <sheetData>
    <row r="1" ht="12.75" customHeight="1" s="226">
      <c r="A1" s="244" t="inlineStr">
        <is>
          <t>К содержанию</t>
        </is>
      </c>
      <c r="C1" s="288" t="n"/>
      <c r="D1" s="288" t="n"/>
      <c r="E1" s="288" t="n"/>
    </row>
    <row r="2" ht="20.25" customHeight="1" s="226">
      <c r="C2" s="288" t="n"/>
      <c r="D2" s="288" t="n"/>
      <c r="E2" s="288" t="n"/>
    </row>
    <row r="3" ht="12.75" customHeight="1" s="226">
      <c r="A3" s="363" t="n"/>
      <c r="B3" s="363" t="n"/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5" t="n"/>
      <c r="W3" s="365" t="n"/>
      <c r="X3" s="365" t="n"/>
      <c r="Y3" s="365" t="n"/>
      <c r="Z3" s="365" t="n"/>
      <c r="AA3" s="365" t="n"/>
      <c r="AB3" s="365" t="n"/>
      <c r="AC3" s="365" t="n"/>
    </row>
    <row r="4" ht="48" customHeight="1" s="226">
      <c r="A4" s="292" t="inlineStr">
        <is>
          <t>Структура валового регионального продукта по видам первичных доходов по субъектам Российской Федерации в 2016-2023 гг.
(в процентах)</t>
        </is>
      </c>
      <c r="AE4" s="292" t="n"/>
      <c r="AF4" s="292" t="n"/>
      <c r="AG4" s="292" t="n"/>
    </row>
    <row r="5" ht="15.75" customHeight="1" s="226">
      <c r="A5" s="380" t="n"/>
      <c r="B5" s="320" t="n">
        <v>2016</v>
      </c>
      <c r="C5" s="381" t="n"/>
      <c r="D5" s="381" t="n"/>
      <c r="E5" s="382" t="n"/>
      <c r="F5" s="383" t="n">
        <v>2017</v>
      </c>
      <c r="G5" s="381" t="n"/>
      <c r="H5" s="381" t="n"/>
      <c r="I5" s="381" t="n"/>
      <c r="J5" s="320" t="n">
        <v>2018</v>
      </c>
      <c r="K5" s="381" t="n"/>
      <c r="L5" s="381" t="n"/>
      <c r="M5" s="382" t="n"/>
      <c r="N5" s="320" t="n">
        <v>2019</v>
      </c>
      <c r="O5" s="381" t="n"/>
      <c r="P5" s="381" t="n"/>
      <c r="Q5" s="382" t="n"/>
      <c r="R5" s="384" t="n">
        <v>2020</v>
      </c>
      <c r="S5" s="381" t="n"/>
      <c r="T5" s="381" t="n"/>
      <c r="U5" s="382" t="n"/>
      <c r="V5" s="320" t="n">
        <v>2021</v>
      </c>
      <c r="W5" s="381" t="n"/>
      <c r="X5" s="381" t="n"/>
      <c r="Y5" s="382" t="n"/>
      <c r="Z5" s="320" t="inlineStr">
        <is>
          <t>20221)</t>
        </is>
      </c>
      <c r="AA5" s="381" t="n"/>
      <c r="AB5" s="381" t="n"/>
      <c r="AC5" s="382" t="n"/>
      <c r="AD5" s="320" t="inlineStr">
        <is>
          <t>20231)</t>
        </is>
      </c>
      <c r="AE5" s="381" t="n"/>
      <c r="AF5" s="381" t="n"/>
      <c r="AG5" s="382" t="n"/>
    </row>
    <row r="6" ht="102.95" customHeight="1" s="226">
      <c r="A6" s="385" t="n"/>
      <c r="B6" s="386" t="inlineStr">
        <is>
          <t>Валовой региональный продукт</t>
        </is>
      </c>
      <c r="C6" s="386" t="inlineStr">
        <is>
          <t>Оплата труда наемных работников (без учета ненаблюдаемых оплаты труда и смешанных доходов)</t>
        </is>
      </c>
      <c r="D6" s="386" t="inlineStr">
        <is>
          <t xml:space="preserve">Другие чистые налоги на производство </t>
        </is>
      </c>
      <c r="E6" s="386" t="inlineStr">
        <is>
          <t>Валовая прибыль экономики и валовые смешанные доходы</t>
        </is>
      </c>
      <c r="F6" s="386" t="inlineStr">
        <is>
          <t>Валовой региональный продукт</t>
        </is>
      </c>
      <c r="G6" s="386" t="inlineStr">
        <is>
          <t>Оплата труда наемных работников (без учета ненаблюдаемых оплаты труда и смешанных доходов)</t>
        </is>
      </c>
      <c r="H6" s="386" t="inlineStr">
        <is>
          <t xml:space="preserve">Другие чистые налоги на производство </t>
        </is>
      </c>
      <c r="I6" s="386" t="inlineStr">
        <is>
          <t>Валовая прибыль экономики и валовые смешанные доходы</t>
        </is>
      </c>
      <c r="J6" s="386" t="inlineStr">
        <is>
          <t>Валовой региональный продукт</t>
        </is>
      </c>
      <c r="K6" s="386" t="inlineStr">
        <is>
          <t>Оплата труда наемных работников (без учета ненаблюдаемых оплаты труда и смешанных доходов)</t>
        </is>
      </c>
      <c r="L6" s="386" t="inlineStr">
        <is>
          <t xml:space="preserve">Другие чистые налоги на производство </t>
        </is>
      </c>
      <c r="M6" s="386" t="inlineStr">
        <is>
          <t>Валовая прибыль экономики и валовые смешанные доходы</t>
        </is>
      </c>
      <c r="N6" s="386" t="inlineStr">
        <is>
          <t>Валовой региональный продукт</t>
        </is>
      </c>
      <c r="O6" s="386" t="inlineStr">
        <is>
          <t>Оплата труда наемных работников (без учета ненаблюдаемых оплаты труда и смешанных доходов)</t>
        </is>
      </c>
      <c r="P6" s="386" t="inlineStr">
        <is>
          <t xml:space="preserve">Другие чистые налоги на производство </t>
        </is>
      </c>
      <c r="Q6" s="386" t="inlineStr">
        <is>
          <t>Валовая прибыль экономики и валовые смешанные доходы</t>
        </is>
      </c>
      <c r="R6" s="386" t="inlineStr">
        <is>
          <t>Валовой региональный продукт</t>
        </is>
      </c>
      <c r="S6" s="386" t="inlineStr">
        <is>
          <t>Оплата труда наемных работников (без учета ненаблюдаемых оплаты труда и смешанных доходов)</t>
        </is>
      </c>
      <c r="T6" s="386" t="inlineStr">
        <is>
          <t xml:space="preserve">Другие чистые налоги на производство </t>
        </is>
      </c>
      <c r="U6" s="386" t="inlineStr">
        <is>
          <t>Валовая прибыль экономики и валовые смешанные доходы</t>
        </is>
      </c>
      <c r="V6" s="386" t="inlineStr">
        <is>
          <t>Валовой региональный продукт</t>
        </is>
      </c>
      <c r="W6" s="386" t="inlineStr">
        <is>
          <t>Оплата труда наемных работников (без учета ненаблюдаемых оплаты труда и смешанных доходов)</t>
        </is>
      </c>
      <c r="X6" s="386" t="inlineStr">
        <is>
          <t xml:space="preserve">Другие чистые налоги на производство </t>
        </is>
      </c>
      <c r="Y6" s="386" t="inlineStr">
        <is>
          <t>Валовая прибыль экономики и валовые смешанные доходы</t>
        </is>
      </c>
      <c r="Z6" s="386" t="inlineStr">
        <is>
          <t>Валовой региональный продукт</t>
        </is>
      </c>
      <c r="AA6" s="386" t="inlineStr">
        <is>
          <t>Оплата труда наемных работников (без учета ненаблюдаемых оплаты труда и смешанных доходов)</t>
        </is>
      </c>
      <c r="AB6" s="386" t="inlineStr">
        <is>
          <t xml:space="preserve">Другие чистые налоги на производство </t>
        </is>
      </c>
      <c r="AC6" s="386" t="inlineStr">
        <is>
          <t>Валовая прибыль экономики и валовые смешанные доходы</t>
        </is>
      </c>
      <c r="AD6" s="386" t="inlineStr">
        <is>
          <t>Валовой региональный продукт</t>
        </is>
      </c>
      <c r="AE6" s="386" t="inlineStr">
        <is>
          <t>Оплата труда наемных работников (без учета ненаблюдаемых оплаты труда и смешанных доходов)</t>
        </is>
      </c>
      <c r="AF6" s="386" t="inlineStr">
        <is>
          <t xml:space="preserve">Другие чистые налоги на производство </t>
        </is>
      </c>
      <c r="AG6" s="386" t="inlineStr">
        <is>
          <t>Валовая прибыль экономики и валовые смешанные доходы</t>
        </is>
      </c>
    </row>
    <row r="7" ht="15" customHeight="1" s="226">
      <c r="A7" s="253" t="inlineStr">
        <is>
          <t>Российская Федерация</t>
        </is>
      </c>
      <c r="B7" s="252" t="n">
        <v>100</v>
      </c>
      <c r="C7" s="252" t="n">
        <v>36.6</v>
      </c>
      <c r="D7" s="252" t="n">
        <v>1.5</v>
      </c>
      <c r="E7" s="252" t="n">
        <v>61.9</v>
      </c>
      <c r="F7" s="387" t="n">
        <v>100</v>
      </c>
      <c r="G7" s="387" t="n">
        <v>36.7</v>
      </c>
      <c r="H7" s="387" t="n">
        <v>1.52596710404024</v>
      </c>
      <c r="I7" s="388" t="n">
        <v>61.7740328959598</v>
      </c>
      <c r="J7" s="252" t="n">
        <v>100</v>
      </c>
      <c r="K7" s="252" t="n">
        <v>35.6</v>
      </c>
      <c r="L7" s="252" t="n">
        <v>1.5</v>
      </c>
      <c r="M7" s="252" t="n">
        <v>62.9</v>
      </c>
      <c r="N7" s="252" t="n">
        <v>100</v>
      </c>
      <c r="O7" s="252" t="n">
        <v>36.4</v>
      </c>
      <c r="P7" s="252" t="n">
        <v>1.3</v>
      </c>
      <c r="Q7" s="252" t="n">
        <v>62.3</v>
      </c>
      <c r="R7" s="252" t="n">
        <v>100</v>
      </c>
      <c r="S7" s="252" t="n">
        <v>38.2</v>
      </c>
      <c r="T7" s="252" t="n">
        <v>1.3</v>
      </c>
      <c r="U7" s="252" t="n">
        <v>60.5</v>
      </c>
      <c r="V7" s="252" t="n">
        <v>100</v>
      </c>
      <c r="W7" s="252" t="n">
        <v>32.8</v>
      </c>
      <c r="X7" s="252" t="n">
        <v>1.1</v>
      </c>
      <c r="Y7" s="252" t="n">
        <v>66.09999999999999</v>
      </c>
      <c r="Z7" s="252" t="n">
        <v>100</v>
      </c>
      <c r="AA7" s="252" t="n">
        <v>32</v>
      </c>
      <c r="AB7" s="252" t="n">
        <v>1.1</v>
      </c>
      <c r="AC7" s="252" t="n">
        <v>66.90000000000001</v>
      </c>
      <c r="AD7" s="252" t="n">
        <v>100</v>
      </c>
      <c r="AE7" s="252" t="n">
        <v>32.8</v>
      </c>
      <c r="AF7" s="252" t="n">
        <v>1</v>
      </c>
      <c r="AG7" s="252" t="n">
        <v>66.2</v>
      </c>
      <c r="AJ7" s="369" t="n"/>
      <c r="AK7" s="369" t="n"/>
      <c r="AL7" s="369" t="n"/>
      <c r="AM7" s="369" t="n"/>
      <c r="AN7" s="369" t="n"/>
      <c r="AO7" s="369" t="n"/>
      <c r="AP7" s="369" t="n"/>
      <c r="AQ7" s="369" t="n"/>
      <c r="AR7" s="369" t="n"/>
      <c r="AS7" s="369" t="n"/>
      <c r="AT7" s="369" t="n"/>
      <c r="AU7" s="369" t="n"/>
      <c r="AV7" s="369" t="n"/>
    </row>
    <row r="8" ht="15" customHeight="1" s="226">
      <c r="A8" s="253" t="inlineStr">
        <is>
          <t>Центральный федеральный округ</t>
        </is>
      </c>
      <c r="B8" s="254" t="n">
        <v>100</v>
      </c>
      <c r="C8" s="370" t="n">
        <v>36</v>
      </c>
      <c r="D8" s="370" t="n">
        <v>1.3</v>
      </c>
      <c r="E8" s="370" t="n">
        <v>62.7</v>
      </c>
      <c r="F8" s="370" t="n">
        <v>100</v>
      </c>
      <c r="G8" s="370" t="n">
        <v>36.7</v>
      </c>
      <c r="H8" s="370" t="n">
        <v>1.4</v>
      </c>
      <c r="I8" s="376" t="n">
        <v>61.9</v>
      </c>
      <c r="J8" s="254" t="n">
        <v>100</v>
      </c>
      <c r="K8" s="254" t="n">
        <v>36.4</v>
      </c>
      <c r="L8" s="254" t="n">
        <v>1.3</v>
      </c>
      <c r="M8" s="254" t="n">
        <v>62.3</v>
      </c>
      <c r="N8" s="254" t="n">
        <v>100</v>
      </c>
      <c r="O8" s="254" t="n">
        <v>37.6</v>
      </c>
      <c r="P8" s="254" t="n">
        <v>1.1</v>
      </c>
      <c r="Q8" s="254" t="n">
        <v>61.3</v>
      </c>
      <c r="R8" s="254" t="n">
        <v>100</v>
      </c>
      <c r="S8" s="254" t="n">
        <v>38.6</v>
      </c>
      <c r="T8" s="254" t="n">
        <v>1.1</v>
      </c>
      <c r="U8" s="254" t="n">
        <v>60.3</v>
      </c>
      <c r="V8" s="254" t="n">
        <v>100</v>
      </c>
      <c r="W8" s="254" t="n">
        <v>34.8</v>
      </c>
      <c r="X8" s="254" t="n">
        <v>1</v>
      </c>
      <c r="Y8" s="254" t="n">
        <v>64.2</v>
      </c>
      <c r="Z8" s="254" t="n">
        <v>100</v>
      </c>
      <c r="AA8" s="254" t="n">
        <v>34.6</v>
      </c>
      <c r="AB8" s="254" t="n">
        <v>1</v>
      </c>
      <c r="AC8" s="254" t="n">
        <v>64.40000000000001</v>
      </c>
      <c r="AD8" s="254" t="n">
        <v>100</v>
      </c>
      <c r="AE8" s="254" t="n">
        <v>34.2</v>
      </c>
      <c r="AF8" s="254" t="n">
        <v>0.9</v>
      </c>
      <c r="AG8" s="254" t="n">
        <v>64.90000000000001</v>
      </c>
      <c r="AJ8" s="369" t="n"/>
      <c r="AK8" s="369" t="n"/>
      <c r="AL8" s="369" t="n"/>
      <c r="AM8" s="369" t="n"/>
      <c r="AN8" s="369" t="n"/>
      <c r="AO8" s="369" t="n"/>
      <c r="AP8" s="369" t="n"/>
      <c r="AQ8" s="369" t="n"/>
      <c r="AR8" s="369" t="n"/>
      <c r="AS8" s="369" t="n"/>
      <c r="AT8" s="369" t="n"/>
      <c r="AU8" s="369" t="n"/>
    </row>
    <row r="9" ht="15" customHeight="1" s="226">
      <c r="A9" s="255" t="inlineStr">
        <is>
          <t xml:space="preserve"> Белгородская область</t>
        </is>
      </c>
      <c r="B9" s="261" t="n">
        <v>100</v>
      </c>
      <c r="C9" s="336" t="n">
        <v>28.1</v>
      </c>
      <c r="D9" s="336" t="n">
        <v>1.5</v>
      </c>
      <c r="E9" s="389" t="n">
        <v>70.40000000000001</v>
      </c>
      <c r="F9" s="336" t="n">
        <v>100</v>
      </c>
      <c r="G9" s="336" t="n">
        <v>28.6</v>
      </c>
      <c r="H9" s="336" t="n">
        <v>1.6</v>
      </c>
      <c r="I9" s="390" t="n">
        <v>69.8</v>
      </c>
      <c r="J9" s="261" t="n">
        <v>100</v>
      </c>
      <c r="K9" s="262" t="n">
        <v>29.1</v>
      </c>
      <c r="L9" s="262" t="n">
        <v>1.7</v>
      </c>
      <c r="M9" s="263" t="n">
        <v>69.2</v>
      </c>
      <c r="N9" s="261" t="n">
        <v>100</v>
      </c>
      <c r="O9" s="262" t="n">
        <v>29.8</v>
      </c>
      <c r="P9" s="262" t="n">
        <v>1.5</v>
      </c>
      <c r="Q9" s="263" t="n">
        <v>68.7</v>
      </c>
      <c r="R9" s="261" t="n">
        <v>100</v>
      </c>
      <c r="S9" s="262" t="n">
        <v>29.3</v>
      </c>
      <c r="T9" s="262" t="n">
        <v>1.5</v>
      </c>
      <c r="U9" s="263" t="n">
        <v>69.2</v>
      </c>
      <c r="V9" s="261" t="n">
        <v>100</v>
      </c>
      <c r="W9" s="262" t="n">
        <v>24</v>
      </c>
      <c r="X9" s="262" t="n">
        <v>1.1</v>
      </c>
      <c r="Y9" s="263" t="n">
        <v>74.90000000000001</v>
      </c>
      <c r="Z9" s="261" t="n">
        <v>100</v>
      </c>
      <c r="AA9" s="391" t="n">
        <v>27.8</v>
      </c>
      <c r="AB9" s="391" t="n">
        <v>1.2</v>
      </c>
      <c r="AC9" s="263" t="n">
        <v>71</v>
      </c>
      <c r="AD9" s="392" t="n">
        <v>100</v>
      </c>
      <c r="AE9" s="391" t="n">
        <v>29.3</v>
      </c>
      <c r="AF9" s="391" t="n">
        <v>1.1</v>
      </c>
      <c r="AG9" s="263" t="n">
        <v>69.59999999999999</v>
      </c>
      <c r="AJ9" s="369" t="n"/>
      <c r="AK9" s="369" t="n"/>
      <c r="AL9" s="369" t="n"/>
      <c r="AM9" s="369" t="n"/>
      <c r="AN9" s="369" t="n"/>
      <c r="AO9" s="369" t="n"/>
      <c r="AP9" s="369" t="n"/>
      <c r="AQ9" s="369" t="n"/>
      <c r="AR9" s="369" t="n"/>
      <c r="AS9" s="369" t="n"/>
      <c r="AT9" s="369" t="n"/>
      <c r="AU9" s="369" t="n"/>
    </row>
    <row r="10" ht="15" customHeight="1" s="226">
      <c r="A10" s="260" t="inlineStr">
        <is>
          <t xml:space="preserve"> Брянская область</t>
        </is>
      </c>
      <c r="B10" s="261" t="n">
        <v>100</v>
      </c>
      <c r="C10" s="336" t="n">
        <v>40</v>
      </c>
      <c r="D10" s="336" t="n">
        <v>1.3</v>
      </c>
      <c r="E10" s="389" t="n">
        <v>58.7</v>
      </c>
      <c r="F10" s="336" t="n">
        <v>100</v>
      </c>
      <c r="G10" s="336" t="n">
        <v>40.3</v>
      </c>
      <c r="H10" s="336" t="n">
        <v>1.3</v>
      </c>
      <c r="I10" s="390" t="n">
        <v>58.4</v>
      </c>
      <c r="J10" s="261" t="n">
        <v>100</v>
      </c>
      <c r="K10" s="262" t="n">
        <v>39.1</v>
      </c>
      <c r="L10" s="262" t="n">
        <v>1.4</v>
      </c>
      <c r="M10" s="263" t="n">
        <v>59.5</v>
      </c>
      <c r="N10" s="261" t="n">
        <v>100</v>
      </c>
      <c r="O10" s="262" t="n">
        <v>38.4</v>
      </c>
      <c r="P10" s="262" t="n">
        <v>1.3</v>
      </c>
      <c r="Q10" s="263" t="n">
        <v>60.3</v>
      </c>
      <c r="R10" s="261" t="n">
        <v>100</v>
      </c>
      <c r="S10" s="262" t="n">
        <v>36.4</v>
      </c>
      <c r="T10" s="262" t="n">
        <v>1.2</v>
      </c>
      <c r="U10" s="263" t="n">
        <v>62.4</v>
      </c>
      <c r="V10" s="261" t="n">
        <v>100</v>
      </c>
      <c r="W10" s="262" t="n">
        <v>35.7</v>
      </c>
      <c r="X10" s="262" t="n">
        <v>1.1</v>
      </c>
      <c r="Y10" s="263" t="n">
        <v>63.2</v>
      </c>
      <c r="Z10" s="261" t="n">
        <v>100</v>
      </c>
      <c r="AA10" s="391" t="n">
        <v>34.3</v>
      </c>
      <c r="AB10" s="391" t="n">
        <v>1</v>
      </c>
      <c r="AC10" s="263" t="n">
        <v>64.7</v>
      </c>
      <c r="AD10" s="392" t="n">
        <v>100</v>
      </c>
      <c r="AE10" s="391" t="n">
        <v>34.7</v>
      </c>
      <c r="AF10" s="391" t="n">
        <v>0.8</v>
      </c>
      <c r="AG10" s="263" t="n">
        <v>64.5</v>
      </c>
      <c r="AJ10" s="369" t="n"/>
      <c r="AK10" s="369" t="n"/>
      <c r="AL10" s="369" t="n"/>
      <c r="AM10" s="369" t="n"/>
      <c r="AN10" s="369" t="n"/>
      <c r="AO10" s="369" t="n"/>
      <c r="AP10" s="369" t="n"/>
      <c r="AQ10" s="369" t="n"/>
      <c r="AR10" s="369" t="n"/>
      <c r="AS10" s="369" t="n"/>
      <c r="AT10" s="369" t="n"/>
      <c r="AU10" s="369" t="n"/>
    </row>
    <row r="11" ht="15" customHeight="1" s="226">
      <c r="A11" s="260" t="inlineStr">
        <is>
          <t xml:space="preserve"> Владимирская область</t>
        </is>
      </c>
      <c r="B11" s="261" t="n">
        <v>100</v>
      </c>
      <c r="C11" s="336" t="n">
        <v>42.6</v>
      </c>
      <c r="D11" s="336" t="n">
        <v>1.5</v>
      </c>
      <c r="E11" s="389" t="n">
        <v>55.9</v>
      </c>
      <c r="F11" s="336" t="n">
        <v>100</v>
      </c>
      <c r="G11" s="336" t="n">
        <v>44</v>
      </c>
      <c r="H11" s="336" t="n">
        <v>1.6</v>
      </c>
      <c r="I11" s="390" t="n">
        <v>54.4</v>
      </c>
      <c r="J11" s="261" t="n">
        <v>100</v>
      </c>
      <c r="K11" s="262" t="n">
        <v>43.2</v>
      </c>
      <c r="L11" s="262" t="n">
        <v>1.6</v>
      </c>
      <c r="M11" s="263" t="n">
        <v>55.2</v>
      </c>
      <c r="N11" s="261" t="n">
        <v>100</v>
      </c>
      <c r="O11" s="262" t="n">
        <v>43.2</v>
      </c>
      <c r="P11" s="262" t="n">
        <v>1.4</v>
      </c>
      <c r="Q11" s="263" t="n">
        <v>55.4</v>
      </c>
      <c r="R11" s="261" t="n">
        <v>100</v>
      </c>
      <c r="S11" s="262" t="n">
        <v>41.6</v>
      </c>
      <c r="T11" s="262" t="n">
        <v>1.3</v>
      </c>
      <c r="U11" s="263" t="n">
        <v>57.1</v>
      </c>
      <c r="V11" s="261" t="n">
        <v>100</v>
      </c>
      <c r="W11" s="262" t="n">
        <v>33.3</v>
      </c>
      <c r="X11" s="262" t="n">
        <v>1</v>
      </c>
      <c r="Y11" s="263" t="n">
        <v>65.7</v>
      </c>
      <c r="Z11" s="261" t="n">
        <v>100</v>
      </c>
      <c r="AA11" s="391" t="n">
        <v>36.1</v>
      </c>
      <c r="AB11" s="391" t="n">
        <v>1</v>
      </c>
      <c r="AC11" s="263" t="n">
        <v>62.9</v>
      </c>
      <c r="AD11" s="392" t="n">
        <v>100</v>
      </c>
      <c r="AE11" s="391" t="n">
        <v>37.6</v>
      </c>
      <c r="AF11" s="391" t="n">
        <v>0.8</v>
      </c>
      <c r="AG11" s="263" t="n">
        <v>61.6</v>
      </c>
      <c r="AJ11" s="369" t="n"/>
      <c r="AK11" s="369" t="n"/>
      <c r="AL11" s="369" t="n"/>
      <c r="AM11" s="369" t="n"/>
      <c r="AN11" s="369" t="n"/>
      <c r="AO11" s="369" t="n"/>
      <c r="AP11" s="369" t="n"/>
      <c r="AQ11" s="369" t="n"/>
      <c r="AR11" s="369" t="n"/>
      <c r="AS11" s="369" t="n"/>
      <c r="AT11" s="369" t="n"/>
      <c r="AU11" s="369" t="n"/>
    </row>
    <row r="12" ht="15" customHeight="1" s="226">
      <c r="A12" s="260" t="inlineStr">
        <is>
          <t xml:space="preserve"> Воронежская область</t>
        </is>
      </c>
      <c r="B12" s="261" t="n">
        <v>100</v>
      </c>
      <c r="C12" s="336" t="n">
        <v>40.9</v>
      </c>
      <c r="D12" s="336" t="n">
        <v>1.6</v>
      </c>
      <c r="E12" s="389" t="n">
        <v>57.5</v>
      </c>
      <c r="F12" s="336" t="n">
        <v>100</v>
      </c>
      <c r="G12" s="336" t="n">
        <v>39.8</v>
      </c>
      <c r="H12" s="336" t="n">
        <v>1.6</v>
      </c>
      <c r="I12" s="390" t="n">
        <v>58.6</v>
      </c>
      <c r="J12" s="261" t="n">
        <v>100</v>
      </c>
      <c r="K12" s="262" t="n">
        <v>40.9</v>
      </c>
      <c r="L12" s="262" t="n">
        <v>1.9</v>
      </c>
      <c r="M12" s="263" t="n">
        <v>57.2</v>
      </c>
      <c r="N12" s="261" t="n">
        <v>100</v>
      </c>
      <c r="O12" s="262" t="n">
        <v>40.6</v>
      </c>
      <c r="P12" s="262" t="n">
        <v>1.5</v>
      </c>
      <c r="Q12" s="263" t="n">
        <v>57.9</v>
      </c>
      <c r="R12" s="261" t="n">
        <v>100</v>
      </c>
      <c r="S12" s="262" t="n">
        <v>38.1</v>
      </c>
      <c r="T12" s="262" t="n">
        <v>1.5</v>
      </c>
      <c r="U12" s="263" t="n">
        <v>60.4</v>
      </c>
      <c r="V12" s="261" t="n">
        <v>100</v>
      </c>
      <c r="W12" s="262" t="n">
        <v>34.9</v>
      </c>
      <c r="X12" s="262" t="n">
        <v>1.3</v>
      </c>
      <c r="Y12" s="263" t="n">
        <v>63.8</v>
      </c>
      <c r="Z12" s="261" t="n">
        <v>100</v>
      </c>
      <c r="AA12" s="391" t="n">
        <v>35.4</v>
      </c>
      <c r="AB12" s="391" t="n">
        <v>1.3</v>
      </c>
      <c r="AC12" s="263" t="n">
        <v>63.3</v>
      </c>
      <c r="AD12" s="392" t="n">
        <v>100</v>
      </c>
      <c r="AE12" s="391" t="n">
        <v>37.9</v>
      </c>
      <c r="AF12" s="391" t="n">
        <v>1.2</v>
      </c>
      <c r="AG12" s="263" t="n">
        <v>60.9</v>
      </c>
      <c r="AJ12" s="369" t="n"/>
      <c r="AK12" s="369" t="n"/>
      <c r="AL12" s="369" t="n"/>
      <c r="AM12" s="369" t="n"/>
      <c r="AN12" s="369" t="n"/>
      <c r="AO12" s="369" t="n"/>
      <c r="AP12" s="369" t="n"/>
      <c r="AQ12" s="369" t="n"/>
      <c r="AR12" s="369" t="n"/>
      <c r="AS12" s="369" t="n"/>
      <c r="AT12" s="369" t="n"/>
      <c r="AU12" s="369" t="n"/>
    </row>
    <row r="13" ht="15" customHeight="1" s="226">
      <c r="A13" s="260" t="inlineStr">
        <is>
          <t xml:space="preserve"> Ивановская область</t>
        </is>
      </c>
      <c r="B13" s="261" t="n">
        <v>100</v>
      </c>
      <c r="C13" s="336" t="n">
        <v>45.1</v>
      </c>
      <c r="D13" s="336" t="n">
        <v>1.7</v>
      </c>
      <c r="E13" s="389" t="n">
        <v>53.2</v>
      </c>
      <c r="F13" s="336" t="n">
        <v>100</v>
      </c>
      <c r="G13" s="336" t="n">
        <v>45.9</v>
      </c>
      <c r="H13" s="336" t="n">
        <v>1.6</v>
      </c>
      <c r="I13" s="390" t="n">
        <v>52.5</v>
      </c>
      <c r="J13" s="261" t="n">
        <v>100</v>
      </c>
      <c r="K13" s="262" t="n">
        <v>44.5</v>
      </c>
      <c r="L13" s="262" t="n">
        <v>1.8</v>
      </c>
      <c r="M13" s="263" t="n">
        <v>53.7</v>
      </c>
      <c r="N13" s="261" t="n">
        <v>100</v>
      </c>
      <c r="O13" s="262" t="n">
        <v>43.5</v>
      </c>
      <c r="P13" s="262" t="n">
        <v>1.4</v>
      </c>
      <c r="Q13" s="263" t="n">
        <v>55.1</v>
      </c>
      <c r="R13" s="261" t="n">
        <v>100</v>
      </c>
      <c r="S13" s="262" t="n">
        <v>42.7</v>
      </c>
      <c r="T13" s="262" t="n">
        <v>1.3</v>
      </c>
      <c r="U13" s="263" t="n">
        <v>56</v>
      </c>
      <c r="V13" s="261" t="n">
        <v>100</v>
      </c>
      <c r="W13" s="262" t="n">
        <v>42</v>
      </c>
      <c r="X13" s="262" t="n">
        <v>1.2</v>
      </c>
      <c r="Y13" s="263" t="n">
        <v>56.8</v>
      </c>
      <c r="Z13" s="261" t="n">
        <v>100</v>
      </c>
      <c r="AA13" s="391" t="n">
        <v>39.9</v>
      </c>
      <c r="AB13" s="391" t="n">
        <v>1.1</v>
      </c>
      <c r="AC13" s="263" t="n">
        <v>59</v>
      </c>
      <c r="AD13" s="392" t="n">
        <v>100</v>
      </c>
      <c r="AE13" s="391" t="n">
        <v>37.5</v>
      </c>
      <c r="AF13" s="391" t="n">
        <v>0.8</v>
      </c>
      <c r="AG13" s="263" t="n">
        <v>61.7</v>
      </c>
      <c r="AJ13" s="369" t="n"/>
      <c r="AK13" s="369" t="n"/>
      <c r="AL13" s="369" t="n"/>
      <c r="AM13" s="369" t="n"/>
      <c r="AN13" s="369" t="n"/>
      <c r="AO13" s="369" t="n"/>
      <c r="AP13" s="369" t="n"/>
      <c r="AQ13" s="369" t="n"/>
      <c r="AR13" s="369" t="n"/>
      <c r="AS13" s="369" t="n"/>
      <c r="AT13" s="369" t="n"/>
      <c r="AU13" s="369" t="n"/>
    </row>
    <row r="14" ht="15" customHeight="1" s="226">
      <c r="A14" s="260" t="inlineStr">
        <is>
          <t xml:space="preserve"> Калужская область</t>
        </is>
      </c>
      <c r="B14" s="261" t="n">
        <v>100</v>
      </c>
      <c r="C14" s="336" t="n">
        <v>41.1</v>
      </c>
      <c r="D14" s="336" t="n">
        <v>1.5</v>
      </c>
      <c r="E14" s="389" t="n">
        <v>57.4</v>
      </c>
      <c r="F14" s="336" t="n">
        <v>100</v>
      </c>
      <c r="G14" s="336" t="n">
        <v>39.7</v>
      </c>
      <c r="H14" s="336" t="n">
        <v>1.3</v>
      </c>
      <c r="I14" s="390" t="n">
        <v>59</v>
      </c>
      <c r="J14" s="261" t="n">
        <v>100</v>
      </c>
      <c r="K14" s="262" t="n">
        <v>39.1</v>
      </c>
      <c r="L14" s="262" t="n">
        <v>1.5</v>
      </c>
      <c r="M14" s="263" t="n">
        <v>59.4</v>
      </c>
      <c r="N14" s="261" t="n">
        <v>100</v>
      </c>
      <c r="O14" s="262" t="n">
        <v>39.4</v>
      </c>
      <c r="P14" s="262" t="n">
        <v>1.2</v>
      </c>
      <c r="Q14" s="263" t="n">
        <v>59.4</v>
      </c>
      <c r="R14" s="261" t="n">
        <v>100</v>
      </c>
      <c r="S14" s="262" t="n">
        <v>38.9</v>
      </c>
      <c r="T14" s="262" t="n">
        <v>1.2</v>
      </c>
      <c r="U14" s="263" t="n">
        <v>59.9</v>
      </c>
      <c r="V14" s="261" t="n">
        <v>100</v>
      </c>
      <c r="W14" s="262" t="n">
        <v>36.6</v>
      </c>
      <c r="X14" s="262" t="n">
        <v>1</v>
      </c>
      <c r="Y14" s="263" t="n">
        <v>62.4</v>
      </c>
      <c r="Z14" s="261" t="n">
        <v>100</v>
      </c>
      <c r="AA14" s="391" t="n">
        <v>37.7</v>
      </c>
      <c r="AB14" s="391" t="n">
        <v>1.1</v>
      </c>
      <c r="AC14" s="263" t="n">
        <v>61.2</v>
      </c>
      <c r="AD14" s="392" t="n">
        <v>100</v>
      </c>
      <c r="AE14" s="391" t="n">
        <v>37.8</v>
      </c>
      <c r="AF14" s="391" t="n">
        <v>0.9</v>
      </c>
      <c r="AG14" s="263" t="n">
        <v>61.3</v>
      </c>
      <c r="AJ14" s="369" t="n"/>
      <c r="AK14" s="369" t="n"/>
      <c r="AL14" s="369" t="n"/>
      <c r="AM14" s="369" t="n"/>
      <c r="AN14" s="369" t="n"/>
      <c r="AO14" s="369" t="n"/>
      <c r="AP14" s="369" t="n"/>
      <c r="AQ14" s="369" t="n"/>
      <c r="AR14" s="369" t="n"/>
      <c r="AS14" s="369" t="n"/>
      <c r="AT14" s="369" t="n"/>
      <c r="AU14" s="369" t="n"/>
    </row>
    <row r="15" ht="15" customHeight="1" s="226">
      <c r="A15" s="260" t="inlineStr">
        <is>
          <t xml:space="preserve"> Костромская область</t>
        </is>
      </c>
      <c r="B15" s="261" t="n">
        <v>100</v>
      </c>
      <c r="C15" s="336" t="n">
        <v>43.4</v>
      </c>
      <c r="D15" s="336" t="n">
        <v>1.4</v>
      </c>
      <c r="E15" s="389" t="n">
        <v>55.2</v>
      </c>
      <c r="F15" s="336" t="n">
        <v>100</v>
      </c>
      <c r="G15" s="336" t="n">
        <v>44.9</v>
      </c>
      <c r="H15" s="336" t="n">
        <v>1.4</v>
      </c>
      <c r="I15" s="390" t="n">
        <v>53.7</v>
      </c>
      <c r="J15" s="261" t="n">
        <v>100</v>
      </c>
      <c r="K15" s="262" t="n">
        <v>45.6</v>
      </c>
      <c r="L15" s="262" t="n">
        <v>1.4</v>
      </c>
      <c r="M15" s="263" t="n">
        <v>53</v>
      </c>
      <c r="N15" s="261" t="n">
        <v>100</v>
      </c>
      <c r="O15" s="262" t="n">
        <v>46.4</v>
      </c>
      <c r="P15" s="262" t="n">
        <v>1.3</v>
      </c>
      <c r="Q15" s="263" t="n">
        <v>52.3</v>
      </c>
      <c r="R15" s="261" t="n">
        <v>100</v>
      </c>
      <c r="S15" s="262" t="n">
        <v>46.9</v>
      </c>
      <c r="T15" s="262" t="n">
        <v>1.3</v>
      </c>
      <c r="U15" s="263" t="n">
        <v>51.8</v>
      </c>
      <c r="V15" s="261" t="n">
        <v>100</v>
      </c>
      <c r="W15" s="262" t="n">
        <v>43.9</v>
      </c>
      <c r="X15" s="262" t="n">
        <v>1.1</v>
      </c>
      <c r="Y15" s="263" t="n">
        <v>55</v>
      </c>
      <c r="Z15" s="261" t="n">
        <v>100</v>
      </c>
      <c r="AA15" s="391" t="n">
        <v>43.8</v>
      </c>
      <c r="AB15" s="391" t="n">
        <v>1</v>
      </c>
      <c r="AC15" s="263" t="n">
        <v>55.2</v>
      </c>
      <c r="AD15" s="392" t="n">
        <v>100</v>
      </c>
      <c r="AE15" s="391" t="n">
        <v>44.3</v>
      </c>
      <c r="AF15" s="391" t="n">
        <v>0.9</v>
      </c>
      <c r="AG15" s="263" t="n">
        <v>54.8</v>
      </c>
      <c r="AJ15" s="369" t="n"/>
      <c r="AK15" s="369" t="n"/>
      <c r="AL15" s="369" t="n"/>
      <c r="AM15" s="369" t="n"/>
      <c r="AN15" s="369" t="n"/>
      <c r="AO15" s="369" t="n"/>
      <c r="AP15" s="369" t="n"/>
      <c r="AQ15" s="369" t="n"/>
      <c r="AR15" s="369" t="n"/>
      <c r="AS15" s="369" t="n"/>
      <c r="AT15" s="369" t="n"/>
      <c r="AU15" s="369" t="n"/>
    </row>
    <row r="16" ht="15" customHeight="1" s="226">
      <c r="A16" s="260" t="inlineStr">
        <is>
          <t xml:space="preserve"> Курская область </t>
        </is>
      </c>
      <c r="B16" s="261" t="n">
        <v>100</v>
      </c>
      <c r="C16" s="336" t="n">
        <v>38.6</v>
      </c>
      <c r="D16" s="336" t="n">
        <v>1.5</v>
      </c>
      <c r="E16" s="389" t="n">
        <v>59.9</v>
      </c>
      <c r="F16" s="336" t="n">
        <v>100</v>
      </c>
      <c r="G16" s="336" t="n">
        <v>38.4</v>
      </c>
      <c r="H16" s="336" t="n">
        <v>1.6</v>
      </c>
      <c r="I16" s="390" t="n">
        <v>60</v>
      </c>
      <c r="J16" s="261" t="n">
        <v>100</v>
      </c>
      <c r="K16" s="262" t="n">
        <v>38.1</v>
      </c>
      <c r="L16" s="262" t="n">
        <v>1.6</v>
      </c>
      <c r="M16" s="263" t="n">
        <v>60.3</v>
      </c>
      <c r="N16" s="261" t="n">
        <v>100</v>
      </c>
      <c r="O16" s="262" t="n">
        <v>38.1</v>
      </c>
      <c r="P16" s="262" t="n">
        <v>1.4</v>
      </c>
      <c r="Q16" s="263" t="n">
        <v>60.5</v>
      </c>
      <c r="R16" s="261" t="n">
        <v>100</v>
      </c>
      <c r="S16" s="262" t="n">
        <v>37.5</v>
      </c>
      <c r="T16" s="262" t="n">
        <v>1.3</v>
      </c>
      <c r="U16" s="263" t="n">
        <v>61.2</v>
      </c>
      <c r="V16" s="261" t="n">
        <v>100</v>
      </c>
      <c r="W16" s="262" t="n">
        <v>31.6</v>
      </c>
      <c r="X16" s="262" t="n">
        <v>1</v>
      </c>
      <c r="Y16" s="263" t="n">
        <v>67.40000000000001</v>
      </c>
      <c r="Z16" s="261" t="n">
        <v>100</v>
      </c>
      <c r="AA16" s="391" t="n">
        <v>36.5</v>
      </c>
      <c r="AB16" s="391" t="n">
        <v>1.1</v>
      </c>
      <c r="AC16" s="263" t="n">
        <v>62.4</v>
      </c>
      <c r="AD16" s="392" t="n">
        <v>100</v>
      </c>
      <c r="AE16" s="391" t="n">
        <v>36.8</v>
      </c>
      <c r="AF16" s="391" t="n">
        <v>0.9</v>
      </c>
      <c r="AG16" s="263" t="n">
        <v>62.3</v>
      </c>
      <c r="AJ16" s="369" t="n"/>
      <c r="AK16" s="369" t="n"/>
      <c r="AL16" s="369" t="n"/>
      <c r="AM16" s="369" t="n"/>
      <c r="AN16" s="369" t="n"/>
      <c r="AO16" s="369" t="n"/>
      <c r="AP16" s="369" t="n"/>
      <c r="AQ16" s="369" t="n"/>
      <c r="AR16" s="369" t="n"/>
      <c r="AS16" s="369" t="n"/>
      <c r="AT16" s="369" t="n"/>
      <c r="AU16" s="369" t="n"/>
    </row>
    <row r="17" ht="15" customHeight="1" s="226">
      <c r="A17" s="260" t="inlineStr">
        <is>
          <t xml:space="preserve"> Липецкая область</t>
        </is>
      </c>
      <c r="B17" s="261" t="n">
        <v>100</v>
      </c>
      <c r="C17" s="336" t="n">
        <v>30.5</v>
      </c>
      <c r="D17" s="336" t="n">
        <v>1.6</v>
      </c>
      <c r="E17" s="389" t="n">
        <v>67.90000000000001</v>
      </c>
      <c r="F17" s="336" t="n">
        <v>100</v>
      </c>
      <c r="G17" s="336" t="n">
        <v>31.9</v>
      </c>
      <c r="H17" s="336" t="n">
        <v>1.5</v>
      </c>
      <c r="I17" s="390" t="n">
        <v>66.59999999999999</v>
      </c>
      <c r="J17" s="261" t="n">
        <v>100</v>
      </c>
      <c r="K17" s="262" t="n">
        <v>29.4</v>
      </c>
      <c r="L17" s="262" t="n">
        <v>1.3</v>
      </c>
      <c r="M17" s="263" t="n">
        <v>69.3</v>
      </c>
      <c r="N17" s="261" t="n">
        <v>100</v>
      </c>
      <c r="O17" s="262" t="n">
        <v>33.9</v>
      </c>
      <c r="P17" s="262" t="n">
        <v>1.3</v>
      </c>
      <c r="Q17" s="263" t="n">
        <v>64.8</v>
      </c>
      <c r="R17" s="261" t="n">
        <v>100</v>
      </c>
      <c r="S17" s="262" t="n">
        <v>32.1</v>
      </c>
      <c r="T17" s="262" t="n">
        <v>1.2</v>
      </c>
      <c r="U17" s="263" t="n">
        <v>66.7</v>
      </c>
      <c r="V17" s="261" t="n">
        <v>100</v>
      </c>
      <c r="W17" s="262" t="n">
        <v>25.5</v>
      </c>
      <c r="X17" s="262" t="n">
        <v>1</v>
      </c>
      <c r="Y17" s="263" t="n">
        <v>73.5</v>
      </c>
      <c r="Z17" s="261" t="n">
        <v>100</v>
      </c>
      <c r="AA17" s="391" t="n">
        <v>31</v>
      </c>
      <c r="AB17" s="391" t="n">
        <v>1.2</v>
      </c>
      <c r="AC17" s="263" t="n">
        <v>67.8</v>
      </c>
      <c r="AD17" s="392" t="n">
        <v>100</v>
      </c>
      <c r="AE17" s="391" t="n">
        <v>29.3</v>
      </c>
      <c r="AF17" s="391" t="n">
        <v>0.9</v>
      </c>
      <c r="AG17" s="263" t="n">
        <v>69.8</v>
      </c>
      <c r="AJ17" s="369" t="n"/>
      <c r="AK17" s="369" t="n"/>
      <c r="AL17" s="369" t="n"/>
      <c r="AM17" s="369" t="n"/>
      <c r="AN17" s="369" t="n"/>
      <c r="AO17" s="369" t="n"/>
      <c r="AP17" s="369" t="n"/>
      <c r="AQ17" s="369" t="n"/>
      <c r="AR17" s="369" t="n"/>
      <c r="AS17" s="369" t="n"/>
      <c r="AT17" s="369" t="n"/>
      <c r="AU17" s="369" t="n"/>
    </row>
    <row r="18" ht="15" customHeight="1" s="226">
      <c r="A18" s="260" t="inlineStr">
        <is>
          <t xml:space="preserve"> Московская область</t>
        </is>
      </c>
      <c r="B18" s="261" t="n">
        <v>100</v>
      </c>
      <c r="C18" s="336" t="n">
        <v>37.2</v>
      </c>
      <c r="D18" s="336" t="n">
        <v>1.9</v>
      </c>
      <c r="E18" s="389" t="n">
        <v>60.9</v>
      </c>
      <c r="F18" s="336" t="n">
        <v>100</v>
      </c>
      <c r="G18" s="336" t="n">
        <v>39.9</v>
      </c>
      <c r="H18" s="336" t="n">
        <v>2</v>
      </c>
      <c r="I18" s="390" t="n">
        <v>58.1</v>
      </c>
      <c r="J18" s="261" t="n">
        <v>100</v>
      </c>
      <c r="K18" s="262" t="n">
        <v>40.7</v>
      </c>
      <c r="L18" s="262" t="n">
        <v>1.9</v>
      </c>
      <c r="M18" s="263" t="n">
        <v>57.4</v>
      </c>
      <c r="N18" s="261" t="n">
        <v>100</v>
      </c>
      <c r="O18" s="262" t="n">
        <v>39.8</v>
      </c>
      <c r="P18" s="262" t="n">
        <v>1.6</v>
      </c>
      <c r="Q18" s="263" t="n">
        <v>58.6</v>
      </c>
      <c r="R18" s="261" t="n">
        <v>100</v>
      </c>
      <c r="S18" s="262" t="n">
        <v>40.4</v>
      </c>
      <c r="T18" s="262" t="n">
        <v>1.5</v>
      </c>
      <c r="U18" s="263" t="n">
        <v>58.1</v>
      </c>
      <c r="V18" s="261" t="n">
        <v>100</v>
      </c>
      <c r="W18" s="262" t="n">
        <v>35.4</v>
      </c>
      <c r="X18" s="262" t="n">
        <v>1.4</v>
      </c>
      <c r="Y18" s="263" t="n">
        <v>63.2</v>
      </c>
      <c r="Z18" s="261" t="n">
        <v>100</v>
      </c>
      <c r="AA18" s="391" t="n">
        <v>34</v>
      </c>
      <c r="AB18" s="391" t="n">
        <v>1.2</v>
      </c>
      <c r="AC18" s="263" t="n">
        <v>64.8</v>
      </c>
      <c r="AD18" s="392" t="n">
        <v>100</v>
      </c>
      <c r="AE18" s="391" t="n">
        <v>34.9</v>
      </c>
      <c r="AF18" s="391" t="n">
        <v>1.1</v>
      </c>
      <c r="AG18" s="263" t="n">
        <v>64</v>
      </c>
      <c r="AJ18" s="369" t="n"/>
      <c r="AK18" s="369" t="n"/>
      <c r="AL18" s="369" t="n"/>
      <c r="AM18" s="369" t="n"/>
      <c r="AN18" s="369" t="n"/>
      <c r="AO18" s="369" t="n"/>
      <c r="AP18" s="369" t="n"/>
      <c r="AQ18" s="369" t="n"/>
      <c r="AR18" s="369" t="n"/>
      <c r="AS18" s="369" t="n"/>
      <c r="AT18" s="369" t="n"/>
      <c r="AU18" s="369" t="n"/>
    </row>
    <row r="19" ht="15" customHeight="1" s="226">
      <c r="A19" s="260" t="inlineStr">
        <is>
          <t xml:space="preserve"> Орловская область</t>
        </is>
      </c>
      <c r="B19" s="261" t="n">
        <v>100</v>
      </c>
      <c r="C19" s="336" t="n">
        <v>40.2</v>
      </c>
      <c r="D19" s="336" t="n">
        <v>1.2</v>
      </c>
      <c r="E19" s="389" t="n">
        <v>58.6</v>
      </c>
      <c r="F19" s="336" t="n">
        <v>100</v>
      </c>
      <c r="G19" s="336" t="n">
        <v>41.8</v>
      </c>
      <c r="H19" s="336" t="n">
        <v>1.3</v>
      </c>
      <c r="I19" s="390" t="n">
        <v>56.9</v>
      </c>
      <c r="J19" s="261" t="n">
        <v>100</v>
      </c>
      <c r="K19" s="262" t="n">
        <v>40.5</v>
      </c>
      <c r="L19" s="262" t="n">
        <v>1.3</v>
      </c>
      <c r="M19" s="263" t="n">
        <v>58.2</v>
      </c>
      <c r="N19" s="261" t="n">
        <v>100</v>
      </c>
      <c r="O19" s="262" t="n">
        <v>39.6</v>
      </c>
      <c r="P19" s="262" t="n">
        <v>1.1</v>
      </c>
      <c r="Q19" s="263" t="n">
        <v>59.3</v>
      </c>
      <c r="R19" s="261" t="n">
        <v>100</v>
      </c>
      <c r="S19" s="262" t="n">
        <v>39.4</v>
      </c>
      <c r="T19" s="262" t="n">
        <v>1.2</v>
      </c>
      <c r="U19" s="263" t="n">
        <v>59.4</v>
      </c>
      <c r="V19" s="261" t="n">
        <v>100</v>
      </c>
      <c r="W19" s="262" t="n">
        <v>36.8</v>
      </c>
      <c r="X19" s="262" t="n">
        <v>1.1</v>
      </c>
      <c r="Y19" s="263" t="n">
        <v>62.1</v>
      </c>
      <c r="Z19" s="261" t="n">
        <v>100</v>
      </c>
      <c r="AA19" s="391" t="n">
        <v>37.3</v>
      </c>
      <c r="AB19" s="391" t="n">
        <v>1</v>
      </c>
      <c r="AC19" s="263" t="n">
        <v>61.7</v>
      </c>
      <c r="AD19" s="392" t="n">
        <v>100</v>
      </c>
      <c r="AE19" s="391" t="n">
        <v>39</v>
      </c>
      <c r="AF19" s="391" t="n">
        <v>0.9</v>
      </c>
      <c r="AG19" s="263" t="n">
        <v>60.1</v>
      </c>
      <c r="AJ19" s="369" t="n"/>
      <c r="AK19" s="369" t="n"/>
      <c r="AL19" s="369" t="n"/>
      <c r="AM19" s="369" t="n"/>
      <c r="AN19" s="369" t="n"/>
      <c r="AO19" s="369" t="n"/>
      <c r="AP19" s="369" t="n"/>
      <c r="AQ19" s="369" t="n"/>
      <c r="AR19" s="369" t="n"/>
      <c r="AS19" s="369" t="n"/>
      <c r="AT19" s="369" t="n"/>
      <c r="AU19" s="369" t="n"/>
    </row>
    <row r="20" ht="15" customHeight="1" s="226">
      <c r="A20" s="260" t="inlineStr">
        <is>
          <t xml:space="preserve"> Рязанская область</t>
        </is>
      </c>
      <c r="B20" s="261" t="n">
        <v>100</v>
      </c>
      <c r="C20" s="336" t="n">
        <v>39.1</v>
      </c>
      <c r="D20" s="336" t="n">
        <v>2</v>
      </c>
      <c r="E20" s="389" t="n">
        <v>58.9</v>
      </c>
      <c r="F20" s="336" t="n">
        <v>100</v>
      </c>
      <c r="G20" s="336" t="n">
        <v>38.6</v>
      </c>
      <c r="H20" s="336" t="n">
        <v>1.8</v>
      </c>
      <c r="I20" s="390" t="n">
        <v>59.6</v>
      </c>
      <c r="J20" s="261" t="n">
        <v>100</v>
      </c>
      <c r="K20" s="262" t="n">
        <v>41.3</v>
      </c>
      <c r="L20" s="262" t="n">
        <v>1.9</v>
      </c>
      <c r="M20" s="263" t="n">
        <v>56.8</v>
      </c>
      <c r="N20" s="261" t="n">
        <v>100</v>
      </c>
      <c r="O20" s="262" t="n">
        <v>41.7</v>
      </c>
      <c r="P20" s="262" t="n">
        <v>1.7</v>
      </c>
      <c r="Q20" s="263" t="n">
        <v>56.6</v>
      </c>
      <c r="R20" s="261" t="n">
        <v>100</v>
      </c>
      <c r="S20" s="262" t="n">
        <v>40.8</v>
      </c>
      <c r="T20" s="262" t="n">
        <v>1.6</v>
      </c>
      <c r="U20" s="263" t="n">
        <v>57.6</v>
      </c>
      <c r="V20" s="261" t="n">
        <v>100</v>
      </c>
      <c r="W20" s="262" t="n">
        <v>38.6</v>
      </c>
      <c r="X20" s="262" t="n">
        <v>1.4</v>
      </c>
      <c r="Y20" s="263" t="n">
        <v>60</v>
      </c>
      <c r="Z20" s="261" t="n">
        <v>100</v>
      </c>
      <c r="AA20" s="391" t="n">
        <v>38.5</v>
      </c>
      <c r="AB20" s="391" t="n">
        <v>1.4</v>
      </c>
      <c r="AC20" s="263" t="n">
        <v>60.1</v>
      </c>
      <c r="AD20" s="392" t="n">
        <v>100</v>
      </c>
      <c r="AE20" s="391" t="n">
        <v>38.9</v>
      </c>
      <c r="AF20" s="391" t="n">
        <v>1.2</v>
      </c>
      <c r="AG20" s="263" t="n">
        <v>59.9</v>
      </c>
      <c r="AJ20" s="369" t="n"/>
      <c r="AK20" s="369" t="n"/>
      <c r="AL20" s="369" t="n"/>
      <c r="AM20" s="369" t="n"/>
      <c r="AN20" s="369" t="n"/>
      <c r="AO20" s="369" t="n"/>
      <c r="AP20" s="369" t="n"/>
      <c r="AQ20" s="369" t="n"/>
      <c r="AR20" s="369" t="n"/>
      <c r="AS20" s="369" t="n"/>
      <c r="AT20" s="369" t="n"/>
      <c r="AU20" s="369" t="n"/>
    </row>
    <row r="21" ht="15" customHeight="1" s="226">
      <c r="A21" s="260" t="inlineStr">
        <is>
          <t xml:space="preserve"> Смоленская область</t>
        </is>
      </c>
      <c r="B21" s="261" t="n">
        <v>100</v>
      </c>
      <c r="C21" s="336" t="n">
        <v>46.2</v>
      </c>
      <c r="D21" s="336" t="n">
        <v>1.7</v>
      </c>
      <c r="E21" s="389" t="n">
        <v>52.1</v>
      </c>
      <c r="F21" s="336" t="n">
        <v>100</v>
      </c>
      <c r="G21" s="336" t="n">
        <v>43.6</v>
      </c>
      <c r="H21" s="336" t="n">
        <v>1.7</v>
      </c>
      <c r="I21" s="390" t="n">
        <v>54.7</v>
      </c>
      <c r="J21" s="261" t="n">
        <v>100</v>
      </c>
      <c r="K21" s="262" t="n">
        <v>42.8</v>
      </c>
      <c r="L21" s="262" t="n">
        <v>1.5</v>
      </c>
      <c r="M21" s="263" t="n">
        <v>55.7</v>
      </c>
      <c r="N21" s="261" t="n">
        <v>100</v>
      </c>
      <c r="O21" s="262" t="n">
        <v>42.6</v>
      </c>
      <c r="P21" s="262" t="n">
        <v>1.5</v>
      </c>
      <c r="Q21" s="263" t="n">
        <v>55.9</v>
      </c>
      <c r="R21" s="261" t="n">
        <v>100</v>
      </c>
      <c r="S21" s="262" t="n">
        <v>41.2</v>
      </c>
      <c r="T21" s="262" t="n">
        <v>1.5</v>
      </c>
      <c r="U21" s="263" t="n">
        <v>57.3</v>
      </c>
      <c r="V21" s="261" t="n">
        <v>100</v>
      </c>
      <c r="W21" s="262" t="n">
        <v>40.7</v>
      </c>
      <c r="X21" s="262" t="n">
        <v>1.3</v>
      </c>
      <c r="Y21" s="263" t="n">
        <v>58</v>
      </c>
      <c r="Z21" s="261" t="n">
        <v>100</v>
      </c>
      <c r="AA21" s="391" t="n">
        <v>40.9</v>
      </c>
      <c r="AB21" s="391" t="n">
        <v>1.3</v>
      </c>
      <c r="AC21" s="263" t="n">
        <v>57.8</v>
      </c>
      <c r="AD21" s="392" t="n">
        <v>100</v>
      </c>
      <c r="AE21" s="391" t="n">
        <v>41.1</v>
      </c>
      <c r="AF21" s="391" t="n">
        <v>1.1</v>
      </c>
      <c r="AG21" s="263" t="n">
        <v>57.8</v>
      </c>
      <c r="AJ21" s="369" t="n"/>
      <c r="AK21" s="369" t="n"/>
      <c r="AL21" s="369" t="n"/>
      <c r="AM21" s="369" t="n"/>
      <c r="AN21" s="369" t="n"/>
      <c r="AO21" s="369" t="n"/>
      <c r="AP21" s="369" t="n"/>
      <c r="AQ21" s="369" t="n"/>
      <c r="AR21" s="369" t="n"/>
      <c r="AS21" s="369" t="n"/>
      <c r="AT21" s="369" t="n"/>
      <c r="AU21" s="369" t="n"/>
    </row>
    <row r="22" ht="15" customHeight="1" s="226">
      <c r="A22" s="260" t="inlineStr">
        <is>
          <t xml:space="preserve"> Тамбовская область</t>
        </is>
      </c>
      <c r="B22" s="261" t="n">
        <v>100</v>
      </c>
      <c r="C22" s="336" t="n">
        <v>32.9</v>
      </c>
      <c r="D22" s="336" t="n">
        <v>1.6</v>
      </c>
      <c r="E22" s="389" t="n">
        <v>65.5</v>
      </c>
      <c r="F22" s="336" t="n">
        <v>100</v>
      </c>
      <c r="G22" s="336" t="n">
        <v>34.8</v>
      </c>
      <c r="H22" s="336" t="n">
        <v>1.5</v>
      </c>
      <c r="I22" s="390" t="n">
        <v>63.7</v>
      </c>
      <c r="J22" s="261" t="n">
        <v>100</v>
      </c>
      <c r="K22" s="262" t="n">
        <v>33.6</v>
      </c>
      <c r="L22" s="262" t="n">
        <v>1.6</v>
      </c>
      <c r="M22" s="263" t="n">
        <v>64.8</v>
      </c>
      <c r="N22" s="261" t="n">
        <v>100</v>
      </c>
      <c r="O22" s="262" t="n">
        <v>35.7</v>
      </c>
      <c r="P22" s="262" t="n">
        <v>1.5</v>
      </c>
      <c r="Q22" s="263" t="n">
        <v>62.8</v>
      </c>
      <c r="R22" s="261" t="n">
        <v>100</v>
      </c>
      <c r="S22" s="262" t="n">
        <v>34.8</v>
      </c>
      <c r="T22" s="262" t="n">
        <v>1.3</v>
      </c>
      <c r="U22" s="263" t="n">
        <v>63.9</v>
      </c>
      <c r="V22" s="261" t="n">
        <v>100</v>
      </c>
      <c r="W22" s="262" t="n">
        <v>33.7</v>
      </c>
      <c r="X22" s="262" t="n">
        <v>1.1</v>
      </c>
      <c r="Y22" s="263" t="n">
        <v>65.2</v>
      </c>
      <c r="Z22" s="261" t="n">
        <v>100</v>
      </c>
      <c r="AA22" s="391" t="n">
        <v>36.4</v>
      </c>
      <c r="AB22" s="391" t="n">
        <v>1.2</v>
      </c>
      <c r="AC22" s="263" t="n">
        <v>62.4</v>
      </c>
      <c r="AD22" s="392" t="n">
        <v>100</v>
      </c>
      <c r="AE22" s="391" t="n">
        <v>37</v>
      </c>
      <c r="AF22" s="391" t="n">
        <v>1</v>
      </c>
      <c r="AG22" s="263" t="n">
        <v>62</v>
      </c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</row>
    <row r="23" ht="15" customHeight="1" s="226">
      <c r="A23" s="260" t="inlineStr">
        <is>
          <t xml:space="preserve"> Тверская область</t>
        </is>
      </c>
      <c r="B23" s="261" t="n">
        <v>100</v>
      </c>
      <c r="C23" s="336" t="n">
        <v>44.5</v>
      </c>
      <c r="D23" s="336" t="n">
        <v>2.3</v>
      </c>
      <c r="E23" s="389" t="n">
        <v>53.2</v>
      </c>
      <c r="F23" s="336" t="n">
        <v>100</v>
      </c>
      <c r="G23" s="336" t="n">
        <v>44.3</v>
      </c>
      <c r="H23" s="336" t="n">
        <v>2.4</v>
      </c>
      <c r="I23" s="390" t="n">
        <v>53.3</v>
      </c>
      <c r="J23" s="261" t="n">
        <v>100</v>
      </c>
      <c r="K23" s="262" t="n">
        <v>43.7</v>
      </c>
      <c r="L23" s="262" t="n">
        <v>2.3</v>
      </c>
      <c r="M23" s="263" t="n">
        <v>54</v>
      </c>
      <c r="N23" s="261" t="n">
        <v>100</v>
      </c>
      <c r="O23" s="262" t="n">
        <v>43.4</v>
      </c>
      <c r="P23" s="262" t="n">
        <v>1.9</v>
      </c>
      <c r="Q23" s="263" t="n">
        <v>54.7</v>
      </c>
      <c r="R23" s="261" t="n">
        <v>100</v>
      </c>
      <c r="S23" s="262" t="n">
        <v>43.8</v>
      </c>
      <c r="T23" s="262" t="n">
        <v>2</v>
      </c>
      <c r="U23" s="263" t="n">
        <v>54.2</v>
      </c>
      <c r="V23" s="261" t="n">
        <v>100</v>
      </c>
      <c r="W23" s="262" t="n">
        <v>40.8</v>
      </c>
      <c r="X23" s="262" t="n">
        <v>1.7</v>
      </c>
      <c r="Y23" s="263" t="n">
        <v>57.5</v>
      </c>
      <c r="Z23" s="261" t="n">
        <v>100</v>
      </c>
      <c r="AA23" s="391" t="n">
        <v>40.8</v>
      </c>
      <c r="AB23" s="391" t="n">
        <v>1.7</v>
      </c>
      <c r="AC23" s="263" t="n">
        <v>57.5</v>
      </c>
      <c r="AD23" s="392" t="n">
        <v>100</v>
      </c>
      <c r="AE23" s="391" t="n">
        <v>39.4</v>
      </c>
      <c r="AF23" s="391" t="n">
        <v>1.3</v>
      </c>
      <c r="AG23" s="263" t="n">
        <v>59.3</v>
      </c>
      <c r="AJ23" s="369" t="n"/>
      <c r="AK23" s="369" t="n"/>
      <c r="AL23" s="369" t="n"/>
      <c r="AM23" s="369" t="n"/>
      <c r="AN23" s="369" t="n"/>
      <c r="AO23" s="369" t="n"/>
      <c r="AP23" s="369" t="n"/>
      <c r="AQ23" s="369" t="n"/>
      <c r="AR23" s="369" t="n"/>
      <c r="AS23" s="369" t="n"/>
      <c r="AT23" s="369" t="n"/>
      <c r="AU23" s="369" t="n"/>
    </row>
    <row r="24" ht="15" customHeight="1" s="226">
      <c r="A24" s="260" t="inlineStr">
        <is>
          <t xml:space="preserve"> Тульская область</t>
        </is>
      </c>
      <c r="B24" s="261" t="n">
        <v>100</v>
      </c>
      <c r="C24" s="336" t="n">
        <v>39.6</v>
      </c>
      <c r="D24" s="336" t="n">
        <v>1.3</v>
      </c>
      <c r="E24" s="389" t="n">
        <v>59.1</v>
      </c>
      <c r="F24" s="336" t="n">
        <v>100</v>
      </c>
      <c r="G24" s="336" t="n">
        <v>37.9</v>
      </c>
      <c r="H24" s="336" t="n">
        <v>1.3</v>
      </c>
      <c r="I24" s="390" t="n">
        <v>60.8</v>
      </c>
      <c r="J24" s="261" t="n">
        <v>100</v>
      </c>
      <c r="K24" s="262" t="n">
        <v>35.6</v>
      </c>
      <c r="L24" s="262" t="n">
        <v>1.3</v>
      </c>
      <c r="M24" s="263" t="n">
        <v>63.1</v>
      </c>
      <c r="N24" s="261" t="n">
        <v>100</v>
      </c>
      <c r="O24" s="262" t="n">
        <v>38.9</v>
      </c>
      <c r="P24" s="262" t="n">
        <v>1.3</v>
      </c>
      <c r="Q24" s="263" t="n">
        <v>59.8</v>
      </c>
      <c r="R24" s="261" t="n">
        <v>100</v>
      </c>
      <c r="S24" s="262" t="n">
        <v>37.2</v>
      </c>
      <c r="T24" s="262" t="n">
        <v>1.1</v>
      </c>
      <c r="U24" s="263" t="n">
        <v>61.7</v>
      </c>
      <c r="V24" s="261" t="n">
        <v>100</v>
      </c>
      <c r="W24" s="262" t="n">
        <v>35</v>
      </c>
      <c r="X24" s="262" t="n">
        <v>0.9</v>
      </c>
      <c r="Y24" s="263" t="n">
        <v>64.09999999999999</v>
      </c>
      <c r="Z24" s="261" t="n">
        <v>100</v>
      </c>
      <c r="AA24" s="391" t="n">
        <v>33.6</v>
      </c>
      <c r="AB24" s="391" t="n">
        <v>0.9</v>
      </c>
      <c r="AC24" s="263" t="n">
        <v>65.5</v>
      </c>
      <c r="AD24" s="392" t="n">
        <v>100</v>
      </c>
      <c r="AE24" s="391" t="n">
        <v>35</v>
      </c>
      <c r="AF24" s="391" t="n">
        <v>0.8</v>
      </c>
      <c r="AG24" s="263" t="n">
        <v>64.2</v>
      </c>
      <c r="AJ24" s="369" t="n"/>
      <c r="AK24" s="369" t="n"/>
      <c r="AL24" s="369" t="n"/>
      <c r="AM24" s="369" t="n"/>
      <c r="AN24" s="369" t="n"/>
      <c r="AO24" s="369" t="n"/>
      <c r="AP24" s="369" t="n"/>
      <c r="AQ24" s="369" t="n"/>
      <c r="AR24" s="369" t="n"/>
      <c r="AS24" s="369" t="n"/>
      <c r="AT24" s="369" t="n"/>
      <c r="AU24" s="369" t="n"/>
    </row>
    <row r="25" ht="15" customHeight="1" s="226">
      <c r="A25" s="260" t="inlineStr">
        <is>
          <t xml:space="preserve"> Ярославская область</t>
        </is>
      </c>
      <c r="B25" s="261" t="n">
        <v>100</v>
      </c>
      <c r="C25" s="336" t="n">
        <v>43.3</v>
      </c>
      <c r="D25" s="336" t="n">
        <v>1.8</v>
      </c>
      <c r="E25" s="389" t="n">
        <v>54.9</v>
      </c>
      <c r="F25" s="336" t="n">
        <v>100</v>
      </c>
      <c r="G25" s="336" t="n">
        <v>43.7</v>
      </c>
      <c r="H25" s="336" t="n">
        <v>1.7</v>
      </c>
      <c r="I25" s="390" t="n">
        <v>54.6</v>
      </c>
      <c r="J25" s="261" t="n">
        <v>100</v>
      </c>
      <c r="K25" s="262" t="n">
        <v>43.6</v>
      </c>
      <c r="L25" s="262" t="n">
        <v>1.6</v>
      </c>
      <c r="M25" s="263" t="n">
        <v>54.8</v>
      </c>
      <c r="N25" s="261" t="n">
        <v>100</v>
      </c>
      <c r="O25" s="262" t="n">
        <v>44.4</v>
      </c>
      <c r="P25" s="262" t="n">
        <v>1.3</v>
      </c>
      <c r="Q25" s="263" t="n">
        <v>54.3</v>
      </c>
      <c r="R25" s="261" t="n">
        <v>100</v>
      </c>
      <c r="S25" s="262" t="n">
        <v>44.6</v>
      </c>
      <c r="T25" s="262" t="n">
        <v>1.3</v>
      </c>
      <c r="U25" s="263" t="n">
        <v>54.1</v>
      </c>
      <c r="V25" s="261" t="n">
        <v>100</v>
      </c>
      <c r="W25" s="262" t="n">
        <v>43.9</v>
      </c>
      <c r="X25" s="262" t="n">
        <v>1.2</v>
      </c>
      <c r="Y25" s="263" t="n">
        <v>54.9</v>
      </c>
      <c r="Z25" s="261" t="n">
        <v>100</v>
      </c>
      <c r="AA25" s="391" t="n">
        <v>43.2</v>
      </c>
      <c r="AB25" s="391" t="n">
        <v>1.2</v>
      </c>
      <c r="AC25" s="263" t="n">
        <v>55.6</v>
      </c>
      <c r="AD25" s="392" t="n">
        <v>100</v>
      </c>
      <c r="AE25" s="391" t="n">
        <v>44.1</v>
      </c>
      <c r="AF25" s="391" t="n">
        <v>1.1</v>
      </c>
      <c r="AG25" s="263" t="n">
        <v>54.8</v>
      </c>
      <c r="AJ25" s="369" t="n"/>
      <c r="AK25" s="369" t="n"/>
      <c r="AL25" s="369" t="n"/>
      <c r="AM25" s="369" t="n"/>
      <c r="AN25" s="369" t="n"/>
      <c r="AO25" s="369" t="n"/>
      <c r="AP25" s="369" t="n"/>
      <c r="AQ25" s="369" t="n"/>
      <c r="AR25" s="369" t="n"/>
      <c r="AS25" s="369" t="n"/>
      <c r="AT25" s="369" t="n"/>
      <c r="AU25" s="369" t="n"/>
    </row>
    <row r="26" ht="15" customHeight="1" s="226">
      <c r="A26" s="260" t="inlineStr">
        <is>
          <t xml:space="preserve"> г.Москва</t>
        </is>
      </c>
      <c r="B26" s="261" t="n">
        <v>100</v>
      </c>
      <c r="C26" s="336" t="n">
        <v>34.5</v>
      </c>
      <c r="D26" s="336" t="n">
        <v>0.9</v>
      </c>
      <c r="E26" s="389" t="n">
        <v>64.59999999999999</v>
      </c>
      <c r="F26" s="336" t="n">
        <v>100</v>
      </c>
      <c r="G26" s="336" t="n">
        <v>35</v>
      </c>
      <c r="H26" s="336" t="n">
        <v>1.1</v>
      </c>
      <c r="I26" s="390" t="n">
        <v>63.9</v>
      </c>
      <c r="J26" s="261" t="n">
        <v>100</v>
      </c>
      <c r="K26" s="262" t="n">
        <v>34.6</v>
      </c>
      <c r="L26" s="262" t="n">
        <v>1</v>
      </c>
      <c r="M26" s="263" t="n">
        <v>64.40000000000001</v>
      </c>
      <c r="N26" s="261" t="n">
        <v>100</v>
      </c>
      <c r="O26" s="262" t="n">
        <v>36.4</v>
      </c>
      <c r="P26" s="262" t="n">
        <v>0.9</v>
      </c>
      <c r="Q26" s="263" t="n">
        <v>62.7</v>
      </c>
      <c r="R26" s="261" t="n">
        <v>100</v>
      </c>
      <c r="S26" s="262" t="n">
        <v>38.4</v>
      </c>
      <c r="T26" s="262" t="n">
        <v>0.9</v>
      </c>
      <c r="U26" s="263" t="n">
        <v>60.7</v>
      </c>
      <c r="V26" s="261" t="n">
        <v>100</v>
      </c>
      <c r="W26" s="262" t="n">
        <v>34.9</v>
      </c>
      <c r="X26" s="262" t="n">
        <v>0.9</v>
      </c>
      <c r="Y26" s="263" t="n">
        <v>64.2</v>
      </c>
      <c r="Z26" s="261" t="n">
        <v>100</v>
      </c>
      <c r="AA26" s="391" t="n">
        <v>34.3</v>
      </c>
      <c r="AB26" s="391" t="n">
        <v>0.8</v>
      </c>
      <c r="AC26" s="263" t="n">
        <v>64.90000000000001</v>
      </c>
      <c r="AD26" s="392" t="n">
        <v>100</v>
      </c>
      <c r="AE26" s="391" t="n">
        <v>33.1</v>
      </c>
      <c r="AF26" s="391" t="n">
        <v>0.7</v>
      </c>
      <c r="AG26" s="263" t="n">
        <v>66.2</v>
      </c>
      <c r="AJ26" s="369" t="n"/>
      <c r="AK26" s="369" t="n"/>
      <c r="AL26" s="369" t="n"/>
      <c r="AM26" s="369" t="n"/>
      <c r="AN26" s="369" t="n"/>
      <c r="AO26" s="369" t="n"/>
      <c r="AP26" s="369" t="n"/>
      <c r="AQ26" s="369" t="n"/>
      <c r="AR26" s="369" t="n"/>
      <c r="AS26" s="369" t="n"/>
      <c r="AT26" s="369" t="n"/>
      <c r="AU26" s="369" t="n"/>
    </row>
    <row r="27" ht="15" customHeight="1" s="226">
      <c r="A27" s="253" t="inlineStr">
        <is>
          <t>Северо-Западный федеральный округ</t>
        </is>
      </c>
      <c r="B27" s="254" t="n">
        <v>100</v>
      </c>
      <c r="C27" s="370" t="n">
        <v>40.3</v>
      </c>
      <c r="D27" s="370" t="n">
        <v>1.5</v>
      </c>
      <c r="E27" s="370" t="n">
        <v>58.2</v>
      </c>
      <c r="F27" s="370" t="n">
        <v>100</v>
      </c>
      <c r="G27" s="370" t="n">
        <v>41.1</v>
      </c>
      <c r="H27" s="370" t="n">
        <v>1.6</v>
      </c>
      <c r="I27" s="376" t="n">
        <v>57.3</v>
      </c>
      <c r="J27" s="254" t="n">
        <v>100</v>
      </c>
      <c r="K27" s="254" t="n">
        <v>40.3</v>
      </c>
      <c r="L27" s="254" t="n">
        <v>1.6</v>
      </c>
      <c r="M27" s="254" t="n">
        <v>58.1</v>
      </c>
      <c r="N27" s="254" t="n">
        <v>100</v>
      </c>
      <c r="O27" s="254" t="n">
        <v>40.5</v>
      </c>
      <c r="P27" s="254" t="n">
        <v>1.4</v>
      </c>
      <c r="Q27" s="254" t="n">
        <v>58.1</v>
      </c>
      <c r="R27" s="254" t="n">
        <v>100</v>
      </c>
      <c r="S27" s="254" t="n">
        <v>42.2</v>
      </c>
      <c r="T27" s="254" t="n">
        <v>1.4</v>
      </c>
      <c r="U27" s="254" t="n">
        <v>56.4</v>
      </c>
      <c r="V27" s="254" t="n">
        <v>100</v>
      </c>
      <c r="W27" s="254" t="n">
        <v>30.3</v>
      </c>
      <c r="X27" s="254" t="n">
        <v>0.9</v>
      </c>
      <c r="Y27" s="254" t="n">
        <v>68.8</v>
      </c>
      <c r="Z27" s="254" t="n">
        <v>100</v>
      </c>
      <c r="AA27" s="254" t="n">
        <v>29.7</v>
      </c>
      <c r="AB27" s="254" t="n">
        <v>0.9</v>
      </c>
      <c r="AC27" s="254" t="n">
        <v>69.40000000000001</v>
      </c>
      <c r="AD27" s="254" t="n">
        <v>100</v>
      </c>
      <c r="AE27" s="254" t="n">
        <v>33.3</v>
      </c>
      <c r="AF27" s="254" t="n">
        <v>1</v>
      </c>
      <c r="AG27" s="254" t="n">
        <v>65.7</v>
      </c>
      <c r="AJ27" s="369" t="n"/>
      <c r="AK27" s="369" t="n"/>
      <c r="AL27" s="369" t="n"/>
      <c r="AM27" s="369" t="n"/>
      <c r="AN27" s="369" t="n"/>
      <c r="AO27" s="369" t="n"/>
      <c r="AP27" s="369" t="n"/>
      <c r="AQ27" s="369" t="n"/>
      <c r="AR27" s="369" t="n"/>
      <c r="AS27" s="369" t="n"/>
      <c r="AT27" s="369" t="n"/>
      <c r="AU27" s="369" t="n"/>
    </row>
    <row r="28" ht="15" customHeight="1" s="226">
      <c r="A28" s="260" t="inlineStr">
        <is>
          <t xml:space="preserve"> Республика Карелия</t>
        </is>
      </c>
      <c r="B28" s="261" t="n">
        <v>100</v>
      </c>
      <c r="C28" s="336" t="n">
        <v>43.4</v>
      </c>
      <c r="D28" s="336" t="n">
        <v>1.2</v>
      </c>
      <c r="E28" s="389" t="n">
        <v>55.4</v>
      </c>
      <c r="F28" s="336" t="n">
        <v>100</v>
      </c>
      <c r="G28" s="336" t="n">
        <v>42.7</v>
      </c>
      <c r="H28" s="336" t="n">
        <v>1.2</v>
      </c>
      <c r="I28" s="390" t="n">
        <v>56.1</v>
      </c>
      <c r="J28" s="261" t="n">
        <v>100</v>
      </c>
      <c r="K28" s="262" t="n">
        <v>39.8</v>
      </c>
      <c r="L28" s="262" t="n">
        <v>1.2</v>
      </c>
      <c r="M28" s="263" t="n">
        <v>59</v>
      </c>
      <c r="N28" s="261" t="n">
        <v>100</v>
      </c>
      <c r="O28" s="262" t="n">
        <v>38.9</v>
      </c>
      <c r="P28" s="262" t="n">
        <v>1</v>
      </c>
      <c r="Q28" s="263" t="n">
        <v>60.1</v>
      </c>
      <c r="R28" s="261" t="n">
        <v>100</v>
      </c>
      <c r="S28" s="262" t="n">
        <v>40.9</v>
      </c>
      <c r="T28" s="262" t="n">
        <v>1</v>
      </c>
      <c r="U28" s="263" t="n">
        <v>58.1</v>
      </c>
      <c r="V28" s="261" t="n">
        <v>100</v>
      </c>
      <c r="W28" s="262" t="n">
        <v>32.5</v>
      </c>
      <c r="X28" s="262" t="n">
        <v>0.8</v>
      </c>
      <c r="Y28" s="263" t="n">
        <v>66.7</v>
      </c>
      <c r="Z28" s="261" t="n">
        <v>100</v>
      </c>
      <c r="AA28" s="391" t="n">
        <v>41</v>
      </c>
      <c r="AB28" s="391" t="n">
        <v>0.9</v>
      </c>
      <c r="AC28" s="263" t="n">
        <v>58.1</v>
      </c>
      <c r="AD28" s="392" t="n">
        <v>100</v>
      </c>
      <c r="AE28" s="391" t="n">
        <v>41</v>
      </c>
      <c r="AF28" s="391" t="n">
        <v>0.9</v>
      </c>
      <c r="AG28" s="263" t="n">
        <v>58.1</v>
      </c>
      <c r="AJ28" s="369" t="n"/>
      <c r="AK28" s="369" t="n"/>
      <c r="AL28" s="369" t="n"/>
      <c r="AM28" s="369" t="n"/>
      <c r="AN28" s="369" t="n"/>
      <c r="AO28" s="369" t="n"/>
      <c r="AP28" s="369" t="n"/>
      <c r="AQ28" s="369" t="n"/>
      <c r="AR28" s="369" t="n"/>
      <c r="AS28" s="369" t="n"/>
      <c r="AT28" s="369" t="n"/>
      <c r="AU28" s="369" t="n"/>
    </row>
    <row r="29" ht="15" customHeight="1" s="226">
      <c r="A29" s="260" t="inlineStr">
        <is>
          <t xml:space="preserve"> Республика Коми</t>
        </is>
      </c>
      <c r="B29" s="261" t="n">
        <v>100</v>
      </c>
      <c r="C29" s="336" t="n">
        <v>43.7</v>
      </c>
      <c r="D29" s="336" t="n">
        <v>2.6</v>
      </c>
      <c r="E29" s="389" t="n">
        <v>53.7</v>
      </c>
      <c r="F29" s="336" t="n">
        <v>100</v>
      </c>
      <c r="G29" s="336" t="n">
        <v>40.9</v>
      </c>
      <c r="H29" s="336" t="n">
        <v>3.3</v>
      </c>
      <c r="I29" s="390" t="n">
        <v>55.8</v>
      </c>
      <c r="J29" s="261" t="n">
        <v>100</v>
      </c>
      <c r="K29" s="262" t="n">
        <v>37.4</v>
      </c>
      <c r="L29" s="262" t="n">
        <v>3.4</v>
      </c>
      <c r="M29" s="263" t="n">
        <v>59.2</v>
      </c>
      <c r="N29" s="261" t="n">
        <v>100</v>
      </c>
      <c r="O29" s="262" t="n">
        <v>37.6</v>
      </c>
      <c r="P29" s="262" t="n">
        <v>3.1</v>
      </c>
      <c r="Q29" s="263" t="n">
        <v>59.3</v>
      </c>
      <c r="R29" s="261" t="n">
        <v>100</v>
      </c>
      <c r="S29" s="262" t="n">
        <v>44.6</v>
      </c>
      <c r="T29" s="262" t="n">
        <v>3.6</v>
      </c>
      <c r="U29" s="263" t="n">
        <v>51.8</v>
      </c>
      <c r="V29" s="261" t="n">
        <v>100</v>
      </c>
      <c r="W29" s="262" t="n">
        <v>32.6</v>
      </c>
      <c r="X29" s="262" t="n">
        <v>2.5</v>
      </c>
      <c r="Y29" s="263" t="n">
        <v>64.90000000000001</v>
      </c>
      <c r="Z29" s="261" t="n">
        <v>100</v>
      </c>
      <c r="AA29" s="391" t="n">
        <v>32</v>
      </c>
      <c r="AB29" s="391" t="n">
        <v>2.6</v>
      </c>
      <c r="AC29" s="263" t="n">
        <v>65.40000000000001</v>
      </c>
      <c r="AD29" s="392" t="n">
        <v>100</v>
      </c>
      <c r="AE29" s="391" t="n">
        <v>32.8</v>
      </c>
      <c r="AF29" s="391" t="n">
        <v>2.6</v>
      </c>
      <c r="AG29" s="263" t="n">
        <v>64.59999999999999</v>
      </c>
      <c r="AJ29" s="369" t="n"/>
      <c r="AK29" s="369" t="n"/>
      <c r="AL29" s="369" t="n"/>
      <c r="AM29" s="369" t="n"/>
      <c r="AN29" s="369" t="n"/>
      <c r="AO29" s="369" t="n"/>
      <c r="AP29" s="369" t="n"/>
      <c r="AQ29" s="369" t="n"/>
      <c r="AR29" s="369" t="n"/>
      <c r="AS29" s="369" t="n"/>
      <c r="AT29" s="369" t="n"/>
      <c r="AU29" s="369" t="n"/>
    </row>
    <row r="30" ht="15" customHeight="1" s="226">
      <c r="A30" s="260" t="inlineStr">
        <is>
          <t xml:space="preserve"> Архангельская область</t>
        </is>
      </c>
      <c r="B30" s="261" t="n">
        <v>100</v>
      </c>
      <c r="C30" s="336" t="n">
        <v>35.4</v>
      </c>
      <c r="D30" s="336" t="n">
        <v>1.8</v>
      </c>
      <c r="E30" s="389" t="n">
        <v>62.8</v>
      </c>
      <c r="F30" s="336" t="n">
        <v>100</v>
      </c>
      <c r="G30" s="336" t="n">
        <v>35.5</v>
      </c>
      <c r="H30" s="336" t="n">
        <v>1.9</v>
      </c>
      <c r="I30" s="390" t="n">
        <v>62.6</v>
      </c>
      <c r="J30" s="261" t="n">
        <v>100</v>
      </c>
      <c r="K30" s="262" t="n">
        <v>33</v>
      </c>
      <c r="L30" s="262" t="n">
        <v>1.9</v>
      </c>
      <c r="M30" s="263" t="n">
        <v>65.09999999999999</v>
      </c>
      <c r="N30" s="261" t="n">
        <v>100</v>
      </c>
      <c r="O30" s="262" t="n">
        <v>34.2</v>
      </c>
      <c r="P30" s="262" t="n">
        <v>1.8</v>
      </c>
      <c r="Q30" s="263" t="n">
        <v>64</v>
      </c>
      <c r="R30" s="261" t="n">
        <v>100</v>
      </c>
      <c r="S30" s="262" t="n">
        <v>39.2</v>
      </c>
      <c r="T30" s="262" t="n">
        <v>2</v>
      </c>
      <c r="U30" s="263" t="n">
        <v>58.8</v>
      </c>
      <c r="V30" s="261" t="n">
        <v>100</v>
      </c>
      <c r="W30" s="262" t="n">
        <v>32</v>
      </c>
      <c r="X30" s="262" t="n">
        <v>1.4</v>
      </c>
      <c r="Y30" s="263" t="n">
        <v>66.59999999999999</v>
      </c>
      <c r="Z30" s="261" t="n">
        <v>100</v>
      </c>
      <c r="AA30" s="391" t="n">
        <v>31.8</v>
      </c>
      <c r="AB30" s="391" t="n">
        <v>1.4</v>
      </c>
      <c r="AC30" s="263" t="n">
        <v>66.8</v>
      </c>
      <c r="AD30" s="392" t="n">
        <v>100</v>
      </c>
      <c r="AE30" s="391" t="n">
        <v>33.2</v>
      </c>
      <c r="AF30" s="391" t="n">
        <v>1.4</v>
      </c>
      <c r="AG30" s="263" t="n">
        <v>65.40000000000001</v>
      </c>
      <c r="AJ30" s="369" t="n"/>
      <c r="AK30" s="369" t="n"/>
      <c r="AL30" s="369" t="n"/>
      <c r="AM30" s="369" t="n"/>
      <c r="AN30" s="369" t="n"/>
      <c r="AO30" s="369" t="n"/>
      <c r="AP30" s="369" t="n"/>
      <c r="AQ30" s="369" t="n"/>
      <c r="AR30" s="369" t="n"/>
      <c r="AS30" s="369" t="n"/>
      <c r="AT30" s="369" t="n"/>
      <c r="AU30" s="369" t="n"/>
    </row>
    <row r="31" ht="15" customHeight="1" s="226">
      <c r="A31" s="260" t="inlineStr">
        <is>
          <t xml:space="preserve">     в т.ч. Ненецкий АО</t>
        </is>
      </c>
      <c r="B31" s="261" t="n">
        <v>100</v>
      </c>
      <c r="C31" s="336" t="n">
        <v>13.6</v>
      </c>
      <c r="D31" s="336" t="n">
        <v>2.2</v>
      </c>
      <c r="E31" s="389" t="n">
        <v>84.2</v>
      </c>
      <c r="F31" s="336" t="n">
        <v>100</v>
      </c>
      <c r="G31" s="336" t="n">
        <v>14.9</v>
      </c>
      <c r="H31" s="336" t="n">
        <v>2.3</v>
      </c>
      <c r="I31" s="390" t="n">
        <v>82.8</v>
      </c>
      <c r="J31" s="261" t="n">
        <v>100</v>
      </c>
      <c r="K31" s="262" t="n">
        <v>11.9</v>
      </c>
      <c r="L31" s="262" t="n">
        <v>1.9</v>
      </c>
      <c r="M31" s="263" t="n">
        <v>86.2</v>
      </c>
      <c r="N31" s="261" t="n">
        <v>100</v>
      </c>
      <c r="O31" s="262" t="n">
        <v>12.4</v>
      </c>
      <c r="P31" s="262" t="n">
        <v>1.8</v>
      </c>
      <c r="Q31" s="263" t="n">
        <v>85.8</v>
      </c>
      <c r="R31" s="261" t="n">
        <v>100</v>
      </c>
      <c r="S31" s="262" t="n">
        <v>17</v>
      </c>
      <c r="T31" s="262" t="n">
        <v>2.9</v>
      </c>
      <c r="U31" s="263" t="n">
        <v>80.09999999999999</v>
      </c>
      <c r="V31" s="261" t="n">
        <v>100</v>
      </c>
      <c r="W31" s="262" t="n">
        <v>10.3</v>
      </c>
      <c r="X31" s="262" t="n">
        <v>1.4</v>
      </c>
      <c r="Y31" s="263" t="n">
        <v>88.3</v>
      </c>
      <c r="Z31" s="261" t="n">
        <v>100</v>
      </c>
      <c r="AA31" s="391" t="n">
        <v>10.2</v>
      </c>
      <c r="AB31" s="391" t="n">
        <v>1.2</v>
      </c>
      <c r="AC31" s="263" t="n">
        <v>88.59999999999999</v>
      </c>
      <c r="AD31" s="392" t="n">
        <v>100</v>
      </c>
      <c r="AE31" s="391" t="n">
        <v>11.1</v>
      </c>
      <c r="AF31" s="391" t="n">
        <v>1.2</v>
      </c>
      <c r="AG31" s="263" t="n">
        <v>87.7</v>
      </c>
      <c r="AJ31" s="369" t="n"/>
      <c r="AK31" s="369" t="n"/>
      <c r="AL31" s="369" t="n"/>
      <c r="AM31" s="369" t="n"/>
      <c r="AN31" s="369" t="n"/>
      <c r="AO31" s="369" t="n"/>
      <c r="AP31" s="369" t="n"/>
      <c r="AQ31" s="369" t="n"/>
      <c r="AR31" s="369" t="n"/>
      <c r="AS31" s="369" t="n"/>
      <c r="AT31" s="369" t="n"/>
      <c r="AU31" s="369" t="n"/>
    </row>
    <row r="32" ht="19.5" customHeight="1" s="226">
      <c r="A32" s="260" t="inlineStr">
        <is>
          <t>Архангельская область без Ненецкого АО</t>
        </is>
      </c>
      <c r="B32" s="321" t="n">
        <v>100</v>
      </c>
      <c r="C32" s="375" t="n">
        <v>48.1</v>
      </c>
      <c r="D32" s="375" t="n">
        <v>1.7</v>
      </c>
      <c r="E32" s="393" t="n">
        <v>50.2</v>
      </c>
      <c r="F32" s="375" t="n">
        <v>100</v>
      </c>
      <c r="G32" s="375" t="n">
        <v>46.6</v>
      </c>
      <c r="H32" s="375" t="n">
        <v>1.7</v>
      </c>
      <c r="I32" s="394" t="n">
        <v>51.7</v>
      </c>
      <c r="J32" s="261" t="n">
        <v>100</v>
      </c>
      <c r="K32" s="262" t="n">
        <v>45.4</v>
      </c>
      <c r="L32" s="262" t="n">
        <v>1.8</v>
      </c>
      <c r="M32" s="263" t="n">
        <v>52.8</v>
      </c>
      <c r="N32" s="261" t="n">
        <v>100</v>
      </c>
      <c r="O32" s="262" t="n">
        <v>47.1</v>
      </c>
      <c r="P32" s="262" t="n">
        <v>1.8</v>
      </c>
      <c r="Q32" s="263" t="n">
        <v>51.1</v>
      </c>
      <c r="R32" s="261" t="n">
        <v>100</v>
      </c>
      <c r="S32" s="262" t="n">
        <v>48.5</v>
      </c>
      <c r="T32" s="262" t="n">
        <v>1.6</v>
      </c>
      <c r="U32" s="263" t="n">
        <v>49.9</v>
      </c>
      <c r="V32" s="261" t="n">
        <v>100</v>
      </c>
      <c r="W32" s="262" t="n">
        <v>45.3</v>
      </c>
      <c r="X32" s="262" t="n">
        <v>1.3</v>
      </c>
      <c r="Y32" s="263" t="n">
        <v>53.4</v>
      </c>
      <c r="Z32" s="261" t="n">
        <v>100</v>
      </c>
      <c r="AA32" s="391" t="n">
        <v>46.9</v>
      </c>
      <c r="AB32" s="391" t="n">
        <v>1.5</v>
      </c>
      <c r="AC32" s="263" t="n">
        <v>51.6</v>
      </c>
      <c r="AD32" s="392" t="n">
        <v>100</v>
      </c>
      <c r="AE32" s="391" t="n">
        <v>47.8</v>
      </c>
      <c r="AF32" s="391" t="n">
        <v>1.5</v>
      </c>
      <c r="AG32" s="263" t="n">
        <v>50.7</v>
      </c>
      <c r="AJ32" s="369" t="n"/>
      <c r="AK32" s="369" t="n"/>
      <c r="AL32" s="369" t="n"/>
      <c r="AM32" s="369" t="n"/>
      <c r="AN32" s="369" t="n"/>
      <c r="AO32" s="369" t="n"/>
      <c r="AP32" s="369" t="n"/>
      <c r="AQ32" s="369" t="n"/>
      <c r="AR32" s="369" t="n"/>
      <c r="AS32" s="369" t="n"/>
      <c r="AT32" s="369" t="n"/>
      <c r="AU32" s="369" t="n"/>
    </row>
    <row r="33" ht="15" customHeight="1" s="226">
      <c r="A33" s="260" t="inlineStr">
        <is>
          <t xml:space="preserve"> Вологодская область</t>
        </is>
      </c>
      <c r="B33" s="261" t="n">
        <v>100</v>
      </c>
      <c r="C33" s="336" t="n">
        <v>36.4</v>
      </c>
      <c r="D33" s="336" t="n">
        <v>2.3</v>
      </c>
      <c r="E33" s="389" t="n">
        <v>61.3</v>
      </c>
      <c r="F33" s="336" t="n">
        <v>100</v>
      </c>
      <c r="G33" s="336" t="n">
        <v>36.9</v>
      </c>
      <c r="H33" s="336" t="n">
        <v>2.4</v>
      </c>
      <c r="I33" s="390" t="n">
        <v>60.7</v>
      </c>
      <c r="J33" s="261" t="n">
        <v>100</v>
      </c>
      <c r="K33" s="262" t="n">
        <v>34.7</v>
      </c>
      <c r="L33" s="262" t="n">
        <v>2.5</v>
      </c>
      <c r="M33" s="263" t="n">
        <v>62.8</v>
      </c>
      <c r="N33" s="261" t="n">
        <v>100</v>
      </c>
      <c r="O33" s="262" t="n">
        <v>36.9</v>
      </c>
      <c r="P33" s="262" t="n">
        <v>2.3</v>
      </c>
      <c r="Q33" s="263" t="n">
        <v>60.8</v>
      </c>
      <c r="R33" s="261" t="n">
        <v>100</v>
      </c>
      <c r="S33" s="262" t="n">
        <v>40.1</v>
      </c>
      <c r="T33" s="262" t="n">
        <v>2.2</v>
      </c>
      <c r="U33" s="263" t="n">
        <v>57.7</v>
      </c>
      <c r="V33" s="261" t="n">
        <v>100</v>
      </c>
      <c r="W33" s="262" t="n">
        <v>27.2</v>
      </c>
      <c r="X33" s="262" t="n">
        <v>1.3</v>
      </c>
      <c r="Y33" s="263" t="n">
        <v>71.5</v>
      </c>
      <c r="Z33" s="261" t="n">
        <v>100</v>
      </c>
      <c r="AA33" s="391" t="n">
        <v>29.4</v>
      </c>
      <c r="AB33" s="391" t="n">
        <v>1.6</v>
      </c>
      <c r="AC33" s="263" t="n">
        <v>69</v>
      </c>
      <c r="AD33" s="392" t="n">
        <v>100</v>
      </c>
      <c r="AE33" s="391" t="n">
        <v>30.4</v>
      </c>
      <c r="AF33" s="391" t="n">
        <v>1.6</v>
      </c>
      <c r="AG33" s="263" t="n">
        <v>68</v>
      </c>
      <c r="AJ33" s="369" t="n"/>
      <c r="AK33" s="369" t="n"/>
      <c r="AL33" s="369" t="n"/>
      <c r="AM33" s="369" t="n"/>
      <c r="AN33" s="369" t="n"/>
      <c r="AO33" s="369" t="n"/>
      <c r="AP33" s="369" t="n"/>
      <c r="AQ33" s="369" t="n"/>
      <c r="AR33" s="369" t="n"/>
      <c r="AS33" s="369" t="n"/>
      <c r="AT33" s="369" t="n"/>
      <c r="AU33" s="369" t="n"/>
    </row>
    <row r="34" ht="15" customHeight="1" s="226">
      <c r="A34" s="260" t="inlineStr">
        <is>
          <t xml:space="preserve"> Калининградская область</t>
        </is>
      </c>
      <c r="B34" s="261" t="n">
        <v>100</v>
      </c>
      <c r="C34" s="336" t="n">
        <v>34.8</v>
      </c>
      <c r="D34" s="336" t="n">
        <v>1.2</v>
      </c>
      <c r="E34" s="389" t="n">
        <v>64</v>
      </c>
      <c r="F34" s="336" t="n">
        <v>100</v>
      </c>
      <c r="G34" s="336" t="n">
        <v>35.3</v>
      </c>
      <c r="H34" s="336" t="n">
        <v>1.3</v>
      </c>
      <c r="I34" s="390" t="n">
        <v>63.4</v>
      </c>
      <c r="J34" s="261" t="n">
        <v>100</v>
      </c>
      <c r="K34" s="262" t="n">
        <v>34.9</v>
      </c>
      <c r="L34" s="262" t="n">
        <v>1.4</v>
      </c>
      <c r="M34" s="263" t="n">
        <v>63.7</v>
      </c>
      <c r="N34" s="261" t="n">
        <v>100</v>
      </c>
      <c r="O34" s="262" t="n">
        <v>34.9</v>
      </c>
      <c r="P34" s="262" t="n">
        <v>1.5</v>
      </c>
      <c r="Q34" s="263" t="n">
        <v>63.6</v>
      </c>
      <c r="R34" s="261" t="n">
        <v>100</v>
      </c>
      <c r="S34" s="262" t="n">
        <v>34.6</v>
      </c>
      <c r="T34" s="262" t="n">
        <v>1.4</v>
      </c>
      <c r="U34" s="263" t="n">
        <v>64</v>
      </c>
      <c r="V34" s="261" t="n">
        <v>100</v>
      </c>
      <c r="W34" s="262" t="n">
        <v>32.6</v>
      </c>
      <c r="X34" s="262" t="n">
        <v>1.3</v>
      </c>
      <c r="Y34" s="263" t="n">
        <v>66.09999999999999</v>
      </c>
      <c r="Z34" s="261" t="n">
        <v>100</v>
      </c>
      <c r="AA34" s="391" t="n">
        <v>32.1</v>
      </c>
      <c r="AB34" s="391" t="n">
        <v>1.2</v>
      </c>
      <c r="AC34" s="263" t="n">
        <v>66.7</v>
      </c>
      <c r="AD34" s="392" t="n">
        <v>100</v>
      </c>
      <c r="AE34" s="391" t="n">
        <v>34.5</v>
      </c>
      <c r="AF34" s="391" t="n">
        <v>1.2</v>
      </c>
      <c r="AG34" s="263" t="n">
        <v>64.3</v>
      </c>
      <c r="AJ34" s="369" t="n"/>
      <c r="AK34" s="369" t="n"/>
      <c r="AL34" s="369" t="n"/>
      <c r="AM34" s="369" t="n"/>
      <c r="AN34" s="369" t="n"/>
      <c r="AO34" s="369" t="n"/>
      <c r="AP34" s="369" t="n"/>
      <c r="AQ34" s="369" t="n"/>
      <c r="AR34" s="369" t="n"/>
      <c r="AS34" s="369" t="n"/>
      <c r="AT34" s="369" t="n"/>
      <c r="AU34" s="369" t="n"/>
    </row>
    <row r="35" ht="15" customHeight="1" s="226">
      <c r="A35" s="260" t="inlineStr">
        <is>
          <t xml:space="preserve"> Ленинградская область</t>
        </is>
      </c>
      <c r="B35" s="261" t="n">
        <v>100</v>
      </c>
      <c r="C35" s="336" t="n">
        <v>33.7</v>
      </c>
      <c r="D35" s="336" t="n">
        <v>2.1</v>
      </c>
      <c r="E35" s="389" t="n">
        <v>64.2</v>
      </c>
      <c r="F35" s="336" t="n">
        <v>100</v>
      </c>
      <c r="G35" s="336" t="n">
        <v>34.8</v>
      </c>
      <c r="H35" s="336" t="n">
        <v>2.2</v>
      </c>
      <c r="I35" s="390" t="n">
        <v>63</v>
      </c>
      <c r="J35" s="261" t="n">
        <v>100</v>
      </c>
      <c r="K35" s="262" t="n">
        <v>34.3</v>
      </c>
      <c r="L35" s="262" t="n">
        <v>2.2</v>
      </c>
      <c r="M35" s="263" t="n">
        <v>63.5</v>
      </c>
      <c r="N35" s="261" t="n">
        <v>100</v>
      </c>
      <c r="O35" s="262" t="n">
        <v>35.1</v>
      </c>
      <c r="P35" s="262" t="n">
        <v>2.2</v>
      </c>
      <c r="Q35" s="263" t="n">
        <v>62.7</v>
      </c>
      <c r="R35" s="261" t="n">
        <v>100</v>
      </c>
      <c r="S35" s="262" t="n">
        <v>35.6</v>
      </c>
      <c r="T35" s="262" t="n">
        <v>2.1</v>
      </c>
      <c r="U35" s="263" t="n">
        <v>62.3</v>
      </c>
      <c r="V35" s="261" t="n">
        <v>100</v>
      </c>
      <c r="W35" s="262" t="n">
        <v>32</v>
      </c>
      <c r="X35" s="262" t="n">
        <v>1.9</v>
      </c>
      <c r="Y35" s="263" t="n">
        <v>66.09999999999999</v>
      </c>
      <c r="Z35" s="261" t="n">
        <v>100</v>
      </c>
      <c r="AA35" s="391" t="n">
        <v>32.4</v>
      </c>
      <c r="AB35" s="391" t="n">
        <v>2</v>
      </c>
      <c r="AC35" s="263" t="n">
        <v>65.59999999999999</v>
      </c>
      <c r="AD35" s="392" t="n">
        <v>100</v>
      </c>
      <c r="AE35" s="391" t="n">
        <v>32.6</v>
      </c>
      <c r="AF35" s="391" t="n">
        <v>1.9</v>
      </c>
      <c r="AG35" s="263" t="n">
        <v>65.5</v>
      </c>
      <c r="AJ35" s="369" t="n"/>
      <c r="AK35" s="369" t="n"/>
      <c r="AL35" s="369" t="n"/>
      <c r="AM35" s="369" t="n"/>
      <c r="AN35" s="369" t="n"/>
      <c r="AO35" s="369" t="n"/>
      <c r="AP35" s="369" t="n"/>
      <c r="AQ35" s="369" t="n"/>
      <c r="AR35" s="369" t="n"/>
      <c r="AS35" s="369" t="n"/>
      <c r="AT35" s="369" t="n"/>
      <c r="AU35" s="369" t="n"/>
    </row>
    <row r="36" ht="15" customHeight="1" s="226">
      <c r="A36" s="260" t="inlineStr">
        <is>
          <t xml:space="preserve"> Мурманская область</t>
        </is>
      </c>
      <c r="B36" s="261" t="n">
        <v>100</v>
      </c>
      <c r="C36" s="336" t="n">
        <v>45.8</v>
      </c>
      <c r="D36" s="336" t="n">
        <v>1.3</v>
      </c>
      <c r="E36" s="389" t="n">
        <v>52.9</v>
      </c>
      <c r="F36" s="336" t="n">
        <v>100</v>
      </c>
      <c r="G36" s="336" t="n">
        <v>46</v>
      </c>
      <c r="H36" s="336" t="n">
        <v>1.4</v>
      </c>
      <c r="I36" s="390" t="n">
        <v>52.6</v>
      </c>
      <c r="J36" s="261" t="n">
        <v>100</v>
      </c>
      <c r="K36" s="262" t="n">
        <v>46.5</v>
      </c>
      <c r="L36" s="262" t="n">
        <v>1.5</v>
      </c>
      <c r="M36" s="263" t="n">
        <v>52</v>
      </c>
      <c r="N36" s="261" t="n">
        <v>100</v>
      </c>
      <c r="O36" s="262" t="n">
        <v>43.2</v>
      </c>
      <c r="P36" s="262" t="n">
        <v>1.2</v>
      </c>
      <c r="Q36" s="263" t="n">
        <v>55.6</v>
      </c>
      <c r="R36" s="261" t="n">
        <v>100</v>
      </c>
      <c r="S36" s="262" t="n">
        <v>35.2</v>
      </c>
      <c r="T36" s="262" t="n">
        <v>0.9</v>
      </c>
      <c r="U36" s="263" t="n">
        <v>63.9</v>
      </c>
      <c r="V36" s="261" t="n">
        <v>100</v>
      </c>
      <c r="W36" s="262" t="n">
        <v>29.7</v>
      </c>
      <c r="X36" s="262" t="n">
        <v>0.6</v>
      </c>
      <c r="Y36" s="263" t="n">
        <v>69.7</v>
      </c>
      <c r="Z36" s="261" t="n">
        <v>100</v>
      </c>
      <c r="AA36" s="391" t="n">
        <v>32</v>
      </c>
      <c r="AB36" s="391" t="n">
        <v>0.4</v>
      </c>
      <c r="AC36" s="263" t="n">
        <v>67.59999999999999</v>
      </c>
      <c r="AD36" s="392" t="n">
        <v>100</v>
      </c>
      <c r="AE36" s="391" t="n">
        <v>36.2</v>
      </c>
      <c r="AF36" s="391" t="n">
        <v>0.5</v>
      </c>
      <c r="AG36" s="263" t="n">
        <v>63.3</v>
      </c>
      <c r="AJ36" s="369" t="n"/>
      <c r="AK36" s="369" t="n"/>
      <c r="AL36" s="369" t="n"/>
      <c r="AM36" s="369" t="n"/>
      <c r="AN36" s="369" t="n"/>
      <c r="AO36" s="369" t="n"/>
      <c r="AP36" s="369" t="n"/>
      <c r="AQ36" s="369" t="n"/>
      <c r="AR36" s="369" t="n"/>
      <c r="AS36" s="369" t="n"/>
      <c r="AT36" s="369" t="n"/>
      <c r="AU36" s="369" t="n"/>
    </row>
    <row r="37" ht="15" customHeight="1" s="226">
      <c r="A37" s="260" t="inlineStr">
        <is>
          <t xml:space="preserve"> Новгородская область</t>
        </is>
      </c>
      <c r="B37" s="261" t="n">
        <v>100</v>
      </c>
      <c r="C37" s="336" t="n">
        <v>39.8</v>
      </c>
      <c r="D37" s="336" t="n">
        <v>1.5</v>
      </c>
      <c r="E37" s="389" t="n">
        <v>58.7</v>
      </c>
      <c r="F37" s="336" t="n">
        <v>100</v>
      </c>
      <c r="G37" s="336" t="n">
        <v>43.6</v>
      </c>
      <c r="H37" s="336" t="n">
        <v>1.8</v>
      </c>
      <c r="I37" s="390" t="n">
        <v>54.6</v>
      </c>
      <c r="J37" s="261" t="n">
        <v>100</v>
      </c>
      <c r="K37" s="262" t="n">
        <v>43.9</v>
      </c>
      <c r="L37" s="262" t="n">
        <v>1.9</v>
      </c>
      <c r="M37" s="263" t="n">
        <v>54.2</v>
      </c>
      <c r="N37" s="261" t="n">
        <v>100</v>
      </c>
      <c r="O37" s="262" t="n">
        <v>41.7</v>
      </c>
      <c r="P37" s="262" t="n">
        <v>1.8</v>
      </c>
      <c r="Q37" s="263" t="n">
        <v>56.5</v>
      </c>
      <c r="R37" s="261" t="n">
        <v>100</v>
      </c>
      <c r="S37" s="262" t="n">
        <v>41.2</v>
      </c>
      <c r="T37" s="262" t="n">
        <v>1.6</v>
      </c>
      <c r="U37" s="263" t="n">
        <v>57.2</v>
      </c>
      <c r="V37" s="261" t="n">
        <v>100</v>
      </c>
      <c r="W37" s="262" t="n">
        <v>34.5</v>
      </c>
      <c r="X37" s="262" t="n">
        <v>1.3</v>
      </c>
      <c r="Y37" s="263" t="n">
        <v>64.2</v>
      </c>
      <c r="Z37" s="261" t="n">
        <v>100</v>
      </c>
      <c r="AA37" s="391" t="n">
        <v>33.7</v>
      </c>
      <c r="AB37" s="391" t="n">
        <v>1.3</v>
      </c>
      <c r="AC37" s="263" t="n">
        <v>65</v>
      </c>
      <c r="AD37" s="392" t="n">
        <v>100</v>
      </c>
      <c r="AE37" s="391" t="n">
        <v>36.4</v>
      </c>
      <c r="AF37" s="391" t="n">
        <v>1.1</v>
      </c>
      <c r="AG37" s="263" t="n">
        <v>62.5</v>
      </c>
      <c r="AJ37" s="369" t="n"/>
      <c r="AK37" s="369" t="n"/>
      <c r="AL37" s="369" t="n"/>
      <c r="AM37" s="369" t="n"/>
      <c r="AN37" s="369" t="n"/>
      <c r="AO37" s="369" t="n"/>
      <c r="AP37" s="369" t="n"/>
      <c r="AQ37" s="369" t="n"/>
      <c r="AR37" s="369" t="n"/>
      <c r="AS37" s="369" t="n"/>
      <c r="AT37" s="369" t="n"/>
      <c r="AU37" s="369" t="n"/>
    </row>
    <row r="38" ht="15" customHeight="1" s="226">
      <c r="A38" s="260" t="inlineStr">
        <is>
          <t xml:space="preserve"> Псковская область</t>
        </is>
      </c>
      <c r="B38" s="261" t="n">
        <v>100</v>
      </c>
      <c r="C38" s="336" t="n">
        <v>46.9</v>
      </c>
      <c r="D38" s="336" t="n">
        <v>1.4</v>
      </c>
      <c r="E38" s="389" t="n">
        <v>51.7</v>
      </c>
      <c r="F38" s="336" t="n">
        <v>100</v>
      </c>
      <c r="G38" s="336" t="n">
        <v>47.1</v>
      </c>
      <c r="H38" s="336" t="n">
        <v>1.4</v>
      </c>
      <c r="I38" s="390" t="n">
        <v>51.5</v>
      </c>
      <c r="J38" s="261" t="n">
        <v>100</v>
      </c>
      <c r="K38" s="262" t="n">
        <v>46.9</v>
      </c>
      <c r="L38" s="262" t="n">
        <v>1.4</v>
      </c>
      <c r="M38" s="263" t="n">
        <v>51.7</v>
      </c>
      <c r="N38" s="261" t="n">
        <v>100</v>
      </c>
      <c r="O38" s="262" t="n">
        <v>46.1</v>
      </c>
      <c r="P38" s="262" t="n">
        <v>1.3</v>
      </c>
      <c r="Q38" s="263" t="n">
        <v>52.6</v>
      </c>
      <c r="R38" s="261" t="n">
        <v>100</v>
      </c>
      <c r="S38" s="262" t="n">
        <v>44.9</v>
      </c>
      <c r="T38" s="262" t="n">
        <v>1.2</v>
      </c>
      <c r="U38" s="263" t="n">
        <v>53.9</v>
      </c>
      <c r="V38" s="261" t="n">
        <v>100</v>
      </c>
      <c r="W38" s="262" t="n">
        <v>45</v>
      </c>
      <c r="X38" s="262" t="n">
        <v>1.1</v>
      </c>
      <c r="Y38" s="263" t="n">
        <v>53.9</v>
      </c>
      <c r="Z38" s="261" t="n">
        <v>100</v>
      </c>
      <c r="AA38" s="391" t="n">
        <v>44.5</v>
      </c>
      <c r="AB38" s="391" t="n">
        <v>1</v>
      </c>
      <c r="AC38" s="263" t="n">
        <v>54.5</v>
      </c>
      <c r="AD38" s="392" t="n">
        <v>100</v>
      </c>
      <c r="AE38" s="391" t="n">
        <v>43.5</v>
      </c>
      <c r="AF38" s="391" t="n">
        <v>0.9</v>
      </c>
      <c r="AG38" s="263" t="n">
        <v>55.6</v>
      </c>
      <c r="AJ38" s="369" t="n"/>
      <c r="AK38" s="369" t="n"/>
      <c r="AL38" s="369" t="n"/>
      <c r="AM38" s="369" t="n"/>
      <c r="AN38" s="369" t="n"/>
      <c r="AO38" s="369" t="n"/>
      <c r="AP38" s="369" t="n"/>
      <c r="AQ38" s="369" t="n"/>
      <c r="AR38" s="369" t="n"/>
      <c r="AS38" s="369" t="n"/>
      <c r="AT38" s="369" t="n"/>
      <c r="AU38" s="369" t="n"/>
    </row>
    <row r="39" ht="15" customHeight="1" s="226">
      <c r="A39" s="260" t="inlineStr">
        <is>
          <t xml:space="preserve"> г.Санкт-Петербург</t>
        </is>
      </c>
      <c r="B39" s="285" t="n">
        <v>100</v>
      </c>
      <c r="C39" s="337" t="n">
        <v>42.2</v>
      </c>
      <c r="D39" s="337" t="n">
        <v>1.1</v>
      </c>
      <c r="E39" s="395" t="n">
        <v>56.7</v>
      </c>
      <c r="F39" s="337" t="n">
        <v>100</v>
      </c>
      <c r="G39" s="337" t="n">
        <v>43.6</v>
      </c>
      <c r="H39" s="337" t="n">
        <v>1.1</v>
      </c>
      <c r="I39" s="396" t="n">
        <v>55.3</v>
      </c>
      <c r="J39" s="285" t="n">
        <v>100</v>
      </c>
      <c r="K39" s="270" t="n">
        <v>43.6</v>
      </c>
      <c r="L39" s="270" t="n">
        <v>1.1</v>
      </c>
      <c r="M39" s="271" t="n">
        <v>55.3</v>
      </c>
      <c r="N39" s="285" t="n">
        <v>100</v>
      </c>
      <c r="O39" s="270" t="n">
        <v>43.8</v>
      </c>
      <c r="P39" s="270" t="n">
        <v>0.9</v>
      </c>
      <c r="Q39" s="271" t="n">
        <v>55.3</v>
      </c>
      <c r="R39" s="285" t="n">
        <v>100</v>
      </c>
      <c r="S39" s="270" t="n">
        <v>46.1</v>
      </c>
      <c r="T39" s="270" t="n">
        <v>0.8</v>
      </c>
      <c r="U39" s="271" t="n">
        <v>53.1</v>
      </c>
      <c r="V39" s="285" t="n">
        <v>100</v>
      </c>
      <c r="W39" s="270" t="n">
        <v>29.3</v>
      </c>
      <c r="X39" s="270" t="n">
        <v>0.5</v>
      </c>
      <c r="Y39" s="271" t="n">
        <v>70.2</v>
      </c>
      <c r="Z39" s="285" t="n">
        <v>100</v>
      </c>
      <c r="AA39" s="397" t="n">
        <v>27.6</v>
      </c>
      <c r="AB39" s="397" t="n">
        <v>0.6</v>
      </c>
      <c r="AC39" s="271" t="n">
        <v>71.8</v>
      </c>
      <c r="AD39" s="398" t="n">
        <v>100</v>
      </c>
      <c r="AE39" s="397" t="n">
        <v>32.8</v>
      </c>
      <c r="AF39" s="397" t="n">
        <v>0.6</v>
      </c>
      <c r="AG39" s="271" t="n">
        <v>66.59999999999999</v>
      </c>
      <c r="AJ39" s="369" t="n"/>
      <c r="AK39" s="369" t="n"/>
      <c r="AL39" s="369" t="n"/>
      <c r="AM39" s="369" t="n"/>
      <c r="AN39" s="369" t="n"/>
      <c r="AO39" s="369" t="n"/>
      <c r="AP39" s="369" t="n"/>
      <c r="AQ39" s="369" t="n"/>
      <c r="AR39" s="369" t="n"/>
      <c r="AS39" s="369" t="n"/>
      <c r="AT39" s="369" t="n"/>
      <c r="AU39" s="369" t="n"/>
    </row>
    <row r="40" ht="15" customHeight="1" s="226">
      <c r="A40" s="272" t="inlineStr">
        <is>
          <t>Южный федеральный округ</t>
        </is>
      </c>
      <c r="B40" s="254" t="n">
        <v>100</v>
      </c>
      <c r="C40" s="370" t="n">
        <v>35.4</v>
      </c>
      <c r="D40" s="370" t="n">
        <v>1.5</v>
      </c>
      <c r="E40" s="370" t="n">
        <v>63.1</v>
      </c>
      <c r="F40" s="370" t="n">
        <v>100</v>
      </c>
      <c r="G40" s="370" t="n">
        <v>35.2</v>
      </c>
      <c r="H40" s="370" t="n">
        <v>1.6</v>
      </c>
      <c r="I40" s="376" t="n">
        <v>63.2</v>
      </c>
      <c r="J40" s="254" t="n">
        <v>100</v>
      </c>
      <c r="K40" s="254" t="n">
        <v>35</v>
      </c>
      <c r="L40" s="254" t="n">
        <v>1.7</v>
      </c>
      <c r="M40" s="254" t="n">
        <v>63.3</v>
      </c>
      <c r="N40" s="254" t="n">
        <v>100</v>
      </c>
      <c r="O40" s="254" t="n">
        <v>35.5</v>
      </c>
      <c r="P40" s="254" t="n">
        <v>1.6</v>
      </c>
      <c r="Q40" s="254" t="n">
        <v>62.9</v>
      </c>
      <c r="R40" s="254" t="n">
        <v>100</v>
      </c>
      <c r="S40" s="254" t="n">
        <v>36.1</v>
      </c>
      <c r="T40" s="254" t="n">
        <v>1.5</v>
      </c>
      <c r="U40" s="254" t="n">
        <v>62.4</v>
      </c>
      <c r="V40" s="254" t="n">
        <v>100</v>
      </c>
      <c r="W40" s="254" t="n">
        <v>33.8</v>
      </c>
      <c r="X40" s="254" t="n">
        <v>1.3</v>
      </c>
      <c r="Y40" s="254" t="n">
        <v>64.90000000000001</v>
      </c>
      <c r="Z40" s="254" t="n">
        <v>100</v>
      </c>
      <c r="AA40" s="254" t="n">
        <v>31.2</v>
      </c>
      <c r="AB40" s="254" t="n">
        <v>1.2</v>
      </c>
      <c r="AC40" s="254" t="n">
        <v>67.59999999999999</v>
      </c>
      <c r="AD40" s="254" t="n">
        <v>100</v>
      </c>
      <c r="AE40" s="254" t="n">
        <v>31.8</v>
      </c>
      <c r="AF40" s="254" t="n">
        <v>1.1</v>
      </c>
      <c r="AG40" s="254" t="n">
        <v>67.09999999999999</v>
      </c>
      <c r="AJ40" s="369" t="n"/>
      <c r="AK40" s="369" t="n"/>
      <c r="AL40" s="369" t="n"/>
      <c r="AM40" s="369" t="n"/>
      <c r="AN40" s="369" t="n"/>
      <c r="AO40" s="369" t="n"/>
      <c r="AP40" s="369" t="n"/>
      <c r="AQ40" s="369" t="n"/>
      <c r="AR40" s="369" t="n"/>
      <c r="AS40" s="369" t="n"/>
      <c r="AT40" s="369" t="n"/>
      <c r="AU40" s="369" t="n"/>
    </row>
    <row r="41" ht="15" customHeight="1" s="226">
      <c r="A41" s="260" t="inlineStr">
        <is>
          <t xml:space="preserve"> Республика Адыгея (Адыгея)</t>
        </is>
      </c>
      <c r="B41" s="286" t="n">
        <v>100</v>
      </c>
      <c r="C41" s="335" t="n">
        <v>35.5</v>
      </c>
      <c r="D41" s="335" t="n">
        <v>1.5</v>
      </c>
      <c r="E41" s="399" t="n">
        <v>63</v>
      </c>
      <c r="F41" s="335" t="n">
        <v>100</v>
      </c>
      <c r="G41" s="335" t="n">
        <v>36.1</v>
      </c>
      <c r="H41" s="335" t="n">
        <v>1.5</v>
      </c>
      <c r="I41" s="400" t="n">
        <v>62.4</v>
      </c>
      <c r="J41" s="286" t="n">
        <v>100</v>
      </c>
      <c r="K41" s="273" t="n">
        <v>36.9</v>
      </c>
      <c r="L41" s="273" t="n">
        <v>1.4</v>
      </c>
      <c r="M41" s="274" t="n">
        <v>61.7</v>
      </c>
      <c r="N41" s="286" t="n">
        <v>100</v>
      </c>
      <c r="O41" s="273" t="n">
        <v>37.1</v>
      </c>
      <c r="P41" s="273" t="n">
        <v>1.4</v>
      </c>
      <c r="Q41" s="274" t="n">
        <v>61.5</v>
      </c>
      <c r="R41" s="286" t="n">
        <v>100</v>
      </c>
      <c r="S41" s="273" t="n">
        <v>36.3</v>
      </c>
      <c r="T41" s="273" t="n">
        <v>1.5</v>
      </c>
      <c r="U41" s="274" t="n">
        <v>62.2</v>
      </c>
      <c r="V41" s="286" t="n">
        <v>100</v>
      </c>
      <c r="W41" s="273" t="n">
        <v>33.7</v>
      </c>
      <c r="X41" s="273" t="n">
        <v>1.3</v>
      </c>
      <c r="Y41" s="274" t="n">
        <v>65</v>
      </c>
      <c r="Z41" s="286" t="n">
        <v>100</v>
      </c>
      <c r="AA41" s="401" t="n">
        <v>32.2</v>
      </c>
      <c r="AB41" s="401" t="n">
        <v>1.1</v>
      </c>
      <c r="AC41" s="274" t="n">
        <v>66.7</v>
      </c>
      <c r="AD41" s="402" t="n">
        <v>100</v>
      </c>
      <c r="AE41" s="401" t="n">
        <v>31.8</v>
      </c>
      <c r="AF41" s="401" t="n">
        <v>1</v>
      </c>
      <c r="AG41" s="274" t="n">
        <v>67.2</v>
      </c>
      <c r="AJ41" s="369" t="n"/>
      <c r="AK41" s="369" t="n"/>
      <c r="AL41" s="369" t="n"/>
      <c r="AM41" s="369" t="n"/>
      <c r="AN41" s="369" t="n"/>
      <c r="AO41" s="369" t="n"/>
      <c r="AP41" s="369" t="n"/>
      <c r="AQ41" s="369" t="n"/>
      <c r="AR41" s="369" t="n"/>
      <c r="AS41" s="369" t="n"/>
      <c r="AT41" s="369" t="n"/>
      <c r="AU41" s="369" t="n"/>
    </row>
    <row r="42" ht="15" customHeight="1" s="226">
      <c r="A42" s="260" t="inlineStr">
        <is>
          <t xml:space="preserve"> Республика Калмыкия </t>
        </is>
      </c>
      <c r="B42" s="261" t="n">
        <v>100</v>
      </c>
      <c r="C42" s="336" t="n">
        <v>30.6</v>
      </c>
      <c r="D42" s="336" t="n">
        <v>1.5</v>
      </c>
      <c r="E42" s="389" t="n">
        <v>67.90000000000001</v>
      </c>
      <c r="F42" s="336" t="n">
        <v>100</v>
      </c>
      <c r="G42" s="336" t="n">
        <v>30.5</v>
      </c>
      <c r="H42" s="336" t="n">
        <v>1.4</v>
      </c>
      <c r="I42" s="390" t="n">
        <v>68.09999999999999</v>
      </c>
      <c r="J42" s="261" t="n">
        <v>100</v>
      </c>
      <c r="K42" s="262" t="n">
        <v>29.5</v>
      </c>
      <c r="L42" s="262" t="n">
        <v>1.8</v>
      </c>
      <c r="M42" s="263" t="n">
        <v>68.7</v>
      </c>
      <c r="N42" s="261" t="n">
        <v>100</v>
      </c>
      <c r="O42" s="262" t="n">
        <v>30.1</v>
      </c>
      <c r="P42" s="262" t="n">
        <v>1.5</v>
      </c>
      <c r="Q42" s="263" t="n">
        <v>68.40000000000001</v>
      </c>
      <c r="R42" s="261" t="n">
        <v>100</v>
      </c>
      <c r="S42" s="262" t="n">
        <v>30.1</v>
      </c>
      <c r="T42" s="262" t="n">
        <v>1.5</v>
      </c>
      <c r="U42" s="263" t="n">
        <v>68.40000000000001</v>
      </c>
      <c r="V42" s="261" t="n">
        <v>100</v>
      </c>
      <c r="W42" s="262" t="n">
        <v>30.7</v>
      </c>
      <c r="X42" s="262" t="n">
        <v>1.7</v>
      </c>
      <c r="Y42" s="263" t="n">
        <v>67.59999999999999</v>
      </c>
      <c r="Z42" s="261" t="n">
        <v>100</v>
      </c>
      <c r="AA42" s="391" t="n">
        <v>28.9</v>
      </c>
      <c r="AB42" s="391" t="n">
        <v>1.5</v>
      </c>
      <c r="AC42" s="263" t="n">
        <v>69.59999999999999</v>
      </c>
      <c r="AD42" s="392" t="n">
        <v>100</v>
      </c>
      <c r="AE42" s="391" t="n">
        <v>24.4</v>
      </c>
      <c r="AF42" s="391" t="n">
        <v>0.7</v>
      </c>
      <c r="AG42" s="263" t="n">
        <v>74.90000000000001</v>
      </c>
      <c r="AJ42" s="369" t="n"/>
      <c r="AK42" s="369" t="n"/>
      <c r="AL42" s="369" t="n"/>
      <c r="AM42" s="369" t="n"/>
      <c r="AN42" s="369" t="n"/>
      <c r="AO42" s="369" t="n"/>
      <c r="AP42" s="369" t="n"/>
      <c r="AQ42" s="369" t="n"/>
      <c r="AR42" s="369" t="n"/>
      <c r="AS42" s="369" t="n"/>
      <c r="AT42" s="369" t="n"/>
      <c r="AU42" s="369" t="n"/>
    </row>
    <row r="43" ht="15" customHeight="1" s="226">
      <c r="A43" s="260" t="inlineStr">
        <is>
          <t xml:space="preserve"> Республика Крым</t>
        </is>
      </c>
      <c r="B43" s="261" t="n">
        <v>100</v>
      </c>
      <c r="C43" s="336" t="n">
        <v>46.2</v>
      </c>
      <c r="D43" s="336" t="n">
        <v>0.5</v>
      </c>
      <c r="E43" s="389" t="n">
        <v>53.3</v>
      </c>
      <c r="F43" s="336" t="n">
        <v>100</v>
      </c>
      <c r="G43" s="336" t="n">
        <v>51</v>
      </c>
      <c r="H43" s="336" t="n">
        <v>0.6</v>
      </c>
      <c r="I43" s="390" t="n">
        <v>48.4</v>
      </c>
      <c r="J43" s="261" t="n">
        <v>100</v>
      </c>
      <c r="K43" s="262" t="n">
        <v>50.7</v>
      </c>
      <c r="L43" s="262" t="n">
        <v>0.7</v>
      </c>
      <c r="M43" s="263" t="n">
        <v>48.6</v>
      </c>
      <c r="N43" s="261" t="n">
        <v>100</v>
      </c>
      <c r="O43" s="262" t="n">
        <v>48</v>
      </c>
      <c r="P43" s="262" t="n">
        <v>0.8</v>
      </c>
      <c r="Q43" s="263" t="n">
        <v>51.2</v>
      </c>
      <c r="R43" s="261" t="n">
        <v>100</v>
      </c>
      <c r="S43" s="262" t="n">
        <v>46.7</v>
      </c>
      <c r="T43" s="262" t="n">
        <v>0.8</v>
      </c>
      <c r="U43" s="263" t="n">
        <v>52.5</v>
      </c>
      <c r="V43" s="261" t="n">
        <v>100</v>
      </c>
      <c r="W43" s="262" t="n">
        <v>46.2</v>
      </c>
      <c r="X43" s="262" t="n">
        <v>0.8</v>
      </c>
      <c r="Y43" s="263" t="n">
        <v>53</v>
      </c>
      <c r="Z43" s="261" t="n">
        <v>100</v>
      </c>
      <c r="AA43" s="391" t="n">
        <v>46.7</v>
      </c>
      <c r="AB43" s="391" t="n">
        <v>0.9</v>
      </c>
      <c r="AC43" s="263" t="n">
        <v>52.4</v>
      </c>
      <c r="AD43" s="392" t="n">
        <v>100</v>
      </c>
      <c r="AE43" s="391" t="n">
        <v>48</v>
      </c>
      <c r="AF43" s="391" t="n">
        <v>0.9</v>
      </c>
      <c r="AG43" s="263" t="n">
        <v>51.1</v>
      </c>
      <c r="AJ43" s="369" t="n"/>
      <c r="AK43" s="369" t="n"/>
      <c r="AL43" s="369" t="n"/>
      <c r="AM43" s="369" t="n"/>
      <c r="AN43" s="369" t="n"/>
      <c r="AO43" s="369" t="n"/>
      <c r="AP43" s="369" t="n"/>
      <c r="AQ43" s="369" t="n"/>
      <c r="AR43" s="369" t="n"/>
      <c r="AS43" s="369" t="n"/>
      <c r="AT43" s="369" t="n"/>
      <c r="AU43" s="369" t="n"/>
    </row>
    <row r="44" ht="15" customHeight="1" s="226">
      <c r="A44" s="260" t="inlineStr">
        <is>
          <t xml:space="preserve"> Краснодарский край</t>
        </is>
      </c>
      <c r="B44" s="261" t="n">
        <v>100</v>
      </c>
      <c r="C44" s="336" t="n">
        <v>32</v>
      </c>
      <c r="D44" s="336" t="n">
        <v>1.6</v>
      </c>
      <c r="E44" s="389" t="n">
        <v>66.40000000000001</v>
      </c>
      <c r="F44" s="336" t="n">
        <v>100</v>
      </c>
      <c r="G44" s="336" t="n">
        <v>31.2</v>
      </c>
      <c r="H44" s="336" t="n">
        <v>1.9</v>
      </c>
      <c r="I44" s="390" t="n">
        <v>66.90000000000001</v>
      </c>
      <c r="J44" s="261" t="n">
        <v>100</v>
      </c>
      <c r="K44" s="262" t="n">
        <v>32.6</v>
      </c>
      <c r="L44" s="262" t="n">
        <v>2.2</v>
      </c>
      <c r="M44" s="263" t="n">
        <v>65.2</v>
      </c>
      <c r="N44" s="261" t="n">
        <v>100</v>
      </c>
      <c r="O44" s="262" t="n">
        <v>34.1</v>
      </c>
      <c r="P44" s="262" t="n">
        <v>2.1</v>
      </c>
      <c r="Q44" s="263" t="n">
        <v>63.8</v>
      </c>
      <c r="R44" s="261" t="n">
        <v>100</v>
      </c>
      <c r="S44" s="262" t="n">
        <v>35.7</v>
      </c>
      <c r="T44" s="262" t="n">
        <v>1.9</v>
      </c>
      <c r="U44" s="263" t="n">
        <v>62.4</v>
      </c>
      <c r="V44" s="261" t="n">
        <v>100</v>
      </c>
      <c r="W44" s="262" t="n">
        <v>32.8</v>
      </c>
      <c r="X44" s="262" t="n">
        <v>1.6</v>
      </c>
      <c r="Y44" s="263" t="n">
        <v>65.59999999999999</v>
      </c>
      <c r="Z44" s="261" t="n">
        <v>100</v>
      </c>
      <c r="AA44" s="391" t="n">
        <v>27.6</v>
      </c>
      <c r="AB44" s="391" t="n">
        <v>1.3</v>
      </c>
      <c r="AC44" s="263" t="n">
        <v>71.09999999999999</v>
      </c>
      <c r="AD44" s="392" t="n">
        <v>100</v>
      </c>
      <c r="AE44" s="391" t="n">
        <v>28.7</v>
      </c>
      <c r="AF44" s="391" t="n">
        <v>1.2</v>
      </c>
      <c r="AG44" s="263" t="n">
        <v>70.09999999999999</v>
      </c>
      <c r="AJ44" s="369" t="n"/>
      <c r="AK44" s="369" t="n"/>
      <c r="AL44" s="369" t="n"/>
      <c r="AM44" s="369" t="n"/>
      <c r="AN44" s="369" t="n"/>
      <c r="AO44" s="369" t="n"/>
      <c r="AP44" s="369" t="n"/>
      <c r="AQ44" s="369" t="n"/>
      <c r="AR44" s="369" t="n"/>
      <c r="AS44" s="369" t="n"/>
      <c r="AT44" s="369" t="n"/>
      <c r="AU44" s="369" t="n"/>
    </row>
    <row r="45" ht="15" customHeight="1" s="226">
      <c r="A45" s="260" t="inlineStr">
        <is>
          <t xml:space="preserve"> Астраханская область</t>
        </is>
      </c>
      <c r="B45" s="261" t="n">
        <v>100</v>
      </c>
      <c r="C45" s="336" t="n">
        <v>32.5</v>
      </c>
      <c r="D45" s="336" t="n">
        <v>1.4</v>
      </c>
      <c r="E45" s="389" t="n">
        <v>66.09999999999999</v>
      </c>
      <c r="F45" s="336" t="n">
        <v>100</v>
      </c>
      <c r="G45" s="336" t="n">
        <v>28.3</v>
      </c>
      <c r="H45" s="336" t="n">
        <v>1.5</v>
      </c>
      <c r="I45" s="390" t="n">
        <v>70.2</v>
      </c>
      <c r="J45" s="261" t="n">
        <v>100</v>
      </c>
      <c r="K45" s="262" t="n">
        <v>22.1</v>
      </c>
      <c r="L45" s="262" t="n">
        <v>1.3</v>
      </c>
      <c r="M45" s="263" t="n">
        <v>76.59999999999999</v>
      </c>
      <c r="N45" s="261" t="n">
        <v>100</v>
      </c>
      <c r="O45" s="262" t="n">
        <v>23.4</v>
      </c>
      <c r="P45" s="262" t="n">
        <v>1.3</v>
      </c>
      <c r="Q45" s="263" t="n">
        <v>75.3</v>
      </c>
      <c r="R45" s="261" t="n">
        <v>100</v>
      </c>
      <c r="S45" s="262" t="n">
        <v>28.7</v>
      </c>
      <c r="T45" s="262" t="n">
        <v>1.5</v>
      </c>
      <c r="U45" s="263" t="n">
        <v>69.8</v>
      </c>
      <c r="V45" s="261" t="n">
        <v>100</v>
      </c>
      <c r="W45" s="262" t="n">
        <v>24.2</v>
      </c>
      <c r="X45" s="262" t="n">
        <v>1.3</v>
      </c>
      <c r="Y45" s="263" t="n">
        <v>74.5</v>
      </c>
      <c r="Z45" s="261" t="n">
        <v>100</v>
      </c>
      <c r="AA45" s="391" t="n">
        <v>22.5</v>
      </c>
      <c r="AB45" s="391" t="n">
        <v>1.4</v>
      </c>
      <c r="AC45" s="263" t="n">
        <v>76.09999999999999</v>
      </c>
      <c r="AD45" s="392" t="n">
        <v>100</v>
      </c>
      <c r="AE45" s="391" t="n">
        <v>24.3</v>
      </c>
      <c r="AF45" s="391" t="n">
        <v>1.5</v>
      </c>
      <c r="AG45" s="263" t="n">
        <v>74.2</v>
      </c>
      <c r="AJ45" s="369" t="n"/>
      <c r="AK45" s="369" t="n"/>
      <c r="AL45" s="369" t="n"/>
      <c r="AM45" s="369" t="n"/>
      <c r="AN45" s="369" t="n"/>
      <c r="AO45" s="369" t="n"/>
      <c r="AP45" s="369" t="n"/>
      <c r="AQ45" s="369" t="n"/>
      <c r="AR45" s="369" t="n"/>
      <c r="AS45" s="369" t="n"/>
      <c r="AT45" s="369" t="n"/>
      <c r="AU45" s="369" t="n"/>
    </row>
    <row r="46" ht="15" customHeight="1" s="226">
      <c r="A46" s="260" t="inlineStr">
        <is>
          <t xml:space="preserve"> Волгоградская область</t>
        </is>
      </c>
      <c r="B46" s="261" t="n">
        <v>100</v>
      </c>
      <c r="C46" s="336" t="n">
        <v>35.8</v>
      </c>
      <c r="D46" s="336" t="n">
        <v>1.4</v>
      </c>
      <c r="E46" s="389" t="n">
        <v>62.8</v>
      </c>
      <c r="F46" s="336" t="n">
        <v>100</v>
      </c>
      <c r="G46" s="336" t="n">
        <v>36.4</v>
      </c>
      <c r="H46" s="336" t="n">
        <v>1.4</v>
      </c>
      <c r="I46" s="390" t="n">
        <v>62.2</v>
      </c>
      <c r="J46" s="261" t="n">
        <v>100</v>
      </c>
      <c r="K46" s="262" t="n">
        <v>35.1</v>
      </c>
      <c r="L46" s="262" t="n">
        <v>1.3</v>
      </c>
      <c r="M46" s="263" t="n">
        <v>63.6</v>
      </c>
      <c r="N46" s="261" t="n">
        <v>100</v>
      </c>
      <c r="O46" s="262" t="n">
        <v>34.7</v>
      </c>
      <c r="P46" s="262" t="n">
        <v>1.2</v>
      </c>
      <c r="Q46" s="263" t="n">
        <v>64.09999999999999</v>
      </c>
      <c r="R46" s="261" t="n">
        <v>100</v>
      </c>
      <c r="S46" s="262" t="n">
        <v>34.5</v>
      </c>
      <c r="T46" s="262" t="n">
        <v>1.1</v>
      </c>
      <c r="U46" s="263" t="n">
        <v>64.40000000000001</v>
      </c>
      <c r="V46" s="261" t="n">
        <v>100</v>
      </c>
      <c r="W46" s="262" t="n">
        <v>35</v>
      </c>
      <c r="X46" s="262" t="n">
        <v>1</v>
      </c>
      <c r="Y46" s="263" t="n">
        <v>64</v>
      </c>
      <c r="Z46" s="261" t="n">
        <v>100</v>
      </c>
      <c r="AA46" s="391" t="n">
        <v>33.5</v>
      </c>
      <c r="AB46" s="391" t="n">
        <v>0.9</v>
      </c>
      <c r="AC46" s="263" t="n">
        <v>65.59999999999999</v>
      </c>
      <c r="AD46" s="392" t="n">
        <v>100</v>
      </c>
      <c r="AE46" s="391" t="n">
        <v>33.6</v>
      </c>
      <c r="AF46" s="391" t="n">
        <v>0.9</v>
      </c>
      <c r="AG46" s="263" t="n">
        <v>65.5</v>
      </c>
      <c r="AJ46" s="369" t="n"/>
      <c r="AK46" s="369" t="n"/>
      <c r="AL46" s="369" t="n"/>
      <c r="AM46" s="369" t="n"/>
      <c r="AN46" s="369" t="n"/>
      <c r="AO46" s="369" t="n"/>
      <c r="AP46" s="369" t="n"/>
      <c r="AQ46" s="369" t="n"/>
      <c r="AR46" s="369" t="n"/>
      <c r="AS46" s="369" t="n"/>
      <c r="AT46" s="369" t="n"/>
      <c r="AU46" s="369" t="n"/>
    </row>
    <row r="47" ht="15" customFormat="1" customHeight="1" s="359">
      <c r="A47" s="260" t="inlineStr">
        <is>
          <t xml:space="preserve"> Ростовская область</t>
        </is>
      </c>
      <c r="B47" s="261" t="n">
        <v>100</v>
      </c>
      <c r="C47" s="336" t="n">
        <v>38.2</v>
      </c>
      <c r="D47" s="336" t="n">
        <v>1.8</v>
      </c>
      <c r="E47" s="389" t="n">
        <v>60</v>
      </c>
      <c r="F47" s="336" t="n">
        <v>100</v>
      </c>
      <c r="G47" s="336" t="n">
        <v>38.4</v>
      </c>
      <c r="H47" s="336" t="n">
        <v>1.7</v>
      </c>
      <c r="I47" s="390" t="n">
        <v>59.9</v>
      </c>
      <c r="J47" s="261" t="n">
        <v>100</v>
      </c>
      <c r="K47" s="262" t="n">
        <v>38.9</v>
      </c>
      <c r="L47" s="262" t="n">
        <v>1.8</v>
      </c>
      <c r="M47" s="263" t="n">
        <v>59.3</v>
      </c>
      <c r="N47" s="261" t="n">
        <v>100</v>
      </c>
      <c r="O47" s="262" t="n">
        <v>38.5</v>
      </c>
      <c r="P47" s="262" t="n">
        <v>1.6</v>
      </c>
      <c r="Q47" s="263" t="n">
        <v>59.9</v>
      </c>
      <c r="R47" s="261" t="n">
        <v>100</v>
      </c>
      <c r="S47" s="262" t="n">
        <v>36.5</v>
      </c>
      <c r="T47" s="262" t="n">
        <v>1.4</v>
      </c>
      <c r="U47" s="263" t="n">
        <v>62.1</v>
      </c>
      <c r="V47" s="261" t="n">
        <v>100</v>
      </c>
      <c r="W47" s="262" t="n">
        <v>33.9</v>
      </c>
      <c r="X47" s="262" t="n">
        <v>1.2</v>
      </c>
      <c r="Y47" s="263" t="n">
        <v>64.90000000000001</v>
      </c>
      <c r="Z47" s="261" t="n">
        <v>100</v>
      </c>
      <c r="AA47" s="391" t="n">
        <v>34.7</v>
      </c>
      <c r="AB47" s="391" t="n">
        <v>1.2</v>
      </c>
      <c r="AC47" s="263" t="n">
        <v>64.09999999999999</v>
      </c>
      <c r="AD47" s="392" t="n">
        <v>100</v>
      </c>
      <c r="AE47" s="391" t="n">
        <v>34</v>
      </c>
      <c r="AF47" s="391" t="n">
        <v>1</v>
      </c>
      <c r="AG47" s="263" t="n">
        <v>65</v>
      </c>
      <c r="AJ47" s="369" t="n"/>
      <c r="AK47" s="369" t="n"/>
      <c r="AL47" s="369" t="n"/>
      <c r="AM47" s="369" t="n"/>
      <c r="AN47" s="369" t="n"/>
      <c r="AO47" s="369" t="n"/>
      <c r="AP47" s="369" t="n"/>
      <c r="AQ47" s="369" t="n"/>
      <c r="AR47" s="369" t="n"/>
      <c r="AS47" s="369" t="n"/>
      <c r="AT47" s="369" t="n"/>
      <c r="AU47" s="369" t="n"/>
    </row>
    <row r="48" ht="15" customFormat="1" customHeight="1" s="359">
      <c r="A48" s="260" t="inlineStr">
        <is>
          <t xml:space="preserve"> г.Севастополь</t>
        </is>
      </c>
      <c r="B48" s="261" t="n">
        <v>100</v>
      </c>
      <c r="C48" s="336" t="n">
        <v>46.3</v>
      </c>
      <c r="D48" s="336" t="n">
        <v>0.6</v>
      </c>
      <c r="E48" s="389" t="n">
        <v>53.1</v>
      </c>
      <c r="F48" s="336" t="n">
        <v>100</v>
      </c>
      <c r="G48" s="336" t="n">
        <v>45.9</v>
      </c>
      <c r="H48" s="336" t="n">
        <v>0.6</v>
      </c>
      <c r="I48" s="390" t="n">
        <v>53.5</v>
      </c>
      <c r="J48" s="261" t="n">
        <v>100</v>
      </c>
      <c r="K48" s="262" t="n">
        <v>42.4</v>
      </c>
      <c r="L48" s="262" t="n">
        <v>0.5</v>
      </c>
      <c r="M48" s="263" t="n">
        <v>57.1</v>
      </c>
      <c r="N48" s="261" t="n">
        <v>100</v>
      </c>
      <c r="O48" s="262" t="n">
        <v>43.2</v>
      </c>
      <c r="P48" s="262" t="n">
        <v>0.6</v>
      </c>
      <c r="Q48" s="263" t="n">
        <v>56.2</v>
      </c>
      <c r="R48" s="261" t="n">
        <v>100</v>
      </c>
      <c r="S48" s="262" t="n">
        <v>40.8</v>
      </c>
      <c r="T48" s="262" t="n">
        <v>0.6</v>
      </c>
      <c r="U48" s="263" t="n">
        <v>58.6</v>
      </c>
      <c r="V48" s="261" t="n">
        <v>100</v>
      </c>
      <c r="W48" s="262" t="n">
        <v>40.2</v>
      </c>
      <c r="X48" s="262" t="n">
        <v>0.4</v>
      </c>
      <c r="Y48" s="263" t="n">
        <v>59.4</v>
      </c>
      <c r="Z48" s="261" t="n">
        <v>100</v>
      </c>
      <c r="AA48" s="391" t="n">
        <v>38.8</v>
      </c>
      <c r="AB48" s="391" t="n">
        <v>0.5</v>
      </c>
      <c r="AC48" s="263" t="n">
        <v>60.7</v>
      </c>
      <c r="AD48" s="392" t="n">
        <v>100</v>
      </c>
      <c r="AE48" s="391" t="n">
        <v>39</v>
      </c>
      <c r="AF48" s="391" t="n">
        <v>0.5</v>
      </c>
      <c r="AG48" s="263" t="n">
        <v>60.5</v>
      </c>
      <c r="AJ48" s="369" t="n"/>
      <c r="AK48" s="369" t="n"/>
      <c r="AL48" s="369" t="n"/>
      <c r="AM48" s="369" t="n"/>
      <c r="AN48" s="369" t="n"/>
      <c r="AO48" s="369" t="n"/>
      <c r="AP48" s="369" t="n"/>
      <c r="AQ48" s="369" t="n"/>
      <c r="AR48" s="369" t="n"/>
      <c r="AS48" s="369" t="n"/>
      <c r="AT48" s="369" t="n"/>
      <c r="AU48" s="369" t="n"/>
    </row>
    <row r="49" ht="15" customHeight="1" s="226">
      <c r="A49" s="253" t="inlineStr">
        <is>
          <t>Северо-Кавказский федеральный округ</t>
        </is>
      </c>
      <c r="B49" s="275" t="n">
        <v>100</v>
      </c>
      <c r="C49" s="376" t="n">
        <v>31.7</v>
      </c>
      <c r="D49" s="376" t="n">
        <v>1.2</v>
      </c>
      <c r="E49" s="370" t="n">
        <v>67.09999999999999</v>
      </c>
      <c r="F49" s="376" t="n">
        <v>100</v>
      </c>
      <c r="G49" s="376" t="n">
        <v>32.1</v>
      </c>
      <c r="H49" s="376" t="n">
        <v>1.2</v>
      </c>
      <c r="I49" s="376" t="n">
        <v>66.7</v>
      </c>
      <c r="J49" s="275" t="n">
        <v>100</v>
      </c>
      <c r="K49" s="275" t="n">
        <v>32.6</v>
      </c>
      <c r="L49" s="275" t="n">
        <v>1.2</v>
      </c>
      <c r="M49" s="254" t="n">
        <v>66.2</v>
      </c>
      <c r="N49" s="275" t="n">
        <v>100</v>
      </c>
      <c r="O49" s="275" t="n">
        <v>33.3</v>
      </c>
      <c r="P49" s="275" t="n">
        <v>1.1</v>
      </c>
      <c r="Q49" s="254" t="n">
        <v>65.59999999999999</v>
      </c>
      <c r="R49" s="275" t="n">
        <v>100</v>
      </c>
      <c r="S49" s="275" t="n">
        <v>35</v>
      </c>
      <c r="T49" s="275" t="n">
        <v>1.1</v>
      </c>
      <c r="U49" s="254" t="n">
        <v>63.9</v>
      </c>
      <c r="V49" s="275" t="n">
        <v>100</v>
      </c>
      <c r="W49" s="275" t="n">
        <v>32.2</v>
      </c>
      <c r="X49" s="275" t="n">
        <v>1</v>
      </c>
      <c r="Y49" s="254" t="n">
        <v>66.8</v>
      </c>
      <c r="Z49" s="254" t="n">
        <v>100</v>
      </c>
      <c r="AA49" s="254" t="n">
        <v>31.9</v>
      </c>
      <c r="AB49" s="254" t="n">
        <v>1</v>
      </c>
      <c r="AC49" s="254" t="n">
        <v>67.09999999999999</v>
      </c>
      <c r="AD49" s="254" t="n">
        <v>100</v>
      </c>
      <c r="AE49" s="254" t="n">
        <v>30.8</v>
      </c>
      <c r="AF49" s="254" t="n">
        <v>0.8</v>
      </c>
      <c r="AG49" s="254" t="n">
        <v>68.40000000000001</v>
      </c>
      <c r="AJ49" s="369" t="n"/>
      <c r="AK49" s="369" t="n"/>
      <c r="AL49" s="369" t="n"/>
      <c r="AM49" s="369" t="n"/>
      <c r="AN49" s="369" t="n"/>
      <c r="AO49" s="369" t="n"/>
      <c r="AP49" s="369" t="n"/>
      <c r="AQ49" s="369" t="n"/>
      <c r="AR49" s="369" t="n"/>
      <c r="AS49" s="369" t="n"/>
      <c r="AT49" s="369" t="n"/>
      <c r="AU49" s="369" t="n"/>
    </row>
    <row r="50" ht="15" customHeight="1" s="226">
      <c r="A50" s="260" t="inlineStr">
        <is>
          <t xml:space="preserve"> Республика Дагестан</t>
        </is>
      </c>
      <c r="B50" s="261" t="n">
        <v>100</v>
      </c>
      <c r="C50" s="336" t="n">
        <v>20.5</v>
      </c>
      <c r="D50" s="336" t="n">
        <v>0.7</v>
      </c>
      <c r="E50" s="389" t="n">
        <v>78.8</v>
      </c>
      <c r="F50" s="336" t="n">
        <v>100</v>
      </c>
      <c r="G50" s="336" t="n">
        <v>20.6</v>
      </c>
      <c r="H50" s="336" t="n">
        <v>0.7</v>
      </c>
      <c r="I50" s="390" t="n">
        <v>78.7</v>
      </c>
      <c r="J50" s="261" t="n">
        <v>100</v>
      </c>
      <c r="K50" s="262" t="n">
        <v>20.8</v>
      </c>
      <c r="L50" s="262" t="n">
        <v>0.8</v>
      </c>
      <c r="M50" s="263" t="n">
        <v>78.40000000000001</v>
      </c>
      <c r="N50" s="261" t="n">
        <v>100</v>
      </c>
      <c r="O50" s="262" t="n">
        <v>22</v>
      </c>
      <c r="P50" s="262" t="n">
        <v>0.7</v>
      </c>
      <c r="Q50" s="263" t="n">
        <v>77.3</v>
      </c>
      <c r="R50" s="261" t="n">
        <v>100</v>
      </c>
      <c r="S50" s="262" t="n">
        <v>25.4</v>
      </c>
      <c r="T50" s="262" t="n">
        <v>0.7</v>
      </c>
      <c r="U50" s="263" t="n">
        <v>73.90000000000001</v>
      </c>
      <c r="V50" s="261" t="n">
        <v>100</v>
      </c>
      <c r="W50" s="262" t="n">
        <v>24.8</v>
      </c>
      <c r="X50" s="262" t="n">
        <v>0.7</v>
      </c>
      <c r="Y50" s="263" t="n">
        <v>74.5</v>
      </c>
      <c r="Z50" s="261" t="n">
        <v>100</v>
      </c>
      <c r="AA50" s="391" t="n">
        <v>25.1</v>
      </c>
      <c r="AB50" s="391" t="n">
        <v>0.7</v>
      </c>
      <c r="AC50" s="263" t="n">
        <v>74.2</v>
      </c>
      <c r="AD50" s="392" t="n">
        <v>100</v>
      </c>
      <c r="AE50" s="391" t="n">
        <v>23.8</v>
      </c>
      <c r="AF50" s="391" t="n">
        <v>0.5</v>
      </c>
      <c r="AG50" s="263" t="n">
        <v>75.7</v>
      </c>
      <c r="AJ50" s="369" t="n"/>
      <c r="AK50" s="369" t="n"/>
      <c r="AL50" s="369" t="n"/>
      <c r="AM50" s="369" t="n"/>
      <c r="AN50" s="369" t="n"/>
      <c r="AO50" s="369" t="n"/>
      <c r="AP50" s="369" t="n"/>
      <c r="AQ50" s="369" t="n"/>
      <c r="AR50" s="369" t="n"/>
      <c r="AS50" s="369" t="n"/>
      <c r="AT50" s="369" t="n"/>
      <c r="AU50" s="369" t="n"/>
    </row>
    <row r="51" ht="15" customHeight="1" s="226">
      <c r="A51" s="260" t="inlineStr">
        <is>
          <t xml:space="preserve"> Республика Ингушетия</t>
        </is>
      </c>
      <c r="B51" s="261" t="n">
        <v>100</v>
      </c>
      <c r="C51" s="336" t="n">
        <v>42.7</v>
      </c>
      <c r="D51" s="336" t="n">
        <v>1</v>
      </c>
      <c r="E51" s="389" t="n">
        <v>56.3</v>
      </c>
      <c r="F51" s="336" t="n">
        <v>100</v>
      </c>
      <c r="G51" s="336" t="n">
        <v>45.7</v>
      </c>
      <c r="H51" s="336" t="n">
        <v>1.4</v>
      </c>
      <c r="I51" s="390" t="n">
        <v>52.9</v>
      </c>
      <c r="J51" s="261" t="n">
        <v>100</v>
      </c>
      <c r="K51" s="262" t="n">
        <v>44.1</v>
      </c>
      <c r="L51" s="262" t="n">
        <v>0.7</v>
      </c>
      <c r="M51" s="263" t="n">
        <v>55.2</v>
      </c>
      <c r="N51" s="261" t="n">
        <v>100</v>
      </c>
      <c r="O51" s="262" t="n">
        <v>46.5</v>
      </c>
      <c r="P51" s="262" t="n">
        <v>0.8</v>
      </c>
      <c r="Q51" s="263" t="n">
        <v>52.7</v>
      </c>
      <c r="R51" s="261" t="n">
        <v>100</v>
      </c>
      <c r="S51" s="262" t="n">
        <v>51.7</v>
      </c>
      <c r="T51" s="262" t="n">
        <v>1</v>
      </c>
      <c r="U51" s="263" t="n">
        <v>47.3</v>
      </c>
      <c r="V51" s="261" t="n">
        <v>100</v>
      </c>
      <c r="W51" s="262" t="n">
        <v>43.7</v>
      </c>
      <c r="X51" s="262" t="n">
        <v>1.1</v>
      </c>
      <c r="Y51" s="263" t="n">
        <v>55.2</v>
      </c>
      <c r="Z51" s="261" t="n">
        <v>100</v>
      </c>
      <c r="AA51" s="391" t="n">
        <v>41.4</v>
      </c>
      <c r="AB51" s="391" t="n">
        <v>1.5</v>
      </c>
      <c r="AC51" s="263" t="n">
        <v>57.1</v>
      </c>
      <c r="AD51" s="392" t="n">
        <v>100</v>
      </c>
      <c r="AE51" s="391" t="n">
        <v>40.9</v>
      </c>
      <c r="AF51" s="391" t="n">
        <v>0.9</v>
      </c>
      <c r="AG51" s="263" t="n">
        <v>58.2</v>
      </c>
      <c r="AJ51" s="369" t="n"/>
      <c r="AK51" s="369" t="n"/>
      <c r="AL51" s="369" t="n"/>
      <c r="AM51" s="369" t="n"/>
      <c r="AN51" s="369" t="n"/>
      <c r="AO51" s="369" t="n"/>
      <c r="AP51" s="369" t="n"/>
      <c r="AQ51" s="369" t="n"/>
      <c r="AR51" s="369" t="n"/>
      <c r="AS51" s="369" t="n"/>
      <c r="AT51" s="369" t="n"/>
      <c r="AU51" s="369" t="n"/>
    </row>
    <row r="52" ht="15" customHeight="1" s="226">
      <c r="A52" s="260" t="inlineStr">
        <is>
          <t xml:space="preserve"> Кабардино-Балкарская Республика</t>
        </is>
      </c>
      <c r="B52" s="261" t="n">
        <v>100</v>
      </c>
      <c r="C52" s="336" t="n">
        <v>28.5</v>
      </c>
      <c r="D52" s="336" t="n">
        <v>1.3</v>
      </c>
      <c r="E52" s="389" t="n">
        <v>70.2</v>
      </c>
      <c r="F52" s="336" t="n">
        <v>100</v>
      </c>
      <c r="G52" s="336" t="n">
        <v>30.2</v>
      </c>
      <c r="H52" s="336" t="n">
        <v>1.4</v>
      </c>
      <c r="I52" s="390" t="n">
        <v>68.40000000000001</v>
      </c>
      <c r="J52" s="261" t="n">
        <v>100</v>
      </c>
      <c r="K52" s="262" t="n">
        <v>31.8</v>
      </c>
      <c r="L52" s="262" t="n">
        <v>1.4</v>
      </c>
      <c r="M52" s="263" t="n">
        <v>66.8</v>
      </c>
      <c r="N52" s="261" t="n">
        <v>100</v>
      </c>
      <c r="O52" s="262" t="n">
        <v>32.6</v>
      </c>
      <c r="P52" s="262" t="n">
        <v>1.2</v>
      </c>
      <c r="Q52" s="263" t="n">
        <v>66.2</v>
      </c>
      <c r="R52" s="261" t="n">
        <v>100</v>
      </c>
      <c r="S52" s="262" t="n">
        <v>31.3</v>
      </c>
      <c r="T52" s="262" t="n">
        <v>1</v>
      </c>
      <c r="U52" s="263" t="n">
        <v>67.7</v>
      </c>
      <c r="V52" s="261" t="n">
        <v>100</v>
      </c>
      <c r="W52" s="262" t="n">
        <v>29.5</v>
      </c>
      <c r="X52" s="262" t="n">
        <v>0.9</v>
      </c>
      <c r="Y52" s="263" t="n">
        <v>69.59999999999999</v>
      </c>
      <c r="Z52" s="261" t="n">
        <v>100</v>
      </c>
      <c r="AA52" s="391" t="n">
        <v>28.2</v>
      </c>
      <c r="AB52" s="391" t="n">
        <v>0.9</v>
      </c>
      <c r="AC52" s="263" t="n">
        <v>70.90000000000001</v>
      </c>
      <c r="AD52" s="392" t="n">
        <v>100</v>
      </c>
      <c r="AE52" s="391" t="n">
        <v>26.8</v>
      </c>
      <c r="AF52" s="391" t="n">
        <v>0.7</v>
      </c>
      <c r="AG52" s="263" t="n">
        <v>72.5</v>
      </c>
      <c r="AJ52" s="369" t="n"/>
      <c r="AK52" s="369" t="n"/>
      <c r="AL52" s="369" t="n"/>
      <c r="AM52" s="369" t="n"/>
      <c r="AN52" s="369" t="n"/>
      <c r="AO52" s="369" t="n"/>
      <c r="AP52" s="369" t="n"/>
      <c r="AQ52" s="369" t="n"/>
      <c r="AR52" s="369" t="n"/>
      <c r="AS52" s="369" t="n"/>
      <c r="AT52" s="369" t="n"/>
      <c r="AU52" s="369" t="n"/>
    </row>
    <row r="53" ht="15" customHeight="1" s="226">
      <c r="A53" s="260" t="inlineStr">
        <is>
          <t xml:space="preserve"> Карачаево-Черкесская Республика</t>
        </is>
      </c>
      <c r="B53" s="261" t="n">
        <v>100</v>
      </c>
      <c r="C53" s="336" t="n">
        <v>38.3</v>
      </c>
      <c r="D53" s="336" t="n">
        <v>1.3</v>
      </c>
      <c r="E53" s="389" t="n">
        <v>60.4</v>
      </c>
      <c r="F53" s="336" t="n">
        <v>100</v>
      </c>
      <c r="G53" s="336" t="n">
        <v>38.9</v>
      </c>
      <c r="H53" s="336" t="n">
        <v>1.4</v>
      </c>
      <c r="I53" s="390" t="n">
        <v>59.7</v>
      </c>
      <c r="J53" s="261" t="n">
        <v>100</v>
      </c>
      <c r="K53" s="262" t="n">
        <v>42</v>
      </c>
      <c r="L53" s="262" t="n">
        <v>1.5</v>
      </c>
      <c r="M53" s="263" t="n">
        <v>56.5</v>
      </c>
      <c r="N53" s="261" t="n">
        <v>100</v>
      </c>
      <c r="O53" s="262" t="n">
        <v>41</v>
      </c>
      <c r="P53" s="262" t="n">
        <v>1.3</v>
      </c>
      <c r="Q53" s="263" t="n">
        <v>57.7</v>
      </c>
      <c r="R53" s="261" t="n">
        <v>100</v>
      </c>
      <c r="S53" s="262" t="n">
        <v>41.2</v>
      </c>
      <c r="T53" s="262" t="n">
        <v>1.2</v>
      </c>
      <c r="U53" s="263" t="n">
        <v>57.6</v>
      </c>
      <c r="V53" s="261" t="n">
        <v>100</v>
      </c>
      <c r="W53" s="262" t="n">
        <v>38.2</v>
      </c>
      <c r="X53" s="262" t="n">
        <v>1.2</v>
      </c>
      <c r="Y53" s="263" t="n">
        <v>60.6</v>
      </c>
      <c r="Z53" s="261" t="n">
        <v>100</v>
      </c>
      <c r="AA53" s="391" t="n">
        <v>35.6</v>
      </c>
      <c r="AB53" s="391" t="n">
        <v>1.2</v>
      </c>
      <c r="AC53" s="263" t="n">
        <v>63.2</v>
      </c>
      <c r="AD53" s="392" t="n">
        <v>100</v>
      </c>
      <c r="AE53" s="391" t="n">
        <v>34.1</v>
      </c>
      <c r="AF53" s="391" t="n">
        <v>1.2</v>
      </c>
      <c r="AG53" s="263" t="n">
        <v>64.7</v>
      </c>
      <c r="AJ53" s="369" t="n"/>
      <c r="AK53" s="369" t="n"/>
      <c r="AL53" s="369" t="n"/>
      <c r="AM53" s="369" t="n"/>
      <c r="AN53" s="369" t="n"/>
      <c r="AO53" s="369" t="n"/>
      <c r="AP53" s="369" t="n"/>
      <c r="AQ53" s="369" t="n"/>
      <c r="AR53" s="369" t="n"/>
      <c r="AS53" s="369" t="n"/>
      <c r="AT53" s="369" t="n"/>
      <c r="AU53" s="369" t="n"/>
    </row>
    <row r="54" ht="15" customHeight="1" s="226">
      <c r="A54" s="260" t="inlineStr">
        <is>
          <t xml:space="preserve"> Республика Северная Осетия - Алания</t>
        </is>
      </c>
      <c r="B54" s="261" t="n">
        <v>100</v>
      </c>
      <c r="C54" s="336" t="n">
        <v>36.2</v>
      </c>
      <c r="D54" s="336" t="n">
        <v>0.8</v>
      </c>
      <c r="E54" s="389" t="n">
        <v>63</v>
      </c>
      <c r="F54" s="336" t="n">
        <v>100</v>
      </c>
      <c r="G54" s="336" t="n">
        <v>37.6</v>
      </c>
      <c r="H54" s="336" t="n">
        <v>0.8</v>
      </c>
      <c r="I54" s="390" t="n">
        <v>61.6</v>
      </c>
      <c r="J54" s="261" t="n">
        <v>100</v>
      </c>
      <c r="K54" s="262" t="n">
        <v>38.4</v>
      </c>
      <c r="L54" s="262" t="n">
        <v>0.9</v>
      </c>
      <c r="M54" s="263" t="n">
        <v>60.7</v>
      </c>
      <c r="N54" s="261" t="n">
        <v>100</v>
      </c>
      <c r="O54" s="262" t="n">
        <v>37.9</v>
      </c>
      <c r="P54" s="262" t="n">
        <v>0.8</v>
      </c>
      <c r="Q54" s="263" t="n">
        <v>61.3</v>
      </c>
      <c r="R54" s="261" t="n">
        <v>100</v>
      </c>
      <c r="S54" s="262" t="n">
        <v>37.5</v>
      </c>
      <c r="T54" s="262" t="n">
        <v>1.2</v>
      </c>
      <c r="U54" s="263" t="n">
        <v>61.3</v>
      </c>
      <c r="V54" s="261" t="n">
        <v>100</v>
      </c>
      <c r="W54" s="262" t="n">
        <v>35.2</v>
      </c>
      <c r="X54" s="262" t="n">
        <v>1.2</v>
      </c>
      <c r="Y54" s="263" t="n">
        <v>63.6</v>
      </c>
      <c r="Z54" s="261" t="n">
        <v>100</v>
      </c>
      <c r="AA54" s="391" t="n">
        <v>35.9</v>
      </c>
      <c r="AB54" s="391" t="n">
        <v>1.2</v>
      </c>
      <c r="AC54" s="263" t="n">
        <v>62.9</v>
      </c>
      <c r="AD54" s="392" t="n">
        <v>100</v>
      </c>
      <c r="AE54" s="391" t="n">
        <v>33.6</v>
      </c>
      <c r="AF54" s="391" t="n">
        <v>0.9</v>
      </c>
      <c r="AG54" s="263" t="n">
        <v>65.5</v>
      </c>
      <c r="AJ54" s="369" t="n"/>
      <c r="AK54" s="369" t="n"/>
      <c r="AL54" s="369" t="n"/>
      <c r="AM54" s="369" t="n"/>
      <c r="AN54" s="369" t="n"/>
      <c r="AO54" s="369" t="n"/>
      <c r="AP54" s="369" t="n"/>
      <c r="AQ54" s="369" t="n"/>
      <c r="AR54" s="369" t="n"/>
      <c r="AS54" s="369" t="n"/>
      <c r="AT54" s="369" t="n"/>
      <c r="AU54" s="369" t="n"/>
    </row>
    <row r="55" ht="15" customHeight="1" s="226">
      <c r="A55" s="260" t="inlineStr">
        <is>
          <t xml:space="preserve"> Чеченская Республика</t>
        </is>
      </c>
      <c r="B55" s="261" t="n">
        <v>100</v>
      </c>
      <c r="C55" s="336" t="n">
        <v>39.5</v>
      </c>
      <c r="D55" s="336" t="n">
        <v>1.3</v>
      </c>
      <c r="E55" s="389" t="n">
        <v>59.2</v>
      </c>
      <c r="F55" s="336" t="n">
        <v>100</v>
      </c>
      <c r="G55" s="336" t="n">
        <v>39.1</v>
      </c>
      <c r="H55" s="336" t="n">
        <v>1.1</v>
      </c>
      <c r="I55" s="390" t="n">
        <v>59.8</v>
      </c>
      <c r="J55" s="261" t="n">
        <v>100</v>
      </c>
      <c r="K55" s="262" t="n">
        <v>42.2</v>
      </c>
      <c r="L55" s="262" t="n">
        <v>1.2</v>
      </c>
      <c r="M55" s="263" t="n">
        <v>56.6</v>
      </c>
      <c r="N55" s="261" t="n">
        <v>100</v>
      </c>
      <c r="O55" s="262" t="n">
        <v>44.3</v>
      </c>
      <c r="P55" s="262" t="n">
        <v>1.3</v>
      </c>
      <c r="Q55" s="263" t="n">
        <v>54.4</v>
      </c>
      <c r="R55" s="261" t="n">
        <v>100</v>
      </c>
      <c r="S55" s="262" t="n">
        <v>44.8</v>
      </c>
      <c r="T55" s="262" t="n">
        <v>1.4</v>
      </c>
      <c r="U55" s="263" t="n">
        <v>53.8</v>
      </c>
      <c r="V55" s="261" t="n">
        <v>100</v>
      </c>
      <c r="W55" s="262" t="n">
        <v>41.6</v>
      </c>
      <c r="X55" s="262" t="n">
        <v>1.2</v>
      </c>
      <c r="Y55" s="263" t="n">
        <v>57.2</v>
      </c>
      <c r="Z55" s="261" t="n">
        <v>100</v>
      </c>
      <c r="AA55" s="391" t="n">
        <v>40.5</v>
      </c>
      <c r="AB55" s="391" t="n">
        <v>1.2</v>
      </c>
      <c r="AC55" s="263" t="n">
        <v>58.3</v>
      </c>
      <c r="AD55" s="392" t="n">
        <v>100</v>
      </c>
      <c r="AE55" s="391" t="n">
        <v>37.8</v>
      </c>
      <c r="AF55" s="391" t="n">
        <v>0.7</v>
      </c>
      <c r="AG55" s="263" t="n">
        <v>61.5</v>
      </c>
      <c r="AJ55" s="369" t="n"/>
      <c r="AK55" s="369" t="n"/>
      <c r="AL55" s="369" t="n"/>
      <c r="AM55" s="369" t="n"/>
      <c r="AN55" s="369" t="n"/>
      <c r="AO55" s="369" t="n"/>
      <c r="AP55" s="369" t="n"/>
      <c r="AQ55" s="369" t="n"/>
      <c r="AR55" s="369" t="n"/>
      <c r="AS55" s="369" t="n"/>
      <c r="AT55" s="369" t="n"/>
      <c r="AU55" s="369" t="n"/>
    </row>
    <row r="56" ht="15" customHeight="1" s="226">
      <c r="A56" s="260" t="inlineStr">
        <is>
          <t xml:space="preserve"> Ставропольский край</t>
        </is>
      </c>
      <c r="B56" s="261" t="n">
        <v>100</v>
      </c>
      <c r="C56" s="336" t="n">
        <v>37.2</v>
      </c>
      <c r="D56" s="336" t="n">
        <v>1.6</v>
      </c>
      <c r="E56" s="389" t="n">
        <v>61.2</v>
      </c>
      <c r="F56" s="336" t="n">
        <v>100</v>
      </c>
      <c r="G56" s="336" t="n">
        <v>37.4</v>
      </c>
      <c r="H56" s="336" t="n">
        <v>1.6</v>
      </c>
      <c r="I56" s="390" t="n">
        <v>61</v>
      </c>
      <c r="J56" s="261" t="n">
        <v>100</v>
      </c>
      <c r="K56" s="262" t="n">
        <v>37.1</v>
      </c>
      <c r="L56" s="262" t="n">
        <v>1.7</v>
      </c>
      <c r="M56" s="263" t="n">
        <v>61.2</v>
      </c>
      <c r="N56" s="261" t="n">
        <v>100</v>
      </c>
      <c r="O56" s="262" t="n">
        <v>36.9</v>
      </c>
      <c r="P56" s="262" t="n">
        <v>1.4</v>
      </c>
      <c r="Q56" s="263" t="n">
        <v>61.7</v>
      </c>
      <c r="R56" s="261" t="n">
        <v>100</v>
      </c>
      <c r="S56" s="262" t="n">
        <v>38.7</v>
      </c>
      <c r="T56" s="262" t="n">
        <v>1.4</v>
      </c>
      <c r="U56" s="263" t="n">
        <v>59.9</v>
      </c>
      <c r="V56" s="261" t="n">
        <v>100</v>
      </c>
      <c r="W56" s="262" t="n">
        <v>34</v>
      </c>
      <c r="X56" s="262" t="n">
        <v>1.2</v>
      </c>
      <c r="Y56" s="263" t="n">
        <v>64.8</v>
      </c>
      <c r="Z56" s="261" t="n">
        <v>100</v>
      </c>
      <c r="AA56" s="391" t="n">
        <v>33.6</v>
      </c>
      <c r="AB56" s="391" t="n">
        <v>1.1</v>
      </c>
      <c r="AC56" s="263" t="n">
        <v>65.3</v>
      </c>
      <c r="AD56" s="392" t="n">
        <v>100</v>
      </c>
      <c r="AE56" s="391" t="n">
        <v>33.4</v>
      </c>
      <c r="AF56" s="391" t="n">
        <v>1</v>
      </c>
      <c r="AG56" s="263" t="n">
        <v>65.59999999999999</v>
      </c>
      <c r="AJ56" s="369" t="n"/>
      <c r="AK56" s="369" t="n"/>
      <c r="AL56" s="369" t="n"/>
      <c r="AM56" s="369" t="n"/>
      <c r="AN56" s="369" t="n"/>
      <c r="AO56" s="369" t="n"/>
      <c r="AP56" s="369" t="n"/>
      <c r="AQ56" s="369" t="n"/>
      <c r="AR56" s="369" t="n"/>
      <c r="AS56" s="369" t="n"/>
      <c r="AT56" s="369" t="n"/>
      <c r="AU56" s="369" t="n"/>
    </row>
    <row r="57" ht="15" customHeight="1" s="226">
      <c r="A57" s="253" t="inlineStr">
        <is>
          <t>Приволжский федеральный округ</t>
        </is>
      </c>
      <c r="B57" s="275" t="n">
        <v>100</v>
      </c>
      <c r="C57" s="376" t="n">
        <v>36.8</v>
      </c>
      <c r="D57" s="376" t="n">
        <v>1.4</v>
      </c>
      <c r="E57" s="370" t="n">
        <v>61.8</v>
      </c>
      <c r="F57" s="376" t="n">
        <v>100</v>
      </c>
      <c r="G57" s="376" t="n">
        <v>36.7</v>
      </c>
      <c r="H57" s="376" t="n">
        <v>1.4</v>
      </c>
      <c r="I57" s="376" t="n">
        <v>61.9</v>
      </c>
      <c r="J57" s="275" t="n">
        <v>100</v>
      </c>
      <c r="K57" s="275" t="n">
        <v>35.9</v>
      </c>
      <c r="L57" s="275" t="n">
        <v>1.4</v>
      </c>
      <c r="M57" s="254" t="n">
        <v>62.7</v>
      </c>
      <c r="N57" s="275" t="n">
        <v>100</v>
      </c>
      <c r="O57" s="275" t="n">
        <v>36.1</v>
      </c>
      <c r="P57" s="275" t="n">
        <v>1.2</v>
      </c>
      <c r="Q57" s="254" t="n">
        <v>62.7</v>
      </c>
      <c r="R57" s="275" t="n">
        <v>100</v>
      </c>
      <c r="S57" s="275" t="n">
        <v>37.2</v>
      </c>
      <c r="T57" s="275" t="n">
        <v>1.2</v>
      </c>
      <c r="U57" s="254" t="n">
        <v>61.6</v>
      </c>
      <c r="V57" s="275" t="n">
        <v>100</v>
      </c>
      <c r="W57" s="275" t="n">
        <v>33</v>
      </c>
      <c r="X57" s="275" t="n">
        <v>1</v>
      </c>
      <c r="Y57" s="254" t="n">
        <v>66</v>
      </c>
      <c r="Z57" s="254" t="n">
        <v>100</v>
      </c>
      <c r="AA57" s="254" t="n">
        <v>32.1</v>
      </c>
      <c r="AB57" s="254" t="n">
        <v>1</v>
      </c>
      <c r="AC57" s="254" t="n">
        <v>66.90000000000001</v>
      </c>
      <c r="AD57" s="254" t="n">
        <v>100</v>
      </c>
      <c r="AE57" s="254" t="n">
        <v>33.5</v>
      </c>
      <c r="AF57" s="254" t="n">
        <v>0.9</v>
      </c>
      <c r="AG57" s="254" t="n">
        <v>65.59999999999999</v>
      </c>
      <c r="AJ57" s="369" t="n"/>
      <c r="AK57" s="369" t="n"/>
      <c r="AL57" s="369" t="n"/>
      <c r="AM57" s="369" t="n"/>
      <c r="AN57" s="369" t="n"/>
      <c r="AO57" s="369" t="n"/>
      <c r="AP57" s="369" t="n"/>
      <c r="AQ57" s="369" t="n"/>
      <c r="AR57" s="369" t="n"/>
      <c r="AS57" s="369" t="n"/>
      <c r="AT57" s="369" t="n"/>
      <c r="AU57" s="369" t="n"/>
    </row>
    <row r="58" ht="15" customHeight="1" s="226">
      <c r="A58" s="322" t="inlineStr">
        <is>
          <t xml:space="preserve"> Республика Башкортостан</t>
        </is>
      </c>
      <c r="B58" s="261" t="n">
        <v>100</v>
      </c>
      <c r="C58" s="336" t="n">
        <v>36.4</v>
      </c>
      <c r="D58" s="336" t="n">
        <v>1.2</v>
      </c>
      <c r="E58" s="389" t="n">
        <v>62.4</v>
      </c>
      <c r="F58" s="336" t="n">
        <v>100</v>
      </c>
      <c r="G58" s="336" t="n">
        <v>36</v>
      </c>
      <c r="H58" s="336" t="n">
        <v>1.2</v>
      </c>
      <c r="I58" s="390" t="n">
        <v>62.8</v>
      </c>
      <c r="J58" s="261" t="n">
        <v>100</v>
      </c>
      <c r="K58" s="262" t="n">
        <v>33</v>
      </c>
      <c r="L58" s="262" t="n">
        <v>1.2</v>
      </c>
      <c r="M58" s="263" t="n">
        <v>65.8</v>
      </c>
      <c r="N58" s="261" t="n">
        <v>100</v>
      </c>
      <c r="O58" s="262" t="n">
        <v>34.5</v>
      </c>
      <c r="P58" s="262" t="n">
        <v>1</v>
      </c>
      <c r="Q58" s="263" t="n">
        <v>64.5</v>
      </c>
      <c r="R58" s="261" t="n">
        <v>100</v>
      </c>
      <c r="S58" s="262" t="n">
        <v>36.5</v>
      </c>
      <c r="T58" s="262" t="n">
        <v>1</v>
      </c>
      <c r="U58" s="263" t="n">
        <v>62.5</v>
      </c>
      <c r="V58" s="261" t="n">
        <v>100</v>
      </c>
      <c r="W58" s="262" t="n">
        <v>34.2</v>
      </c>
      <c r="X58" s="262" t="n">
        <v>0.8</v>
      </c>
      <c r="Y58" s="263" t="n">
        <v>65</v>
      </c>
      <c r="Z58" s="261" t="n">
        <v>100</v>
      </c>
      <c r="AA58" s="391" t="n">
        <v>33.5</v>
      </c>
      <c r="AB58" s="391" t="n">
        <v>0.8</v>
      </c>
      <c r="AC58" s="263" t="n">
        <v>65.7</v>
      </c>
      <c r="AD58" s="392" t="n">
        <v>100</v>
      </c>
      <c r="AE58" s="391" t="n">
        <v>34.6</v>
      </c>
      <c r="AF58" s="391" t="n">
        <v>0.6</v>
      </c>
      <c r="AG58" s="263" t="n">
        <v>64.8</v>
      </c>
      <c r="AJ58" s="369" t="n"/>
      <c r="AK58" s="369" t="n"/>
      <c r="AL58" s="369" t="n"/>
      <c r="AM58" s="369" t="n"/>
      <c r="AN58" s="369" t="n"/>
      <c r="AO58" s="369" t="n"/>
      <c r="AP58" s="369" t="n"/>
      <c r="AQ58" s="369" t="n"/>
      <c r="AR58" s="369" t="n"/>
      <c r="AS58" s="369" t="n"/>
      <c r="AT58" s="369" t="n"/>
      <c r="AU58" s="369" t="n"/>
    </row>
    <row r="59" ht="15" customHeight="1" s="226">
      <c r="A59" s="322" t="inlineStr">
        <is>
          <t xml:space="preserve"> Республика Марий Эл</t>
        </is>
      </c>
      <c r="B59" s="261" t="n">
        <v>100</v>
      </c>
      <c r="C59" s="336" t="n">
        <v>43.2</v>
      </c>
      <c r="D59" s="336" t="n">
        <v>1.2</v>
      </c>
      <c r="E59" s="389" t="n">
        <v>55.6</v>
      </c>
      <c r="F59" s="336" t="n">
        <v>100</v>
      </c>
      <c r="G59" s="336" t="n">
        <v>43.5</v>
      </c>
      <c r="H59" s="336" t="n">
        <v>1.2</v>
      </c>
      <c r="I59" s="390" t="n">
        <v>55.3</v>
      </c>
      <c r="J59" s="261" t="n">
        <v>100</v>
      </c>
      <c r="K59" s="262" t="n">
        <v>43.4</v>
      </c>
      <c r="L59" s="262" t="n">
        <v>1.4</v>
      </c>
      <c r="M59" s="263" t="n">
        <v>55.2</v>
      </c>
      <c r="N59" s="261" t="n">
        <v>100</v>
      </c>
      <c r="O59" s="262" t="n">
        <v>43</v>
      </c>
      <c r="P59" s="262" t="n">
        <v>1.2</v>
      </c>
      <c r="Q59" s="263" t="n">
        <v>55.8</v>
      </c>
      <c r="R59" s="261" t="n">
        <v>100</v>
      </c>
      <c r="S59" s="262" t="n">
        <v>46.7</v>
      </c>
      <c r="T59" s="262" t="n">
        <v>1.1</v>
      </c>
      <c r="U59" s="263" t="n">
        <v>52.2</v>
      </c>
      <c r="V59" s="261" t="n">
        <v>100</v>
      </c>
      <c r="W59" s="262" t="n">
        <v>47.3</v>
      </c>
      <c r="X59" s="262" t="n">
        <v>1</v>
      </c>
      <c r="Y59" s="263" t="n">
        <v>51.7</v>
      </c>
      <c r="Z59" s="261" t="n">
        <v>100</v>
      </c>
      <c r="AA59" s="391" t="n">
        <v>46.9</v>
      </c>
      <c r="AB59" s="391" t="n">
        <v>1</v>
      </c>
      <c r="AC59" s="263" t="n">
        <v>52.1</v>
      </c>
      <c r="AD59" s="392" t="n">
        <v>100</v>
      </c>
      <c r="AE59" s="391" t="n">
        <v>45.3</v>
      </c>
      <c r="AF59" s="391" t="n">
        <v>0.8</v>
      </c>
      <c r="AG59" s="263" t="n">
        <v>53.9</v>
      </c>
      <c r="AJ59" s="369" t="n"/>
      <c r="AK59" s="369" t="n"/>
      <c r="AL59" s="369" t="n"/>
      <c r="AM59" s="369" t="n"/>
      <c r="AN59" s="369" t="n"/>
      <c r="AO59" s="369" t="n"/>
      <c r="AP59" s="369" t="n"/>
      <c r="AQ59" s="369" t="n"/>
      <c r="AR59" s="369" t="n"/>
      <c r="AS59" s="369" t="n"/>
      <c r="AT59" s="369" t="n"/>
      <c r="AU59" s="369" t="n"/>
    </row>
    <row r="60" ht="15" customHeight="1" s="226">
      <c r="A60" s="322" t="inlineStr">
        <is>
          <t xml:space="preserve"> Республика Мордовия</t>
        </is>
      </c>
      <c r="B60" s="261" t="n">
        <v>100</v>
      </c>
      <c r="C60" s="336" t="n">
        <v>41.5</v>
      </c>
      <c r="D60" s="336" t="n">
        <v>1.5</v>
      </c>
      <c r="E60" s="389" t="n">
        <v>57</v>
      </c>
      <c r="F60" s="336" t="n">
        <v>100</v>
      </c>
      <c r="G60" s="336" t="n">
        <v>43</v>
      </c>
      <c r="H60" s="336" t="n">
        <v>1.4</v>
      </c>
      <c r="I60" s="390" t="n">
        <v>55.6</v>
      </c>
      <c r="J60" s="261" t="n">
        <v>100</v>
      </c>
      <c r="K60" s="262" t="n">
        <v>44.1</v>
      </c>
      <c r="L60" s="262" t="n">
        <v>1.6</v>
      </c>
      <c r="M60" s="263" t="n">
        <v>54.3</v>
      </c>
      <c r="N60" s="261" t="n">
        <v>100</v>
      </c>
      <c r="O60" s="262" t="n">
        <v>43</v>
      </c>
      <c r="P60" s="262" t="n">
        <v>1.4</v>
      </c>
      <c r="Q60" s="263" t="n">
        <v>55.6</v>
      </c>
      <c r="R60" s="261" t="n">
        <v>100</v>
      </c>
      <c r="S60" s="262" t="n">
        <v>41.2</v>
      </c>
      <c r="T60" s="262" t="n">
        <v>1.2</v>
      </c>
      <c r="U60" s="263" t="n">
        <v>57.6</v>
      </c>
      <c r="V60" s="261" t="n">
        <v>100</v>
      </c>
      <c r="W60" s="262" t="n">
        <v>40.3</v>
      </c>
      <c r="X60" s="262" t="n">
        <v>1.2</v>
      </c>
      <c r="Y60" s="263" t="n">
        <v>58.5</v>
      </c>
      <c r="Z60" s="261" t="n">
        <v>100</v>
      </c>
      <c r="AA60" s="391" t="n">
        <v>40.4</v>
      </c>
      <c r="AB60" s="391" t="n">
        <v>1.2</v>
      </c>
      <c r="AC60" s="263" t="n">
        <v>58.4</v>
      </c>
      <c r="AD60" s="392" t="n">
        <v>100</v>
      </c>
      <c r="AE60" s="391" t="n">
        <v>39.5</v>
      </c>
      <c r="AF60" s="391" t="n">
        <v>1.1</v>
      </c>
      <c r="AG60" s="263" t="n">
        <v>59.4</v>
      </c>
      <c r="AJ60" s="369" t="n"/>
      <c r="AK60" s="369" t="n"/>
      <c r="AL60" s="369" t="n"/>
      <c r="AM60" s="369" t="n"/>
      <c r="AN60" s="369" t="n"/>
      <c r="AO60" s="369" t="n"/>
      <c r="AP60" s="369" t="n"/>
      <c r="AQ60" s="369" t="n"/>
      <c r="AR60" s="369" t="n"/>
      <c r="AS60" s="369" t="n"/>
      <c r="AT60" s="369" t="n"/>
      <c r="AU60" s="369" t="n"/>
    </row>
    <row r="61" ht="15" customHeight="1" s="226">
      <c r="A61" s="322" t="inlineStr">
        <is>
          <t xml:space="preserve"> Республика Татарстан (Татарстан)</t>
        </is>
      </c>
      <c r="B61" s="261" t="n">
        <v>100</v>
      </c>
      <c r="C61" s="336" t="n">
        <v>31</v>
      </c>
      <c r="D61" s="336" t="n">
        <v>1.7</v>
      </c>
      <c r="E61" s="389" t="n">
        <v>67.3</v>
      </c>
      <c r="F61" s="336" t="n">
        <v>100</v>
      </c>
      <c r="G61" s="336" t="n">
        <v>30.8</v>
      </c>
      <c r="H61" s="336" t="n">
        <v>1.6</v>
      </c>
      <c r="I61" s="390" t="n">
        <v>67.59999999999999</v>
      </c>
      <c r="J61" s="261" t="n">
        <v>100</v>
      </c>
      <c r="K61" s="262" t="n">
        <v>30.3</v>
      </c>
      <c r="L61" s="262" t="n">
        <v>1.5</v>
      </c>
      <c r="M61" s="263" t="n">
        <v>68.2</v>
      </c>
      <c r="N61" s="261" t="n">
        <v>100</v>
      </c>
      <c r="O61" s="262" t="n">
        <v>29.7</v>
      </c>
      <c r="P61" s="262" t="n">
        <v>1.3</v>
      </c>
      <c r="Q61" s="263" t="n">
        <v>69</v>
      </c>
      <c r="R61" s="261" t="n">
        <v>100</v>
      </c>
      <c r="S61" s="262" t="n">
        <v>29.1</v>
      </c>
      <c r="T61" s="262" t="n">
        <v>1.5</v>
      </c>
      <c r="U61" s="263" t="n">
        <v>69.40000000000001</v>
      </c>
      <c r="V61" s="261" t="n">
        <v>100</v>
      </c>
      <c r="W61" s="262" t="n">
        <v>25</v>
      </c>
      <c r="X61" s="262" t="n">
        <v>1.2</v>
      </c>
      <c r="Y61" s="263" t="n">
        <v>73.8</v>
      </c>
      <c r="Z61" s="261" t="n">
        <v>100</v>
      </c>
      <c r="AA61" s="391" t="n">
        <v>24.5</v>
      </c>
      <c r="AB61" s="391" t="n">
        <v>1.1</v>
      </c>
      <c r="AC61" s="263" t="n">
        <v>74.40000000000001</v>
      </c>
      <c r="AD61" s="392" t="n">
        <v>100</v>
      </c>
      <c r="AE61" s="391" t="n">
        <v>26.7</v>
      </c>
      <c r="AF61" s="391" t="n">
        <v>1.1</v>
      </c>
      <c r="AG61" s="263" t="n">
        <v>72.2</v>
      </c>
      <c r="AJ61" s="369" t="n"/>
      <c r="AK61" s="369" t="n"/>
      <c r="AL61" s="369" t="n"/>
      <c r="AM61" s="369" t="n"/>
      <c r="AN61" s="369" t="n"/>
      <c r="AO61" s="369" t="n"/>
      <c r="AP61" s="369" t="n"/>
      <c r="AQ61" s="369" t="n"/>
      <c r="AR61" s="369" t="n"/>
      <c r="AS61" s="369" t="n"/>
      <c r="AT61" s="369" t="n"/>
      <c r="AU61" s="369" t="n"/>
    </row>
    <row r="62" ht="15" customHeight="1" s="226">
      <c r="A62" s="322" t="inlineStr">
        <is>
          <t xml:space="preserve"> Удмуртская Республика</t>
        </is>
      </c>
      <c r="B62" s="261" t="n">
        <v>100</v>
      </c>
      <c r="C62" s="336" t="n">
        <v>38.4</v>
      </c>
      <c r="D62" s="336" t="n">
        <v>1.2</v>
      </c>
      <c r="E62" s="389" t="n">
        <v>60.4</v>
      </c>
      <c r="F62" s="336" t="n">
        <v>100</v>
      </c>
      <c r="G62" s="336" t="n">
        <v>40</v>
      </c>
      <c r="H62" s="336" t="n">
        <v>1.2</v>
      </c>
      <c r="I62" s="390" t="n">
        <v>58.8</v>
      </c>
      <c r="J62" s="261" t="n">
        <v>100</v>
      </c>
      <c r="K62" s="262" t="n">
        <v>38.6</v>
      </c>
      <c r="L62" s="262" t="n">
        <v>1.2</v>
      </c>
      <c r="M62" s="263" t="n">
        <v>60.2</v>
      </c>
      <c r="N62" s="261" t="n">
        <v>100</v>
      </c>
      <c r="O62" s="262" t="n">
        <v>38.1</v>
      </c>
      <c r="P62" s="262" t="n">
        <v>1.2</v>
      </c>
      <c r="Q62" s="263" t="n">
        <v>60.7</v>
      </c>
      <c r="R62" s="261" t="n">
        <v>100</v>
      </c>
      <c r="S62" s="262" t="n">
        <v>40.1</v>
      </c>
      <c r="T62" s="262" t="n">
        <v>1</v>
      </c>
      <c r="U62" s="263" t="n">
        <v>58.9</v>
      </c>
      <c r="V62" s="261" t="n">
        <v>100</v>
      </c>
      <c r="W62" s="262" t="n">
        <v>34.8</v>
      </c>
      <c r="X62" s="262" t="n">
        <v>0.8</v>
      </c>
      <c r="Y62" s="263" t="n">
        <v>64.40000000000001</v>
      </c>
      <c r="Z62" s="261" t="n">
        <v>100</v>
      </c>
      <c r="AA62" s="391" t="n">
        <v>33</v>
      </c>
      <c r="AB62" s="391" t="n">
        <v>0.9</v>
      </c>
      <c r="AC62" s="263" t="n">
        <v>66.09999999999999</v>
      </c>
      <c r="AD62" s="392" t="n">
        <v>100</v>
      </c>
      <c r="AE62" s="391" t="n">
        <v>33.9</v>
      </c>
      <c r="AF62" s="391" t="n">
        <v>0.8</v>
      </c>
      <c r="AG62" s="263" t="n">
        <v>65.3</v>
      </c>
      <c r="AJ62" s="369" t="n"/>
      <c r="AK62" s="369" t="n"/>
      <c r="AL62" s="369" t="n"/>
      <c r="AM62" s="369" t="n"/>
      <c r="AN62" s="369" t="n"/>
      <c r="AO62" s="369" t="n"/>
      <c r="AP62" s="369" t="n"/>
      <c r="AQ62" s="369" t="n"/>
      <c r="AR62" s="369" t="n"/>
      <c r="AS62" s="369" t="n"/>
      <c r="AT62" s="369" t="n"/>
      <c r="AU62" s="369" t="n"/>
    </row>
    <row r="63" ht="15" customHeight="1" s="226">
      <c r="A63" s="322" t="inlineStr">
        <is>
          <t xml:space="preserve"> Чувашская Республика - Чувашия</t>
        </is>
      </c>
      <c r="B63" s="261" t="n">
        <v>100</v>
      </c>
      <c r="C63" s="336" t="n">
        <v>41.6</v>
      </c>
      <c r="D63" s="336" t="n">
        <v>1.3</v>
      </c>
      <c r="E63" s="389" t="n">
        <v>57.1</v>
      </c>
      <c r="F63" s="336" t="n">
        <v>100</v>
      </c>
      <c r="G63" s="336" t="n">
        <v>41.5</v>
      </c>
      <c r="H63" s="336" t="n">
        <v>1.4</v>
      </c>
      <c r="I63" s="390" t="n">
        <v>57.1</v>
      </c>
      <c r="J63" s="261" t="n">
        <v>100</v>
      </c>
      <c r="K63" s="262" t="n">
        <v>43.8</v>
      </c>
      <c r="L63" s="262" t="n">
        <v>1.3</v>
      </c>
      <c r="M63" s="263" t="n">
        <v>54.9</v>
      </c>
      <c r="N63" s="261" t="n">
        <v>100</v>
      </c>
      <c r="O63" s="262" t="n">
        <v>42.5</v>
      </c>
      <c r="P63" s="262" t="n">
        <v>1.2</v>
      </c>
      <c r="Q63" s="263" t="n">
        <v>56.3</v>
      </c>
      <c r="R63" s="261" t="n">
        <v>100</v>
      </c>
      <c r="S63" s="262" t="n">
        <v>42.7</v>
      </c>
      <c r="T63" s="262" t="n">
        <v>1.2</v>
      </c>
      <c r="U63" s="263" t="n">
        <v>56.1</v>
      </c>
      <c r="V63" s="261" t="n">
        <v>100</v>
      </c>
      <c r="W63" s="262" t="n">
        <v>41.1</v>
      </c>
      <c r="X63" s="262" t="n">
        <v>1</v>
      </c>
      <c r="Y63" s="263" t="n">
        <v>57.9</v>
      </c>
      <c r="Z63" s="261" t="n">
        <v>100</v>
      </c>
      <c r="AA63" s="391" t="n">
        <v>38.9</v>
      </c>
      <c r="AB63" s="391" t="n">
        <v>1</v>
      </c>
      <c r="AC63" s="263" t="n">
        <v>60.1</v>
      </c>
      <c r="AD63" s="392" t="n">
        <v>100</v>
      </c>
      <c r="AE63" s="391" t="n">
        <v>37.8</v>
      </c>
      <c r="AF63" s="391" t="n">
        <v>0.8</v>
      </c>
      <c r="AG63" s="263" t="n">
        <v>61.4</v>
      </c>
      <c r="AJ63" s="369" t="n"/>
      <c r="AK63" s="369" t="n"/>
      <c r="AL63" s="369" t="n"/>
      <c r="AM63" s="369" t="n"/>
      <c r="AN63" s="369" t="n"/>
      <c r="AO63" s="369" t="n"/>
      <c r="AP63" s="369" t="n"/>
      <c r="AQ63" s="369" t="n"/>
      <c r="AR63" s="369" t="n"/>
      <c r="AS63" s="369" t="n"/>
      <c r="AT63" s="369" t="n"/>
      <c r="AU63" s="369" t="n"/>
    </row>
    <row r="64" ht="15" customHeight="1" s="226">
      <c r="A64" s="260" t="inlineStr">
        <is>
          <t xml:space="preserve"> Пермский край</t>
        </is>
      </c>
      <c r="B64" s="261" t="n">
        <v>100</v>
      </c>
      <c r="C64" s="336" t="n">
        <v>35</v>
      </c>
      <c r="D64" s="336" t="n">
        <v>1.5</v>
      </c>
      <c r="E64" s="389" t="n">
        <v>63.5</v>
      </c>
      <c r="F64" s="336" t="n">
        <v>100</v>
      </c>
      <c r="G64" s="336" t="n">
        <v>34.6</v>
      </c>
      <c r="H64" s="336" t="n">
        <v>1.4</v>
      </c>
      <c r="I64" s="390" t="n">
        <v>64</v>
      </c>
      <c r="J64" s="261" t="n">
        <v>100</v>
      </c>
      <c r="K64" s="262" t="n">
        <v>33.5</v>
      </c>
      <c r="L64" s="262" t="n">
        <v>1.4</v>
      </c>
      <c r="M64" s="263" t="n">
        <v>65.09999999999999</v>
      </c>
      <c r="N64" s="261" t="n">
        <v>100</v>
      </c>
      <c r="O64" s="262" t="n">
        <v>33.6</v>
      </c>
      <c r="P64" s="262" t="n">
        <v>1.2</v>
      </c>
      <c r="Q64" s="263" t="n">
        <v>65.2</v>
      </c>
      <c r="R64" s="261" t="n">
        <v>100</v>
      </c>
      <c r="S64" s="262" t="n">
        <v>36.6</v>
      </c>
      <c r="T64" s="262" t="n">
        <v>1.2</v>
      </c>
      <c r="U64" s="263" t="n">
        <v>62.2</v>
      </c>
      <c r="V64" s="261" t="n">
        <v>100</v>
      </c>
      <c r="W64" s="262" t="n">
        <v>32.2</v>
      </c>
      <c r="X64" s="262" t="n">
        <v>0.9</v>
      </c>
      <c r="Y64" s="263" t="n">
        <v>66.90000000000001</v>
      </c>
      <c r="Z64" s="261" t="n">
        <v>100</v>
      </c>
      <c r="AA64" s="391" t="n">
        <v>31.2</v>
      </c>
      <c r="AB64" s="391" t="n">
        <v>1.1</v>
      </c>
      <c r="AC64" s="263" t="n">
        <v>67.7</v>
      </c>
      <c r="AD64" s="392" t="n">
        <v>100</v>
      </c>
      <c r="AE64" s="391" t="n">
        <v>33.6</v>
      </c>
      <c r="AF64" s="391" t="n">
        <v>1</v>
      </c>
      <c r="AG64" s="263" t="n">
        <v>65.40000000000001</v>
      </c>
      <c r="AJ64" s="369" t="n"/>
      <c r="AK64" s="369" t="n"/>
      <c r="AL64" s="369" t="n"/>
      <c r="AM64" s="369" t="n"/>
      <c r="AN64" s="369" t="n"/>
      <c r="AO64" s="369" t="n"/>
      <c r="AP64" s="369" t="n"/>
      <c r="AQ64" s="369" t="n"/>
      <c r="AR64" s="369" t="n"/>
      <c r="AS64" s="369" t="n"/>
      <c r="AT64" s="369" t="n"/>
      <c r="AU64" s="369" t="n"/>
    </row>
    <row r="65" ht="15" customHeight="1" s="226">
      <c r="A65" s="260" t="inlineStr">
        <is>
          <t xml:space="preserve"> Кировская область</t>
        </is>
      </c>
      <c r="B65" s="261" t="n">
        <v>100</v>
      </c>
      <c r="C65" s="336" t="n">
        <v>49.4</v>
      </c>
      <c r="D65" s="336" t="n">
        <v>1.1</v>
      </c>
      <c r="E65" s="389" t="n">
        <v>49.5</v>
      </c>
      <c r="F65" s="336" t="n">
        <v>100</v>
      </c>
      <c r="G65" s="336" t="n">
        <v>49.5</v>
      </c>
      <c r="H65" s="336" t="n">
        <v>1.2</v>
      </c>
      <c r="I65" s="390" t="n">
        <v>49.3</v>
      </c>
      <c r="J65" s="261" t="n">
        <v>100</v>
      </c>
      <c r="K65" s="262" t="n">
        <v>50.3</v>
      </c>
      <c r="L65" s="262" t="n">
        <v>1.3</v>
      </c>
      <c r="M65" s="263" t="n">
        <v>48.4</v>
      </c>
      <c r="N65" s="261" t="n">
        <v>100</v>
      </c>
      <c r="O65" s="262" t="n">
        <v>50.4</v>
      </c>
      <c r="P65" s="262" t="n">
        <v>1.3</v>
      </c>
      <c r="Q65" s="263" t="n">
        <v>48.3</v>
      </c>
      <c r="R65" s="261" t="n">
        <v>100</v>
      </c>
      <c r="S65" s="262" t="n">
        <v>48.2</v>
      </c>
      <c r="T65" s="262" t="n">
        <v>1.2</v>
      </c>
      <c r="U65" s="263" t="n">
        <v>50.6</v>
      </c>
      <c r="V65" s="261" t="n">
        <v>100</v>
      </c>
      <c r="W65" s="262" t="n">
        <v>44</v>
      </c>
      <c r="X65" s="262" t="n">
        <v>1</v>
      </c>
      <c r="Y65" s="263" t="n">
        <v>55</v>
      </c>
      <c r="Z65" s="261" t="n">
        <v>100</v>
      </c>
      <c r="AA65" s="391" t="n">
        <v>43.2</v>
      </c>
      <c r="AB65" s="391" t="n">
        <v>1</v>
      </c>
      <c r="AC65" s="263" t="n">
        <v>55.8</v>
      </c>
      <c r="AD65" s="392" t="n">
        <v>100</v>
      </c>
      <c r="AE65" s="391" t="n">
        <v>45.9</v>
      </c>
      <c r="AF65" s="391" t="n">
        <v>0.9</v>
      </c>
      <c r="AG65" s="263" t="n">
        <v>53.2</v>
      </c>
      <c r="AJ65" s="369" t="n"/>
      <c r="AK65" s="369" t="n"/>
      <c r="AL65" s="369" t="n"/>
      <c r="AM65" s="369" t="n"/>
      <c r="AN65" s="369" t="n"/>
      <c r="AO65" s="369" t="n"/>
      <c r="AP65" s="369" t="n"/>
      <c r="AQ65" s="369" t="n"/>
      <c r="AR65" s="369" t="n"/>
      <c r="AS65" s="369" t="n"/>
      <c r="AT65" s="369" t="n"/>
      <c r="AU65" s="369" t="n"/>
    </row>
    <row r="66" ht="15" customHeight="1" s="226">
      <c r="A66" s="260" t="inlineStr">
        <is>
          <t xml:space="preserve"> Нижегородская область</t>
        </is>
      </c>
      <c r="B66" s="261" t="n">
        <v>100</v>
      </c>
      <c r="C66" s="336" t="n">
        <v>41.8</v>
      </c>
      <c r="D66" s="336" t="n">
        <v>1.4</v>
      </c>
      <c r="E66" s="389" t="n">
        <v>56.8</v>
      </c>
      <c r="F66" s="336" t="n">
        <v>100</v>
      </c>
      <c r="G66" s="336" t="n">
        <v>41.7</v>
      </c>
      <c r="H66" s="336" t="n">
        <v>1.3</v>
      </c>
      <c r="I66" s="390" t="n">
        <v>57</v>
      </c>
      <c r="J66" s="261" t="n">
        <v>100</v>
      </c>
      <c r="K66" s="262" t="n">
        <v>42.7</v>
      </c>
      <c r="L66" s="262" t="n">
        <v>1.3</v>
      </c>
      <c r="M66" s="263" t="n">
        <v>56</v>
      </c>
      <c r="N66" s="261" t="n">
        <v>100</v>
      </c>
      <c r="O66" s="262" t="n">
        <v>43.2</v>
      </c>
      <c r="P66" s="262" t="n">
        <v>1.1</v>
      </c>
      <c r="Q66" s="263" t="n">
        <v>55.7</v>
      </c>
      <c r="R66" s="261" t="n">
        <v>100</v>
      </c>
      <c r="S66" s="262" t="n">
        <v>42.7</v>
      </c>
      <c r="T66" s="262" t="n">
        <v>1</v>
      </c>
      <c r="U66" s="263" t="n">
        <v>56.3</v>
      </c>
      <c r="V66" s="261" t="n">
        <v>100</v>
      </c>
      <c r="W66" s="262" t="n">
        <v>40.9</v>
      </c>
      <c r="X66" s="262" t="n">
        <v>0.5</v>
      </c>
      <c r="Y66" s="263" t="n">
        <v>58.6</v>
      </c>
      <c r="Z66" s="261" t="n">
        <v>100</v>
      </c>
      <c r="AA66" s="391" t="n">
        <v>38.4</v>
      </c>
      <c r="AB66" s="391" t="n">
        <v>0.8</v>
      </c>
      <c r="AC66" s="263" t="n">
        <v>60.8</v>
      </c>
      <c r="AD66" s="392" t="n">
        <v>100</v>
      </c>
      <c r="AE66" s="391" t="n">
        <v>38.7</v>
      </c>
      <c r="AF66" s="391" t="n">
        <v>0.7</v>
      </c>
      <c r="AG66" s="263" t="n">
        <v>60.6</v>
      </c>
      <c r="AJ66" s="369" t="n"/>
      <c r="AK66" s="369" t="n"/>
      <c r="AL66" s="369" t="n"/>
      <c r="AM66" s="369" t="n"/>
      <c r="AN66" s="369" t="n"/>
      <c r="AO66" s="369" t="n"/>
      <c r="AP66" s="369" t="n"/>
      <c r="AQ66" s="369" t="n"/>
      <c r="AR66" s="369" t="n"/>
      <c r="AS66" s="369" t="n"/>
      <c r="AT66" s="369" t="n"/>
      <c r="AU66" s="369" t="n"/>
    </row>
    <row r="67" ht="15" customHeight="1" s="226">
      <c r="A67" s="260" t="inlineStr">
        <is>
          <t xml:space="preserve"> Оренбургская область</t>
        </is>
      </c>
      <c r="B67" s="261" t="n">
        <v>100</v>
      </c>
      <c r="C67" s="336" t="n">
        <v>31.9</v>
      </c>
      <c r="D67" s="336" t="n">
        <v>1.5</v>
      </c>
      <c r="E67" s="389" t="n">
        <v>66.59999999999999</v>
      </c>
      <c r="F67" s="336" t="n">
        <v>100</v>
      </c>
      <c r="G67" s="336" t="n">
        <v>30</v>
      </c>
      <c r="H67" s="336" t="n">
        <v>1.4</v>
      </c>
      <c r="I67" s="390" t="n">
        <v>68.59999999999999</v>
      </c>
      <c r="J67" s="261" t="n">
        <v>100</v>
      </c>
      <c r="K67" s="262" t="n">
        <v>26.6</v>
      </c>
      <c r="L67" s="262" t="n">
        <v>1.2</v>
      </c>
      <c r="M67" s="263" t="n">
        <v>72.2</v>
      </c>
      <c r="N67" s="261" t="n">
        <v>100</v>
      </c>
      <c r="O67" s="262" t="n">
        <v>26.5</v>
      </c>
      <c r="P67" s="262" t="n">
        <v>1.2</v>
      </c>
      <c r="Q67" s="263" t="n">
        <v>72.3</v>
      </c>
      <c r="R67" s="261" t="n">
        <v>100</v>
      </c>
      <c r="S67" s="262" t="n">
        <v>28.1</v>
      </c>
      <c r="T67" s="262" t="n">
        <v>1.3</v>
      </c>
      <c r="U67" s="263" t="n">
        <v>70.59999999999999</v>
      </c>
      <c r="V67" s="261" t="n">
        <v>100</v>
      </c>
      <c r="W67" s="262" t="n">
        <v>23.1</v>
      </c>
      <c r="X67" s="262" t="n">
        <v>1</v>
      </c>
      <c r="Y67" s="263" t="n">
        <v>75.90000000000001</v>
      </c>
      <c r="Z67" s="261" t="n">
        <v>100</v>
      </c>
      <c r="AA67" s="391" t="n">
        <v>23.3</v>
      </c>
      <c r="AB67" s="391" t="n">
        <v>1.1</v>
      </c>
      <c r="AC67" s="263" t="n">
        <v>75.59999999999999</v>
      </c>
      <c r="AD67" s="392" t="n">
        <v>100</v>
      </c>
      <c r="AE67" s="391" t="n">
        <v>24.6</v>
      </c>
      <c r="AF67" s="391" t="n">
        <v>1</v>
      </c>
      <c r="AG67" s="263" t="n">
        <v>74.40000000000001</v>
      </c>
      <c r="AJ67" s="369" t="n"/>
      <c r="AK67" s="369" t="n"/>
      <c r="AL67" s="369" t="n"/>
      <c r="AM67" s="369" t="n"/>
      <c r="AN67" s="369" t="n"/>
      <c r="AO67" s="369" t="n"/>
      <c r="AP67" s="369" t="n"/>
      <c r="AQ67" s="369" t="n"/>
      <c r="AR67" s="369" t="n"/>
      <c r="AS67" s="369" t="n"/>
      <c r="AT67" s="369" t="n"/>
      <c r="AU67" s="369" t="n"/>
    </row>
    <row r="68" ht="15" customHeight="1" s="226">
      <c r="A68" s="260" t="inlineStr">
        <is>
          <t xml:space="preserve"> Пензенская область</t>
        </is>
      </c>
      <c r="B68" s="261" t="n">
        <v>100</v>
      </c>
      <c r="C68" s="336" t="n">
        <v>39.5</v>
      </c>
      <c r="D68" s="336" t="n">
        <v>1.4</v>
      </c>
      <c r="E68" s="389" t="n">
        <v>59.1</v>
      </c>
      <c r="F68" s="336" t="n">
        <v>100</v>
      </c>
      <c r="G68" s="336" t="n">
        <v>39.8</v>
      </c>
      <c r="H68" s="336" t="n">
        <v>1.4</v>
      </c>
      <c r="I68" s="390" t="n">
        <v>58.8</v>
      </c>
      <c r="J68" s="261" t="n">
        <v>100</v>
      </c>
      <c r="K68" s="262" t="n">
        <v>41.5</v>
      </c>
      <c r="L68" s="262" t="n">
        <v>1.4</v>
      </c>
      <c r="M68" s="263" t="n">
        <v>57.1</v>
      </c>
      <c r="N68" s="261" t="n">
        <v>100</v>
      </c>
      <c r="O68" s="262" t="n">
        <v>38.9</v>
      </c>
      <c r="P68" s="262" t="n">
        <v>1.3</v>
      </c>
      <c r="Q68" s="263" t="n">
        <v>59.8</v>
      </c>
      <c r="R68" s="261" t="n">
        <v>100</v>
      </c>
      <c r="S68" s="262" t="n">
        <v>36.8</v>
      </c>
      <c r="T68" s="262" t="n">
        <v>1.2</v>
      </c>
      <c r="U68" s="263" t="n">
        <v>62</v>
      </c>
      <c r="V68" s="261" t="n">
        <v>100</v>
      </c>
      <c r="W68" s="262" t="n">
        <v>35.4</v>
      </c>
      <c r="X68" s="262" t="n">
        <v>1.2</v>
      </c>
      <c r="Y68" s="263" t="n">
        <v>63.4</v>
      </c>
      <c r="Z68" s="261" t="n">
        <v>100</v>
      </c>
      <c r="AA68" s="391" t="n">
        <v>35.8</v>
      </c>
      <c r="AB68" s="391" t="n">
        <v>1.2</v>
      </c>
      <c r="AC68" s="263" t="n">
        <v>63</v>
      </c>
      <c r="AD68" s="392" t="n">
        <v>100</v>
      </c>
      <c r="AE68" s="391" t="n">
        <v>37.2</v>
      </c>
      <c r="AF68" s="391" t="n">
        <v>1.1</v>
      </c>
      <c r="AG68" s="263" t="n">
        <v>61.7</v>
      </c>
      <c r="AJ68" s="369" t="n"/>
      <c r="AK68" s="369" t="n"/>
      <c r="AL68" s="369" t="n"/>
      <c r="AM68" s="369" t="n"/>
      <c r="AN68" s="369" t="n"/>
      <c r="AO68" s="369" t="n"/>
      <c r="AP68" s="369" t="n"/>
      <c r="AQ68" s="369" t="n"/>
      <c r="AR68" s="369" t="n"/>
      <c r="AS68" s="369" t="n"/>
      <c r="AT68" s="369" t="n"/>
      <c r="AU68" s="369" t="n"/>
    </row>
    <row r="69" ht="15" customHeight="1" s="226">
      <c r="A69" s="260" t="inlineStr">
        <is>
          <t xml:space="preserve"> Самарская область</t>
        </is>
      </c>
      <c r="B69" s="261" t="n">
        <v>100</v>
      </c>
      <c r="C69" s="336" t="n">
        <v>37.2</v>
      </c>
      <c r="D69" s="336" t="n">
        <v>1.6</v>
      </c>
      <c r="E69" s="389" t="n">
        <v>61.2</v>
      </c>
      <c r="F69" s="336" t="n">
        <v>100</v>
      </c>
      <c r="G69" s="336" t="n">
        <v>37.4</v>
      </c>
      <c r="H69" s="336" t="n">
        <v>1.5</v>
      </c>
      <c r="I69" s="390" t="n">
        <v>61.1</v>
      </c>
      <c r="J69" s="261" t="n">
        <v>100</v>
      </c>
      <c r="K69" s="262" t="n">
        <v>36.7</v>
      </c>
      <c r="L69" s="262" t="n">
        <v>1.6</v>
      </c>
      <c r="M69" s="263" t="n">
        <v>61.7</v>
      </c>
      <c r="N69" s="261" t="n">
        <v>100</v>
      </c>
      <c r="O69" s="262" t="n">
        <v>37.9</v>
      </c>
      <c r="P69" s="262" t="n">
        <v>1.4</v>
      </c>
      <c r="Q69" s="263" t="n">
        <v>60.7</v>
      </c>
      <c r="R69" s="261" t="n">
        <v>100</v>
      </c>
      <c r="S69" s="262" t="n">
        <v>40.8</v>
      </c>
      <c r="T69" s="262" t="n">
        <v>1.5</v>
      </c>
      <c r="U69" s="263" t="n">
        <v>57.7</v>
      </c>
      <c r="V69" s="261" t="n">
        <v>100</v>
      </c>
      <c r="W69" s="262" t="n">
        <v>33.3</v>
      </c>
      <c r="X69" s="262" t="n">
        <v>1.1</v>
      </c>
      <c r="Y69" s="263" t="n">
        <v>65.59999999999999</v>
      </c>
      <c r="Z69" s="261" t="n">
        <v>100</v>
      </c>
      <c r="AA69" s="391" t="n">
        <v>33.2</v>
      </c>
      <c r="AB69" s="391" t="n">
        <v>1.1</v>
      </c>
      <c r="AC69" s="263" t="n">
        <v>65.7</v>
      </c>
      <c r="AD69" s="392" t="n">
        <v>100</v>
      </c>
      <c r="AE69" s="391" t="n">
        <v>35.6</v>
      </c>
      <c r="AF69" s="391" t="n">
        <v>1</v>
      </c>
      <c r="AG69" s="263" t="n">
        <v>63.4</v>
      </c>
      <c r="AJ69" s="369" t="n"/>
      <c r="AK69" s="369" t="n"/>
      <c r="AL69" s="369" t="n"/>
      <c r="AM69" s="369" t="n"/>
      <c r="AN69" s="369" t="n"/>
      <c r="AO69" s="369" t="n"/>
      <c r="AP69" s="369" t="n"/>
      <c r="AQ69" s="369" t="n"/>
      <c r="AR69" s="369" t="n"/>
      <c r="AS69" s="369" t="n"/>
      <c r="AT69" s="369" t="n"/>
      <c r="AU69" s="369" t="n"/>
    </row>
    <row r="70" ht="15" customHeight="1" s="226">
      <c r="A70" s="322" t="inlineStr">
        <is>
          <t xml:space="preserve"> Саратовская область</t>
        </is>
      </c>
      <c r="B70" s="261" t="n">
        <v>100</v>
      </c>
      <c r="C70" s="336" t="n">
        <v>38.9</v>
      </c>
      <c r="D70" s="336" t="n">
        <v>1.6</v>
      </c>
      <c r="E70" s="389" t="n">
        <v>59.5</v>
      </c>
      <c r="F70" s="336" t="n">
        <v>100</v>
      </c>
      <c r="G70" s="336" t="n">
        <v>39.9</v>
      </c>
      <c r="H70" s="336" t="n">
        <v>1.7</v>
      </c>
      <c r="I70" s="390" t="n">
        <v>58.4</v>
      </c>
      <c r="J70" s="261" t="n">
        <v>100</v>
      </c>
      <c r="K70" s="262" t="n">
        <v>41.3</v>
      </c>
      <c r="L70" s="262" t="n">
        <v>1.8</v>
      </c>
      <c r="M70" s="263" t="n">
        <v>56.9</v>
      </c>
      <c r="N70" s="261" t="n">
        <v>100</v>
      </c>
      <c r="O70" s="262" t="n">
        <v>43.3</v>
      </c>
      <c r="P70" s="262" t="n">
        <v>1.5</v>
      </c>
      <c r="Q70" s="263" t="n">
        <v>55.2</v>
      </c>
      <c r="R70" s="261" t="n">
        <v>100</v>
      </c>
      <c r="S70" s="262" t="n">
        <v>42.8</v>
      </c>
      <c r="T70" s="262" t="n">
        <v>1.3</v>
      </c>
      <c r="U70" s="263" t="n">
        <v>55.9</v>
      </c>
      <c r="V70" s="261" t="n">
        <v>100</v>
      </c>
      <c r="W70" s="262" t="n">
        <v>38.4</v>
      </c>
      <c r="X70" s="262" t="n">
        <v>1.1</v>
      </c>
      <c r="Y70" s="263" t="n">
        <v>60.5</v>
      </c>
      <c r="Z70" s="261" t="n">
        <v>100</v>
      </c>
      <c r="AA70" s="391" t="n">
        <v>36.4</v>
      </c>
      <c r="AB70" s="391" t="n">
        <v>1.1</v>
      </c>
      <c r="AC70" s="263" t="n">
        <v>62.5</v>
      </c>
      <c r="AD70" s="392" t="n">
        <v>100</v>
      </c>
      <c r="AE70" s="391" t="n">
        <v>36</v>
      </c>
      <c r="AF70" s="391" t="n">
        <v>1</v>
      </c>
      <c r="AG70" s="263" t="n">
        <v>63</v>
      </c>
      <c r="AJ70" s="369" t="n"/>
      <c r="AK70" s="369" t="n"/>
      <c r="AL70" s="369" t="n"/>
      <c r="AM70" s="369" t="n"/>
      <c r="AN70" s="369" t="n"/>
      <c r="AO70" s="369" t="n"/>
      <c r="AP70" s="369" t="n"/>
      <c r="AQ70" s="369" t="n"/>
      <c r="AR70" s="369" t="n"/>
      <c r="AS70" s="369" t="n"/>
      <c r="AT70" s="369" t="n"/>
      <c r="AU70" s="369" t="n"/>
    </row>
    <row r="71" ht="15" customHeight="1" s="226">
      <c r="A71" s="322" t="inlineStr">
        <is>
          <t xml:space="preserve"> Ульяновская область</t>
        </is>
      </c>
      <c r="B71" s="261" t="n">
        <v>100</v>
      </c>
      <c r="C71" s="336" t="n">
        <v>39.2</v>
      </c>
      <c r="D71" s="336" t="n">
        <v>1.2</v>
      </c>
      <c r="E71" s="389" t="n">
        <v>59.6</v>
      </c>
      <c r="F71" s="336" t="n">
        <v>100</v>
      </c>
      <c r="G71" s="336" t="n">
        <v>40.4</v>
      </c>
      <c r="H71" s="336" t="n">
        <v>1.2</v>
      </c>
      <c r="I71" s="390" t="n">
        <v>58.4</v>
      </c>
      <c r="J71" s="261" t="n">
        <v>100</v>
      </c>
      <c r="K71" s="262" t="n">
        <v>41.4</v>
      </c>
      <c r="L71" s="262" t="n">
        <v>1.4</v>
      </c>
      <c r="M71" s="263" t="n">
        <v>57.2</v>
      </c>
      <c r="N71" s="261" t="n">
        <v>100</v>
      </c>
      <c r="O71" s="262" t="n">
        <v>40.1</v>
      </c>
      <c r="P71" s="262" t="n">
        <v>1.2</v>
      </c>
      <c r="Q71" s="263" t="n">
        <v>58.7</v>
      </c>
      <c r="R71" s="261" t="n">
        <v>100</v>
      </c>
      <c r="S71" s="262" t="n">
        <v>41.6</v>
      </c>
      <c r="T71" s="262" t="n">
        <v>1.1</v>
      </c>
      <c r="U71" s="263" t="n">
        <v>57.3</v>
      </c>
      <c r="V71" s="261" t="n">
        <v>100</v>
      </c>
      <c r="W71" s="262" t="n">
        <v>40.1</v>
      </c>
      <c r="X71" s="262" t="n">
        <v>1</v>
      </c>
      <c r="Y71" s="263" t="n">
        <v>58.9</v>
      </c>
      <c r="Z71" s="261" t="n">
        <v>100</v>
      </c>
      <c r="AA71" s="391" t="n">
        <v>38</v>
      </c>
      <c r="AB71" s="391" t="n">
        <v>0.9</v>
      </c>
      <c r="AC71" s="263" t="n">
        <v>61.1</v>
      </c>
      <c r="AD71" s="392" t="n">
        <v>100</v>
      </c>
      <c r="AE71" s="391" t="n">
        <v>38.2</v>
      </c>
      <c r="AF71" s="391" t="n">
        <v>0.8</v>
      </c>
      <c r="AG71" s="263" t="n">
        <v>61</v>
      </c>
      <c r="AJ71" s="369" t="n"/>
      <c r="AK71" s="369" t="n"/>
      <c r="AL71" s="369" t="n"/>
      <c r="AM71" s="369" t="n"/>
      <c r="AN71" s="369" t="n"/>
      <c r="AO71" s="369" t="n"/>
      <c r="AP71" s="369" t="n"/>
      <c r="AQ71" s="369" t="n"/>
      <c r="AR71" s="369" t="n"/>
      <c r="AS71" s="369" t="n"/>
      <c r="AT71" s="369" t="n"/>
      <c r="AU71" s="369" t="n"/>
    </row>
    <row r="72" ht="15" customHeight="1" s="226">
      <c r="A72" s="272" t="inlineStr">
        <is>
          <t>Уральский федеральный округ</t>
        </is>
      </c>
      <c r="B72" s="275" t="n">
        <v>100</v>
      </c>
      <c r="C72" s="376" t="n">
        <v>31.6</v>
      </c>
      <c r="D72" s="376" t="n">
        <v>1.9</v>
      </c>
      <c r="E72" s="370" t="n">
        <v>66.5</v>
      </c>
      <c r="F72" s="376" t="n">
        <v>100</v>
      </c>
      <c r="G72" s="376" t="n">
        <v>30.3</v>
      </c>
      <c r="H72" s="376" t="n">
        <v>1.9</v>
      </c>
      <c r="I72" s="376" t="n">
        <v>67.8</v>
      </c>
      <c r="J72" s="275" t="n">
        <v>100</v>
      </c>
      <c r="K72" s="275" t="n">
        <v>27.7</v>
      </c>
      <c r="L72" s="275" t="n">
        <v>1.7</v>
      </c>
      <c r="M72" s="254" t="n">
        <v>70.59999999999999</v>
      </c>
      <c r="N72" s="275" t="n">
        <v>100</v>
      </c>
      <c r="O72" s="275" t="n">
        <v>28.1</v>
      </c>
      <c r="P72" s="275" t="n">
        <v>1.6</v>
      </c>
      <c r="Q72" s="254" t="n">
        <v>70.3</v>
      </c>
      <c r="R72" s="275" t="n">
        <v>100</v>
      </c>
      <c r="S72" s="275" t="n">
        <v>33.1</v>
      </c>
      <c r="T72" s="275" t="n">
        <v>1.8</v>
      </c>
      <c r="U72" s="254" t="n">
        <v>65.09999999999999</v>
      </c>
      <c r="V72" s="275" t="n">
        <v>100</v>
      </c>
      <c r="W72" s="275" t="n">
        <v>25.3</v>
      </c>
      <c r="X72" s="275" t="n">
        <v>1.3</v>
      </c>
      <c r="Y72" s="254" t="n">
        <v>73.40000000000001</v>
      </c>
      <c r="Z72" s="254" t="n">
        <v>100</v>
      </c>
      <c r="AA72" s="254" t="n">
        <v>24.3</v>
      </c>
      <c r="AB72" s="254" t="n">
        <v>1.4</v>
      </c>
      <c r="AC72" s="254" t="n">
        <v>74.3</v>
      </c>
      <c r="AD72" s="254" t="n">
        <v>100</v>
      </c>
      <c r="AE72" s="254" t="n">
        <v>24.4</v>
      </c>
      <c r="AF72" s="254" t="n">
        <v>1.3</v>
      </c>
      <c r="AG72" s="254" t="n">
        <v>74.3</v>
      </c>
      <c r="AJ72" s="369" t="n"/>
      <c r="AK72" s="369" t="n"/>
      <c r="AL72" s="369" t="n"/>
      <c r="AM72" s="369" t="n"/>
      <c r="AN72" s="369" t="n"/>
      <c r="AO72" s="369" t="n"/>
      <c r="AP72" s="369" t="n"/>
      <c r="AQ72" s="369" t="n"/>
      <c r="AR72" s="369" t="n"/>
      <c r="AS72" s="369" t="n"/>
      <c r="AT72" s="369" t="n"/>
      <c r="AU72" s="369" t="n"/>
    </row>
    <row r="73" ht="15" customHeight="1" s="226">
      <c r="A73" s="323" t="inlineStr">
        <is>
          <t xml:space="preserve"> Курганская область</t>
        </is>
      </c>
      <c r="B73" s="261" t="n">
        <v>100</v>
      </c>
      <c r="C73" s="336" t="n">
        <v>42.1</v>
      </c>
      <c r="D73" s="336" t="n">
        <v>1.4</v>
      </c>
      <c r="E73" s="389" t="n">
        <v>56.5</v>
      </c>
      <c r="F73" s="336" t="n">
        <v>100</v>
      </c>
      <c r="G73" s="336" t="n">
        <v>43.4</v>
      </c>
      <c r="H73" s="336" t="n">
        <v>1.5</v>
      </c>
      <c r="I73" s="390" t="n">
        <v>55.1</v>
      </c>
      <c r="J73" s="261" t="n">
        <v>100</v>
      </c>
      <c r="K73" s="262" t="n">
        <v>45.3</v>
      </c>
      <c r="L73" s="262" t="n">
        <v>1.6</v>
      </c>
      <c r="M73" s="263" t="n">
        <v>53.1</v>
      </c>
      <c r="N73" s="261" t="n">
        <v>100</v>
      </c>
      <c r="O73" s="262" t="n">
        <v>45.3</v>
      </c>
      <c r="P73" s="262" t="n">
        <v>1.4</v>
      </c>
      <c r="Q73" s="263" t="n">
        <v>53.3</v>
      </c>
      <c r="R73" s="261" t="n">
        <v>100</v>
      </c>
      <c r="S73" s="262" t="n">
        <v>46.9</v>
      </c>
      <c r="T73" s="262" t="n">
        <v>1.3</v>
      </c>
      <c r="U73" s="263" t="n">
        <v>51.8</v>
      </c>
      <c r="V73" s="261" t="n">
        <v>100</v>
      </c>
      <c r="W73" s="262" t="n">
        <v>45.8</v>
      </c>
      <c r="X73" s="262" t="n">
        <v>1.3</v>
      </c>
      <c r="Y73" s="263" t="n">
        <v>52.9</v>
      </c>
      <c r="Z73" s="261" t="n">
        <v>100</v>
      </c>
      <c r="AA73" s="391" t="n">
        <v>43.9</v>
      </c>
      <c r="AB73" s="391" t="n">
        <v>1.1</v>
      </c>
      <c r="AC73" s="263" t="n">
        <v>55</v>
      </c>
      <c r="AD73" s="392" t="n">
        <v>100</v>
      </c>
      <c r="AE73" s="391" t="n">
        <v>46.8</v>
      </c>
      <c r="AF73" s="391" t="n">
        <v>1.1</v>
      </c>
      <c r="AG73" s="263" t="n">
        <v>52.1</v>
      </c>
      <c r="AJ73" s="369" t="n"/>
      <c r="AK73" s="369" t="n"/>
      <c r="AL73" s="369" t="n"/>
      <c r="AM73" s="369" t="n"/>
      <c r="AN73" s="369" t="n"/>
      <c r="AO73" s="369" t="n"/>
      <c r="AP73" s="369" t="n"/>
      <c r="AQ73" s="369" t="n"/>
      <c r="AR73" s="369" t="n"/>
      <c r="AS73" s="369" t="n"/>
      <c r="AT73" s="369" t="n"/>
      <c r="AU73" s="369" t="n"/>
    </row>
    <row r="74" ht="15" customHeight="1" s="226">
      <c r="A74" s="323" t="inlineStr">
        <is>
          <t xml:space="preserve"> Свердловская область</t>
        </is>
      </c>
      <c r="B74" s="261" t="n">
        <v>100</v>
      </c>
      <c r="C74" s="336" t="n">
        <v>37.5</v>
      </c>
      <c r="D74" s="336" t="n">
        <v>1.6</v>
      </c>
      <c r="E74" s="389" t="n">
        <v>60.9</v>
      </c>
      <c r="F74" s="336" t="n">
        <v>100</v>
      </c>
      <c r="G74" s="336" t="n">
        <v>37.7</v>
      </c>
      <c r="H74" s="336" t="n">
        <v>1.7</v>
      </c>
      <c r="I74" s="390" t="n">
        <v>60.6</v>
      </c>
      <c r="J74" s="261" t="n">
        <v>100</v>
      </c>
      <c r="K74" s="262" t="n">
        <v>38.1</v>
      </c>
      <c r="L74" s="262" t="n">
        <v>1.7</v>
      </c>
      <c r="M74" s="263" t="n">
        <v>60.2</v>
      </c>
      <c r="N74" s="261" t="n">
        <v>100</v>
      </c>
      <c r="O74" s="262" t="n">
        <v>39</v>
      </c>
      <c r="P74" s="262" t="n">
        <v>1.2</v>
      </c>
      <c r="Q74" s="263" t="n">
        <v>59.8</v>
      </c>
      <c r="R74" s="261" t="n">
        <v>100</v>
      </c>
      <c r="S74" s="262" t="n">
        <v>39.8</v>
      </c>
      <c r="T74" s="262" t="n">
        <v>1.2</v>
      </c>
      <c r="U74" s="263" t="n">
        <v>59</v>
      </c>
      <c r="V74" s="261" t="n">
        <v>100</v>
      </c>
      <c r="W74" s="262" t="n">
        <v>36.1</v>
      </c>
      <c r="X74" s="262" t="n">
        <v>1</v>
      </c>
      <c r="Y74" s="263" t="n">
        <v>62.9</v>
      </c>
      <c r="Z74" s="261" t="n">
        <v>100</v>
      </c>
      <c r="AA74" s="391" t="n">
        <v>37</v>
      </c>
      <c r="AB74" s="391" t="n">
        <v>1</v>
      </c>
      <c r="AC74" s="263" t="n">
        <v>62</v>
      </c>
      <c r="AD74" s="392" t="n">
        <v>100</v>
      </c>
      <c r="AE74" s="391" t="n">
        <v>37.5</v>
      </c>
      <c r="AF74" s="391" t="n">
        <v>0.9</v>
      </c>
      <c r="AG74" s="263" t="n">
        <v>61.6</v>
      </c>
      <c r="AJ74" s="369" t="n"/>
      <c r="AK74" s="369" t="n"/>
      <c r="AL74" s="369" t="n"/>
      <c r="AM74" s="369" t="n"/>
      <c r="AN74" s="369" t="n"/>
      <c r="AO74" s="369" t="n"/>
      <c r="AP74" s="369" t="n"/>
      <c r="AQ74" s="369" t="n"/>
      <c r="AR74" s="369" t="n"/>
      <c r="AS74" s="369" t="n"/>
      <c r="AT74" s="369" t="n"/>
      <c r="AU74" s="369" t="n"/>
    </row>
    <row r="75" ht="15" customHeight="1" s="226">
      <c r="A75" s="323" t="inlineStr">
        <is>
          <t xml:space="preserve"> Тюменская область</t>
        </is>
      </c>
      <c r="B75" s="261" t="n">
        <v>100</v>
      </c>
      <c r="C75" s="336" t="n">
        <v>27.2</v>
      </c>
      <c r="D75" s="336" t="n">
        <v>2.1</v>
      </c>
      <c r="E75" s="389" t="n">
        <v>70.7</v>
      </c>
      <c r="F75" s="336" t="n">
        <v>100</v>
      </c>
      <c r="G75" s="336" t="n">
        <v>25.4</v>
      </c>
      <c r="H75" s="336" t="n">
        <v>2</v>
      </c>
      <c r="I75" s="390" t="n">
        <v>72.59999999999999</v>
      </c>
      <c r="J75" s="261" t="n">
        <v>100</v>
      </c>
      <c r="K75" s="262" t="n">
        <v>22</v>
      </c>
      <c r="L75" s="262" t="n">
        <v>1.8</v>
      </c>
      <c r="M75" s="263" t="n">
        <v>76.2</v>
      </c>
      <c r="N75" s="261" t="n">
        <v>100</v>
      </c>
      <c r="O75" s="262" t="n">
        <v>21.9</v>
      </c>
      <c r="P75" s="262" t="n">
        <v>1.7</v>
      </c>
      <c r="Q75" s="263" t="n">
        <v>76.40000000000001</v>
      </c>
      <c r="R75" s="261" t="n">
        <v>100</v>
      </c>
      <c r="S75" s="262" t="n">
        <v>28.2</v>
      </c>
      <c r="T75" s="262" t="n">
        <v>2.1</v>
      </c>
      <c r="U75" s="263" t="n">
        <v>69.7</v>
      </c>
      <c r="V75" s="261" t="n">
        <v>100</v>
      </c>
      <c r="W75" s="262" t="n">
        <v>19.9</v>
      </c>
      <c r="X75" s="262" t="n">
        <v>1.4</v>
      </c>
      <c r="Y75" s="263" t="n">
        <v>78.7</v>
      </c>
      <c r="Z75" s="261" t="n">
        <v>100</v>
      </c>
      <c r="AA75" s="391" t="n">
        <v>18.4</v>
      </c>
      <c r="AB75" s="391" t="n">
        <v>1.6</v>
      </c>
      <c r="AC75" s="263" t="n">
        <v>80</v>
      </c>
      <c r="AD75" s="392" t="n">
        <v>100</v>
      </c>
      <c r="AE75" s="391" t="n">
        <v>18.2</v>
      </c>
      <c r="AF75" s="391" t="n">
        <v>1.5</v>
      </c>
      <c r="AG75" s="263" t="n">
        <v>80.3</v>
      </c>
      <c r="AJ75" s="369" t="n"/>
      <c r="AK75" s="369" t="n"/>
      <c r="AL75" s="369" t="n"/>
      <c r="AM75" s="369" t="n"/>
      <c r="AN75" s="369" t="n"/>
      <c r="AO75" s="369" t="n"/>
      <c r="AP75" s="369" t="n"/>
      <c r="AQ75" s="369" t="n"/>
      <c r="AR75" s="369" t="n"/>
      <c r="AS75" s="369" t="n"/>
      <c r="AT75" s="369" t="n"/>
      <c r="AU75" s="369" t="n"/>
    </row>
    <row r="76" ht="15" customHeight="1" s="226">
      <c r="A76" s="260" t="inlineStr">
        <is>
          <t xml:space="preserve"> в т.ч. Ханты-Мансийский АО-Югра</t>
        </is>
      </c>
      <c r="B76" s="261" t="n">
        <v>100</v>
      </c>
      <c r="C76" s="336" t="n">
        <v>26.9</v>
      </c>
      <c r="D76" s="336" t="n">
        <v>2</v>
      </c>
      <c r="E76" s="389" t="n">
        <v>71.09999999999999</v>
      </c>
      <c r="F76" s="336" t="n">
        <v>100</v>
      </c>
      <c r="G76" s="336" t="n">
        <v>25</v>
      </c>
      <c r="H76" s="336" t="n">
        <v>1.8</v>
      </c>
      <c r="I76" s="390" t="n">
        <v>73.2</v>
      </c>
      <c r="J76" s="261" t="n">
        <v>100</v>
      </c>
      <c r="K76" s="262" t="n">
        <v>21.2</v>
      </c>
      <c r="L76" s="262" t="n">
        <v>1.6</v>
      </c>
      <c r="M76" s="263" t="n">
        <v>77.2</v>
      </c>
      <c r="N76" s="261" t="n">
        <v>100</v>
      </c>
      <c r="O76" s="262" t="n">
        <v>21.3</v>
      </c>
      <c r="P76" s="262" t="n">
        <v>1.6</v>
      </c>
      <c r="Q76" s="263" t="n">
        <v>77.09999999999999</v>
      </c>
      <c r="R76" s="261" t="n">
        <v>100</v>
      </c>
      <c r="S76" s="262" t="n">
        <v>30.2</v>
      </c>
      <c r="T76" s="262" t="n">
        <v>2.1</v>
      </c>
      <c r="U76" s="263" t="n">
        <v>67.7</v>
      </c>
      <c r="V76" s="261" t="n">
        <v>100</v>
      </c>
      <c r="W76" s="262" t="n">
        <v>19.3</v>
      </c>
      <c r="X76" s="262" t="n">
        <v>1.3</v>
      </c>
      <c r="Y76" s="263" t="n">
        <v>79.40000000000001</v>
      </c>
      <c r="Z76" s="261" t="n">
        <v>100</v>
      </c>
      <c r="AA76" s="391" t="n">
        <v>17.8</v>
      </c>
      <c r="AB76" s="391" t="n">
        <v>1.4</v>
      </c>
      <c r="AC76" s="263" t="n">
        <v>80.8</v>
      </c>
      <c r="AD76" s="392" t="n">
        <v>100</v>
      </c>
      <c r="AE76" s="391" t="n">
        <v>16</v>
      </c>
      <c r="AF76" s="391" t="n">
        <v>1.2</v>
      </c>
      <c r="AG76" s="263" t="n">
        <v>82.8</v>
      </c>
      <c r="AJ76" s="369" t="n"/>
      <c r="AK76" s="369" t="n"/>
      <c r="AL76" s="369" t="n"/>
      <c r="AM76" s="369" t="n"/>
      <c r="AN76" s="369" t="n"/>
      <c r="AO76" s="369" t="n"/>
      <c r="AP76" s="369" t="n"/>
      <c r="AQ76" s="369" t="n"/>
      <c r="AR76" s="369" t="n"/>
      <c r="AS76" s="369" t="n"/>
      <c r="AT76" s="369" t="n"/>
      <c r="AU76" s="369" t="n"/>
    </row>
    <row r="77" ht="15" customHeight="1" s="226">
      <c r="A77" s="260" t="inlineStr">
        <is>
          <t xml:space="preserve">          Ямало-Ненецкий АО</t>
        </is>
      </c>
      <c r="B77" s="261" t="n">
        <v>100</v>
      </c>
      <c r="C77" s="336" t="n">
        <v>27.6</v>
      </c>
      <c r="D77" s="336" t="n">
        <v>2.7</v>
      </c>
      <c r="E77" s="389" t="n">
        <v>69.7</v>
      </c>
      <c r="F77" s="336" t="n">
        <v>100</v>
      </c>
      <c r="G77" s="336" t="n">
        <v>24.8</v>
      </c>
      <c r="H77" s="336" t="n">
        <v>2.7</v>
      </c>
      <c r="I77" s="390" t="n">
        <v>72.5</v>
      </c>
      <c r="J77" s="261" t="n">
        <v>100</v>
      </c>
      <c r="K77" s="262" t="n">
        <v>20.5</v>
      </c>
      <c r="L77" s="262" t="n">
        <v>2.4</v>
      </c>
      <c r="M77" s="263" t="n">
        <v>77.09999999999999</v>
      </c>
      <c r="N77" s="261" t="n">
        <v>100</v>
      </c>
      <c r="O77" s="262" t="n">
        <v>19.1</v>
      </c>
      <c r="P77" s="262" t="n">
        <v>2.2</v>
      </c>
      <c r="Q77" s="263" t="n">
        <v>78.7</v>
      </c>
      <c r="R77" s="261" t="n">
        <v>100</v>
      </c>
      <c r="S77" s="262" t="n">
        <v>24.1</v>
      </c>
      <c r="T77" s="262" t="n">
        <v>2.6</v>
      </c>
      <c r="U77" s="263" t="n">
        <v>73.3</v>
      </c>
      <c r="V77" s="261" t="n">
        <v>100</v>
      </c>
      <c r="W77" s="262" t="n">
        <v>18</v>
      </c>
      <c r="X77" s="262" t="n">
        <v>1.8</v>
      </c>
      <c r="Y77" s="263" t="n">
        <v>80.2</v>
      </c>
      <c r="Z77" s="261" t="n">
        <v>100</v>
      </c>
      <c r="AA77" s="391" t="n">
        <v>16.4</v>
      </c>
      <c r="AB77" s="391" t="n">
        <v>2</v>
      </c>
      <c r="AC77" s="263" t="n">
        <v>81.59999999999999</v>
      </c>
      <c r="AD77" s="392" t="n">
        <v>100</v>
      </c>
      <c r="AE77" s="391" t="n">
        <v>18.4</v>
      </c>
      <c r="AF77" s="391" t="n">
        <v>2.2</v>
      </c>
      <c r="AG77" s="263" t="n">
        <v>79.40000000000001</v>
      </c>
      <c r="AJ77" s="369" t="n"/>
      <c r="AK77" s="369" t="n"/>
      <c r="AL77" s="369" t="n"/>
      <c r="AM77" s="369" t="n"/>
      <c r="AN77" s="369" t="n"/>
      <c r="AO77" s="369" t="n"/>
      <c r="AP77" s="369" t="n"/>
      <c r="AQ77" s="369" t="n"/>
      <c r="AR77" s="369" t="n"/>
      <c r="AS77" s="369" t="n"/>
      <c r="AT77" s="369" t="n"/>
      <c r="AU77" s="369" t="n"/>
    </row>
    <row r="78" ht="30.75" customHeight="1" s="226">
      <c r="A78" s="260" t="inlineStr">
        <is>
          <t>Тюменская область (кроме Ханты-Мансийского АО-Югры и Ямало-Ненецкого АО)</t>
        </is>
      </c>
      <c r="B78" s="261" t="n">
        <v>100</v>
      </c>
      <c r="C78" s="336" t="n">
        <v>27.5</v>
      </c>
      <c r="D78" s="336" t="n">
        <v>1.2</v>
      </c>
      <c r="E78" s="389" t="n">
        <v>71.3</v>
      </c>
      <c r="F78" s="336" t="n">
        <v>100</v>
      </c>
      <c r="G78" s="336" t="n">
        <v>28</v>
      </c>
      <c r="H78" s="336" t="n">
        <v>1.2</v>
      </c>
      <c r="I78" s="390" t="n">
        <v>70.8</v>
      </c>
      <c r="J78" s="261" t="n">
        <v>100</v>
      </c>
      <c r="K78" s="262" t="n">
        <v>27.9</v>
      </c>
      <c r="L78" s="262" t="n">
        <v>1.1</v>
      </c>
      <c r="M78" s="263" t="n">
        <v>71</v>
      </c>
      <c r="N78" s="261" t="n">
        <v>100</v>
      </c>
      <c r="O78" s="262" t="n">
        <v>31.4</v>
      </c>
      <c r="P78" s="262" t="n">
        <v>1.1</v>
      </c>
      <c r="Q78" s="263" t="n">
        <v>67.5</v>
      </c>
      <c r="R78" s="261" t="n">
        <v>100</v>
      </c>
      <c r="S78" s="262" t="n">
        <v>32.3</v>
      </c>
      <c r="T78" s="262" t="n">
        <v>1.2</v>
      </c>
      <c r="U78" s="263" t="n">
        <v>66.5</v>
      </c>
      <c r="V78" s="261" t="n">
        <v>100</v>
      </c>
      <c r="W78" s="262" t="n">
        <v>27.1</v>
      </c>
      <c r="X78" s="262" t="n">
        <v>0.9</v>
      </c>
      <c r="Y78" s="263" t="n">
        <v>72</v>
      </c>
      <c r="Z78" s="261" t="n">
        <v>100</v>
      </c>
      <c r="AA78" s="391" t="n">
        <v>27.5</v>
      </c>
      <c r="AB78" s="391" t="n">
        <v>0.9</v>
      </c>
      <c r="AC78" s="263" t="n">
        <v>71.59999999999999</v>
      </c>
      <c r="AD78" s="392" t="n">
        <v>100</v>
      </c>
      <c r="AE78" s="391" t="n">
        <v>27.6</v>
      </c>
      <c r="AF78" s="391" t="n">
        <v>0.8</v>
      </c>
      <c r="AG78" s="263" t="n">
        <v>71.59999999999999</v>
      </c>
      <c r="AJ78" s="369" t="n"/>
      <c r="AK78" s="369" t="n"/>
      <c r="AL78" s="369" t="n"/>
      <c r="AM78" s="369" t="n"/>
      <c r="AN78" s="369" t="n"/>
      <c r="AO78" s="369" t="n"/>
      <c r="AP78" s="369" t="n"/>
      <c r="AQ78" s="369" t="n"/>
      <c r="AR78" s="369" t="n"/>
      <c r="AS78" s="369" t="n"/>
      <c r="AT78" s="369" t="n"/>
      <c r="AU78" s="369" t="n"/>
    </row>
    <row r="79" ht="15" customHeight="1" s="226">
      <c r="A79" s="323" t="inlineStr">
        <is>
          <t xml:space="preserve"> Челябинская область</t>
        </is>
      </c>
      <c r="B79" s="261" t="n">
        <v>100</v>
      </c>
      <c r="C79" s="336" t="n">
        <v>40.7</v>
      </c>
      <c r="D79" s="336" t="n">
        <v>1.5</v>
      </c>
      <c r="E79" s="389" t="n">
        <v>57.8</v>
      </c>
      <c r="F79" s="336" t="n">
        <v>100</v>
      </c>
      <c r="G79" s="336" t="n">
        <v>41.5</v>
      </c>
      <c r="H79" s="336" t="n">
        <v>1.4</v>
      </c>
      <c r="I79" s="390" t="n">
        <v>57.1</v>
      </c>
      <c r="J79" s="261" t="n">
        <v>100</v>
      </c>
      <c r="K79" s="262" t="n">
        <v>41.8</v>
      </c>
      <c r="L79" s="262" t="n">
        <v>1.5</v>
      </c>
      <c r="M79" s="263" t="n">
        <v>56.7</v>
      </c>
      <c r="N79" s="261" t="n">
        <v>100</v>
      </c>
      <c r="O79" s="262" t="n">
        <v>43.3</v>
      </c>
      <c r="P79" s="262" t="n">
        <v>1.2</v>
      </c>
      <c r="Q79" s="263" t="n">
        <v>55.5</v>
      </c>
      <c r="R79" s="261" t="n">
        <v>100</v>
      </c>
      <c r="S79" s="262" t="n">
        <v>43.1</v>
      </c>
      <c r="T79" s="262" t="n">
        <v>1.1</v>
      </c>
      <c r="U79" s="263" t="n">
        <v>55.8</v>
      </c>
      <c r="V79" s="261" t="n">
        <v>100</v>
      </c>
      <c r="W79" s="262" t="n">
        <v>37.1</v>
      </c>
      <c r="X79" s="262" t="n">
        <v>0.9</v>
      </c>
      <c r="Y79" s="263" t="n">
        <v>62</v>
      </c>
      <c r="Z79" s="261" t="n">
        <v>100</v>
      </c>
      <c r="AA79" s="391" t="n">
        <v>38.1</v>
      </c>
      <c r="AB79" s="391" t="n">
        <v>0.8</v>
      </c>
      <c r="AC79" s="263" t="n">
        <v>61.1</v>
      </c>
      <c r="AD79" s="392" t="n">
        <v>100</v>
      </c>
      <c r="AE79" s="391" t="n">
        <v>38.6</v>
      </c>
      <c r="AF79" s="391" t="n">
        <v>0.7</v>
      </c>
      <c r="AG79" s="263" t="n">
        <v>60.7</v>
      </c>
      <c r="AJ79" s="369" t="n"/>
      <c r="AK79" s="369" t="n"/>
      <c r="AL79" s="369" t="n"/>
      <c r="AM79" s="369" t="n"/>
      <c r="AN79" s="369" t="n"/>
      <c r="AO79" s="369" t="n"/>
      <c r="AP79" s="369" t="n"/>
      <c r="AQ79" s="369" t="n"/>
      <c r="AR79" s="369" t="n"/>
      <c r="AS79" s="369" t="n"/>
      <c r="AT79" s="369" t="n"/>
      <c r="AU79" s="369" t="n"/>
    </row>
    <row r="80" ht="15" customHeight="1" s="226">
      <c r="A80" s="324" t="inlineStr">
        <is>
          <t>Сибирский федеральный округ</t>
        </is>
      </c>
      <c r="B80" s="254" t="n">
        <v>100</v>
      </c>
      <c r="C80" s="370" t="n">
        <v>39</v>
      </c>
      <c r="D80" s="370" t="n">
        <v>1.4</v>
      </c>
      <c r="E80" s="370" t="n">
        <v>59.6</v>
      </c>
      <c r="F80" s="370" t="n">
        <v>100</v>
      </c>
      <c r="G80" s="370" t="n">
        <v>38.8</v>
      </c>
      <c r="H80" s="370" t="n">
        <v>1.4</v>
      </c>
      <c r="I80" s="376" t="n">
        <v>59.8</v>
      </c>
      <c r="J80" s="254" t="n">
        <v>100</v>
      </c>
      <c r="K80" s="254" t="n">
        <v>37</v>
      </c>
      <c r="L80" s="254" t="n">
        <v>1.4</v>
      </c>
      <c r="M80" s="254" t="n">
        <v>61.6</v>
      </c>
      <c r="N80" s="254" t="n">
        <v>100</v>
      </c>
      <c r="O80" s="254" t="n">
        <v>38.1</v>
      </c>
      <c r="P80" s="254" t="n">
        <v>1.2</v>
      </c>
      <c r="Q80" s="254" t="n">
        <v>60.7</v>
      </c>
      <c r="R80" s="254" t="n">
        <v>100</v>
      </c>
      <c r="S80" s="254" t="n">
        <v>39.3</v>
      </c>
      <c r="T80" s="254" t="n">
        <v>1.1</v>
      </c>
      <c r="U80" s="254" t="n">
        <v>59.6</v>
      </c>
      <c r="V80" s="254" t="n">
        <v>100</v>
      </c>
      <c r="W80" s="254" t="n">
        <v>34.9</v>
      </c>
      <c r="X80" s="254" t="n">
        <v>1</v>
      </c>
      <c r="Y80" s="254" t="n">
        <v>64.09999999999999</v>
      </c>
      <c r="Z80" s="254" t="n">
        <v>100</v>
      </c>
      <c r="AA80" s="254" t="n">
        <v>35.3</v>
      </c>
      <c r="AB80" s="254" t="n">
        <v>0.9</v>
      </c>
      <c r="AC80" s="254" t="n">
        <v>63.8</v>
      </c>
      <c r="AD80" s="254" t="n">
        <v>100</v>
      </c>
      <c r="AE80" s="254" t="n">
        <v>37.8</v>
      </c>
      <c r="AF80" s="254" t="n">
        <v>0.9</v>
      </c>
      <c r="AG80" s="254" t="n">
        <v>61.3</v>
      </c>
      <c r="AJ80" s="369" t="n"/>
      <c r="AK80" s="369" t="n"/>
      <c r="AL80" s="369" t="n"/>
      <c r="AM80" s="369" t="n"/>
      <c r="AN80" s="369" t="n"/>
      <c r="AO80" s="369" t="n"/>
      <c r="AP80" s="369" t="n"/>
      <c r="AQ80" s="369" t="n"/>
      <c r="AR80" s="369" t="n"/>
      <c r="AS80" s="369" t="n"/>
      <c r="AT80" s="369" t="n"/>
      <c r="AU80" s="369" t="n"/>
    </row>
    <row r="81" ht="15" customHeight="1" s="226">
      <c r="A81" s="323" t="inlineStr">
        <is>
          <t xml:space="preserve"> Республика Алтай</t>
        </is>
      </c>
      <c r="B81" s="261" t="n">
        <v>100</v>
      </c>
      <c r="C81" s="336" t="n">
        <v>44.2</v>
      </c>
      <c r="D81" s="336" t="n">
        <v>1.1</v>
      </c>
      <c r="E81" s="389" t="n">
        <v>54.7</v>
      </c>
      <c r="F81" s="336" t="n">
        <v>100</v>
      </c>
      <c r="G81" s="336" t="n">
        <v>46</v>
      </c>
      <c r="H81" s="336" t="n">
        <v>1</v>
      </c>
      <c r="I81" s="390" t="n">
        <v>53</v>
      </c>
      <c r="J81" s="261" t="n">
        <v>100</v>
      </c>
      <c r="K81" s="262" t="n">
        <v>51.2</v>
      </c>
      <c r="L81" s="262" t="n">
        <v>1.1</v>
      </c>
      <c r="M81" s="263" t="n">
        <v>47.7</v>
      </c>
      <c r="N81" s="261" t="n">
        <v>100</v>
      </c>
      <c r="O81" s="262" t="n">
        <v>51.5</v>
      </c>
      <c r="P81" s="262" t="n">
        <v>1.2</v>
      </c>
      <c r="Q81" s="263" t="n">
        <v>47.3</v>
      </c>
      <c r="R81" s="261" t="n">
        <v>100</v>
      </c>
      <c r="S81" s="262" t="n">
        <v>51.8</v>
      </c>
      <c r="T81" s="262" t="n">
        <v>1.2</v>
      </c>
      <c r="U81" s="263" t="n">
        <v>47</v>
      </c>
      <c r="V81" s="261" t="n">
        <v>100</v>
      </c>
      <c r="W81" s="262" t="n">
        <v>48.5</v>
      </c>
      <c r="X81" s="262" t="n">
        <v>1.1</v>
      </c>
      <c r="Y81" s="263" t="n">
        <v>50.4</v>
      </c>
      <c r="Z81" s="261" t="n">
        <v>100</v>
      </c>
      <c r="AA81" s="391" t="n">
        <v>47.4</v>
      </c>
      <c r="AB81" s="391" t="n">
        <v>0.9</v>
      </c>
      <c r="AC81" s="263" t="n">
        <v>51.7</v>
      </c>
      <c r="AD81" s="392" t="n">
        <v>100</v>
      </c>
      <c r="AE81" s="391" t="n">
        <v>47.5</v>
      </c>
      <c r="AF81" s="391" t="n">
        <v>0.7</v>
      </c>
      <c r="AG81" s="263" t="n">
        <v>51.8</v>
      </c>
      <c r="AJ81" s="369" t="n"/>
      <c r="AK81" s="369" t="n"/>
      <c r="AL81" s="369" t="n"/>
      <c r="AM81" s="369" t="n"/>
      <c r="AN81" s="369" t="n"/>
      <c r="AO81" s="369" t="n"/>
      <c r="AP81" s="369" t="n"/>
      <c r="AQ81" s="369" t="n"/>
      <c r="AR81" s="369" t="n"/>
      <c r="AS81" s="369" t="n"/>
      <c r="AT81" s="369" t="n"/>
      <c r="AU81" s="369" t="n"/>
    </row>
    <row r="82" ht="15" customHeight="1" s="226">
      <c r="A82" s="323" t="inlineStr">
        <is>
          <t xml:space="preserve"> Республика Тыва</t>
        </is>
      </c>
      <c r="B82" s="261" t="n">
        <v>100</v>
      </c>
      <c r="C82" s="336" t="n">
        <v>57.9</v>
      </c>
      <c r="D82" s="336" t="n">
        <v>1</v>
      </c>
      <c r="E82" s="389" t="n">
        <v>41.1</v>
      </c>
      <c r="F82" s="336" t="n">
        <v>100</v>
      </c>
      <c r="G82" s="336" t="n">
        <v>54.5</v>
      </c>
      <c r="H82" s="336" t="n">
        <v>1.1</v>
      </c>
      <c r="I82" s="390" t="n">
        <v>44.4</v>
      </c>
      <c r="J82" s="261" t="n">
        <v>100</v>
      </c>
      <c r="K82" s="262" t="n">
        <v>54</v>
      </c>
      <c r="L82" s="262" t="n">
        <v>1.2</v>
      </c>
      <c r="M82" s="263" t="n">
        <v>44.8</v>
      </c>
      <c r="N82" s="261" t="n">
        <v>100</v>
      </c>
      <c r="O82" s="262" t="n">
        <v>54.5</v>
      </c>
      <c r="P82" s="262" t="n">
        <v>0.8</v>
      </c>
      <c r="Q82" s="263" t="n">
        <v>44.7</v>
      </c>
      <c r="R82" s="261" t="n">
        <v>100</v>
      </c>
      <c r="S82" s="262" t="n">
        <v>58.6</v>
      </c>
      <c r="T82" s="262" t="n">
        <v>0.9</v>
      </c>
      <c r="U82" s="263" t="n">
        <v>40.5</v>
      </c>
      <c r="V82" s="261" t="n">
        <v>100</v>
      </c>
      <c r="W82" s="262" t="n">
        <v>57.7</v>
      </c>
      <c r="X82" s="262" t="n">
        <v>1</v>
      </c>
      <c r="Y82" s="263" t="n">
        <v>41.3</v>
      </c>
      <c r="Z82" s="261" t="n">
        <v>100</v>
      </c>
      <c r="AA82" s="391" t="n">
        <v>55.8</v>
      </c>
      <c r="AB82" s="391" t="n">
        <v>0.7</v>
      </c>
      <c r="AC82" s="263" t="n">
        <v>43.5</v>
      </c>
      <c r="AD82" s="392" t="n">
        <v>100</v>
      </c>
      <c r="AE82" s="391" t="n">
        <v>54</v>
      </c>
      <c r="AF82" s="391" t="n">
        <v>0.6</v>
      </c>
      <c r="AG82" s="263" t="n">
        <v>45.4</v>
      </c>
      <c r="AJ82" s="369" t="n"/>
      <c r="AK82" s="369" t="n"/>
      <c r="AL82" s="369" t="n"/>
      <c r="AM82" s="369" t="n"/>
      <c r="AN82" s="369" t="n"/>
      <c r="AO82" s="369" t="n"/>
      <c r="AP82" s="369" t="n"/>
      <c r="AQ82" s="369" t="n"/>
      <c r="AR82" s="369" t="n"/>
      <c r="AS82" s="369" t="n"/>
      <c r="AT82" s="369" t="n"/>
      <c r="AU82" s="369" t="n"/>
    </row>
    <row r="83" ht="15" customHeight="1" s="226">
      <c r="A83" s="323" t="inlineStr">
        <is>
          <t xml:space="preserve"> Республика Хакасия</t>
        </is>
      </c>
      <c r="B83" s="261" t="n">
        <v>100</v>
      </c>
      <c r="C83" s="336" t="n">
        <v>32.4</v>
      </c>
      <c r="D83" s="336" t="n">
        <v>1.4</v>
      </c>
      <c r="E83" s="389" t="n">
        <v>66.2</v>
      </c>
      <c r="F83" s="336" t="n">
        <v>100</v>
      </c>
      <c r="G83" s="336" t="n">
        <v>33.2</v>
      </c>
      <c r="H83" s="336" t="n">
        <v>1.6</v>
      </c>
      <c r="I83" s="390" t="n">
        <v>65.2</v>
      </c>
      <c r="J83" s="261" t="n">
        <v>100</v>
      </c>
      <c r="K83" s="262" t="n">
        <v>31.3</v>
      </c>
      <c r="L83" s="262" t="n">
        <v>1.6</v>
      </c>
      <c r="M83" s="263" t="n">
        <v>67.09999999999999</v>
      </c>
      <c r="N83" s="261" t="n">
        <v>100</v>
      </c>
      <c r="O83" s="262" t="n">
        <v>31</v>
      </c>
      <c r="P83" s="262" t="n">
        <v>1.4</v>
      </c>
      <c r="Q83" s="263" t="n">
        <v>67.59999999999999</v>
      </c>
      <c r="R83" s="261" t="n">
        <v>100</v>
      </c>
      <c r="S83" s="262" t="n">
        <v>33.2</v>
      </c>
      <c r="T83" s="262" t="n">
        <v>1.3</v>
      </c>
      <c r="U83" s="263" t="n">
        <v>65.5</v>
      </c>
      <c r="V83" s="261" t="n">
        <v>100</v>
      </c>
      <c r="W83" s="262" t="n">
        <v>33.3</v>
      </c>
      <c r="X83" s="262" t="n">
        <v>1.1</v>
      </c>
      <c r="Y83" s="263" t="n">
        <v>65.59999999999999</v>
      </c>
      <c r="Z83" s="261" t="n">
        <v>100</v>
      </c>
      <c r="AA83" s="391" t="n">
        <v>33.3</v>
      </c>
      <c r="AB83" s="391" t="n">
        <v>1.1</v>
      </c>
      <c r="AC83" s="263" t="n">
        <v>65.59999999999999</v>
      </c>
      <c r="AD83" s="392" t="n">
        <v>100</v>
      </c>
      <c r="AE83" s="391" t="n">
        <v>33.2</v>
      </c>
      <c r="AF83" s="391" t="n">
        <v>1</v>
      </c>
      <c r="AG83" s="263" t="n">
        <v>65.8</v>
      </c>
      <c r="AJ83" s="369" t="n"/>
      <c r="AK83" s="369" t="n"/>
      <c r="AL83" s="369" t="n"/>
      <c r="AM83" s="369" t="n"/>
      <c r="AN83" s="369" t="n"/>
      <c r="AO83" s="369" t="n"/>
      <c r="AP83" s="369" t="n"/>
      <c r="AQ83" s="369" t="n"/>
      <c r="AR83" s="369" t="n"/>
      <c r="AS83" s="369" t="n"/>
      <c r="AT83" s="369" t="n"/>
      <c r="AU83" s="369" t="n"/>
    </row>
    <row r="84" ht="15" customHeight="1" s="226">
      <c r="A84" s="323" t="inlineStr">
        <is>
          <t xml:space="preserve"> Алтайский край</t>
        </is>
      </c>
      <c r="B84" s="261" t="n">
        <v>100</v>
      </c>
      <c r="C84" s="336" t="n">
        <v>37.6</v>
      </c>
      <c r="D84" s="336" t="n">
        <v>1.5</v>
      </c>
      <c r="E84" s="389" t="n">
        <v>60.9</v>
      </c>
      <c r="F84" s="336" t="n">
        <v>100</v>
      </c>
      <c r="G84" s="336" t="n">
        <v>39.2</v>
      </c>
      <c r="H84" s="336" t="n">
        <v>1.6</v>
      </c>
      <c r="I84" s="390" t="n">
        <v>59.2</v>
      </c>
      <c r="J84" s="261" t="n">
        <v>100</v>
      </c>
      <c r="K84" s="262" t="n">
        <v>40.5</v>
      </c>
      <c r="L84" s="262" t="n">
        <v>1.5</v>
      </c>
      <c r="M84" s="263" t="n">
        <v>58</v>
      </c>
      <c r="N84" s="261" t="n">
        <v>100</v>
      </c>
      <c r="O84" s="262" t="n">
        <v>40.7</v>
      </c>
      <c r="P84" s="262" t="n">
        <v>1.3</v>
      </c>
      <c r="Q84" s="263" t="n">
        <v>58</v>
      </c>
      <c r="R84" s="261" t="n">
        <v>100</v>
      </c>
      <c r="S84" s="262" t="n">
        <v>40.1</v>
      </c>
      <c r="T84" s="262" t="n">
        <v>1.2</v>
      </c>
      <c r="U84" s="263" t="n">
        <v>58.7</v>
      </c>
      <c r="V84" s="261" t="n">
        <v>100</v>
      </c>
      <c r="W84" s="262" t="n">
        <v>35.7</v>
      </c>
      <c r="X84" s="262" t="n">
        <v>0.9</v>
      </c>
      <c r="Y84" s="263" t="n">
        <v>63.4</v>
      </c>
      <c r="Z84" s="261" t="n">
        <v>100</v>
      </c>
      <c r="AA84" s="391" t="n">
        <v>37.5</v>
      </c>
      <c r="AB84" s="391" t="n">
        <v>0.9</v>
      </c>
      <c r="AC84" s="263" t="n">
        <v>61.6</v>
      </c>
      <c r="AD84" s="392" t="n">
        <v>100</v>
      </c>
      <c r="AE84" s="391" t="n">
        <v>39.6</v>
      </c>
      <c r="AF84" s="391" t="n">
        <v>0.8</v>
      </c>
      <c r="AG84" s="263" t="n">
        <v>59.6</v>
      </c>
      <c r="AJ84" s="369" t="n"/>
      <c r="AK84" s="369" t="n"/>
      <c r="AL84" s="369" t="n"/>
      <c r="AM84" s="369" t="n"/>
      <c r="AN84" s="369" t="n"/>
      <c r="AO84" s="369" t="n"/>
      <c r="AP84" s="369" t="n"/>
      <c r="AQ84" s="369" t="n"/>
      <c r="AR84" s="369" t="n"/>
      <c r="AS84" s="369" t="n"/>
      <c r="AT84" s="369" t="n"/>
      <c r="AU84" s="369" t="n"/>
    </row>
    <row r="85" ht="15" customHeight="1" s="226">
      <c r="A85" s="323" t="inlineStr">
        <is>
          <t xml:space="preserve"> Красноярский край</t>
        </is>
      </c>
      <c r="B85" s="261" t="n">
        <v>100</v>
      </c>
      <c r="C85" s="336" t="n">
        <v>34.8</v>
      </c>
      <c r="D85" s="336" t="n">
        <v>1.3</v>
      </c>
      <c r="E85" s="389" t="n">
        <v>63.9</v>
      </c>
      <c r="F85" s="336" t="n">
        <v>100</v>
      </c>
      <c r="G85" s="336" t="n">
        <v>34.8</v>
      </c>
      <c r="H85" s="336" t="n">
        <v>1.3</v>
      </c>
      <c r="I85" s="390" t="n">
        <v>63.9</v>
      </c>
      <c r="J85" s="261" t="n">
        <v>100</v>
      </c>
      <c r="K85" s="262" t="n">
        <v>31.3</v>
      </c>
      <c r="L85" s="262" t="n">
        <v>1.2</v>
      </c>
      <c r="M85" s="263" t="n">
        <v>67.5</v>
      </c>
      <c r="N85" s="261" t="n">
        <v>100</v>
      </c>
      <c r="O85" s="262" t="n">
        <v>30</v>
      </c>
      <c r="P85" s="262" t="n">
        <v>0.9</v>
      </c>
      <c r="Q85" s="263" t="n">
        <v>69.09999999999999</v>
      </c>
      <c r="R85" s="261" t="n">
        <v>100</v>
      </c>
      <c r="S85" s="262" t="n">
        <v>30.9</v>
      </c>
      <c r="T85" s="262" t="n">
        <v>0.9</v>
      </c>
      <c r="U85" s="263" t="n">
        <v>68.2</v>
      </c>
      <c r="V85" s="261" t="n">
        <v>100</v>
      </c>
      <c r="W85" s="262" t="n">
        <v>30.3</v>
      </c>
      <c r="X85" s="262" t="n">
        <v>0.9</v>
      </c>
      <c r="Y85" s="263" t="n">
        <v>68.8</v>
      </c>
      <c r="Z85" s="261" t="n">
        <v>100</v>
      </c>
      <c r="AA85" s="391" t="n">
        <v>32.2</v>
      </c>
      <c r="AB85" s="391" t="n">
        <v>0.9</v>
      </c>
      <c r="AC85" s="263" t="n">
        <v>66.90000000000001</v>
      </c>
      <c r="AD85" s="392" t="n">
        <v>100</v>
      </c>
      <c r="AE85" s="391" t="n">
        <v>32.6</v>
      </c>
      <c r="AF85" s="391" t="n">
        <v>0.9</v>
      </c>
      <c r="AG85" s="263" t="n">
        <v>66.5</v>
      </c>
      <c r="AJ85" s="369" t="n"/>
      <c r="AK85" s="369" t="n"/>
      <c r="AL85" s="369" t="n"/>
      <c r="AM85" s="369" t="n"/>
      <c r="AN85" s="369" t="n"/>
      <c r="AO85" s="369" t="n"/>
      <c r="AP85" s="369" t="n"/>
      <c r="AQ85" s="369" t="n"/>
      <c r="AR85" s="369" t="n"/>
      <c r="AS85" s="369" t="n"/>
      <c r="AT85" s="369" t="n"/>
      <c r="AU85" s="369" t="n"/>
    </row>
    <row r="86" ht="15" customHeight="1" s="226">
      <c r="A86" s="323" t="inlineStr">
        <is>
          <t xml:space="preserve"> Иркутская область</t>
        </is>
      </c>
      <c r="B86" s="261" t="n">
        <v>100</v>
      </c>
      <c r="C86" s="336" t="n">
        <v>39.9</v>
      </c>
      <c r="D86" s="336" t="n">
        <v>1.6</v>
      </c>
      <c r="E86" s="389" t="n">
        <v>58.5</v>
      </c>
      <c r="F86" s="336" t="n">
        <v>100</v>
      </c>
      <c r="G86" s="336" t="n">
        <v>39.6</v>
      </c>
      <c r="H86" s="336" t="n">
        <v>1.5</v>
      </c>
      <c r="I86" s="390" t="n">
        <v>58.9</v>
      </c>
      <c r="J86" s="261" t="n">
        <v>100</v>
      </c>
      <c r="K86" s="262" t="n">
        <v>37.6</v>
      </c>
      <c r="L86" s="262" t="n">
        <v>1.6</v>
      </c>
      <c r="M86" s="263" t="n">
        <v>60.8</v>
      </c>
      <c r="N86" s="261" t="n">
        <v>100</v>
      </c>
      <c r="O86" s="262" t="n">
        <v>38.6</v>
      </c>
      <c r="P86" s="262" t="n">
        <v>1.3</v>
      </c>
      <c r="Q86" s="263" t="n">
        <v>60.1</v>
      </c>
      <c r="R86" s="261" t="n">
        <v>100</v>
      </c>
      <c r="S86" s="262" t="n">
        <v>40.5</v>
      </c>
      <c r="T86" s="262" t="n">
        <v>1.3</v>
      </c>
      <c r="U86" s="263" t="n">
        <v>58.2</v>
      </c>
      <c r="V86" s="261" t="n">
        <v>100</v>
      </c>
      <c r="W86" s="262" t="n">
        <v>34.4</v>
      </c>
      <c r="X86" s="262" t="n">
        <v>1.1</v>
      </c>
      <c r="Y86" s="263" t="n">
        <v>64.5</v>
      </c>
      <c r="Z86" s="261" t="n">
        <v>100</v>
      </c>
      <c r="AA86" s="391" t="n">
        <v>34.8</v>
      </c>
      <c r="AB86" s="391" t="n">
        <v>1</v>
      </c>
      <c r="AC86" s="263" t="n">
        <v>64.2</v>
      </c>
      <c r="AD86" s="392" t="n">
        <v>100</v>
      </c>
      <c r="AE86" s="391" t="n">
        <v>37.1</v>
      </c>
      <c r="AF86" s="391" t="n">
        <v>0.9</v>
      </c>
      <c r="AG86" s="263" t="n">
        <v>62</v>
      </c>
      <c r="AJ86" s="369" t="n"/>
      <c r="AK86" s="369" t="n"/>
      <c r="AL86" s="369" t="n"/>
      <c r="AM86" s="369" t="n"/>
      <c r="AN86" s="369" t="n"/>
      <c r="AO86" s="369" t="n"/>
      <c r="AP86" s="369" t="n"/>
      <c r="AQ86" s="369" t="n"/>
      <c r="AR86" s="369" t="n"/>
      <c r="AS86" s="369" t="n"/>
      <c r="AT86" s="369" t="n"/>
      <c r="AU86" s="369" t="n"/>
    </row>
    <row r="87" ht="15" customHeight="1" s="226">
      <c r="A87" s="323" t="inlineStr">
        <is>
          <t xml:space="preserve"> Кемеровская область</t>
        </is>
      </c>
      <c r="B87" s="261" t="n">
        <v>100</v>
      </c>
      <c r="C87" s="336" t="n">
        <v>44.2</v>
      </c>
      <c r="D87" s="336" t="n">
        <v>1.6</v>
      </c>
      <c r="E87" s="389" t="n">
        <v>54.2</v>
      </c>
      <c r="F87" s="336" t="n">
        <v>100</v>
      </c>
      <c r="G87" s="336" t="n">
        <v>39.9</v>
      </c>
      <c r="H87" s="336" t="n">
        <v>1.4</v>
      </c>
      <c r="I87" s="390" t="n">
        <v>58.7</v>
      </c>
      <c r="J87" s="261" t="n">
        <v>100</v>
      </c>
      <c r="K87" s="262" t="n">
        <v>38.3</v>
      </c>
      <c r="L87" s="262" t="n">
        <v>1.4</v>
      </c>
      <c r="M87" s="263" t="n">
        <v>60.3</v>
      </c>
      <c r="N87" s="261" t="n">
        <v>100</v>
      </c>
      <c r="O87" s="262" t="n">
        <v>47.2</v>
      </c>
      <c r="P87" s="262" t="n">
        <v>1.5</v>
      </c>
      <c r="Q87" s="263" t="n">
        <v>51.3</v>
      </c>
      <c r="R87" s="261" t="n">
        <v>100</v>
      </c>
      <c r="S87" s="262" t="n">
        <v>50.3</v>
      </c>
      <c r="T87" s="262" t="n">
        <v>1.5</v>
      </c>
      <c r="U87" s="263" t="n">
        <v>48.2</v>
      </c>
      <c r="V87" s="261" t="n">
        <v>100</v>
      </c>
      <c r="W87" s="262" t="n">
        <v>32.6</v>
      </c>
      <c r="X87" s="262" t="n">
        <v>1</v>
      </c>
      <c r="Y87" s="263" t="n">
        <v>66.40000000000001</v>
      </c>
      <c r="Z87" s="261" t="n">
        <v>100</v>
      </c>
      <c r="AA87" s="391" t="n">
        <v>32.4</v>
      </c>
      <c r="AB87" s="391" t="n">
        <v>0.9</v>
      </c>
      <c r="AC87" s="263" t="n">
        <v>66.7</v>
      </c>
      <c r="AD87" s="392" t="n">
        <v>100</v>
      </c>
      <c r="AE87" s="391" t="n">
        <v>42.9</v>
      </c>
      <c r="AF87" s="391" t="n">
        <v>1</v>
      </c>
      <c r="AG87" s="263" t="n">
        <v>56.1</v>
      </c>
      <c r="AJ87" s="369" t="n"/>
      <c r="AK87" s="369" t="n"/>
      <c r="AL87" s="369" t="n"/>
      <c r="AM87" s="369" t="n"/>
      <c r="AN87" s="369" t="n"/>
      <c r="AO87" s="369" t="n"/>
      <c r="AP87" s="369" t="n"/>
      <c r="AQ87" s="369" t="n"/>
      <c r="AR87" s="369" t="n"/>
      <c r="AS87" s="369" t="n"/>
      <c r="AT87" s="369" t="n"/>
      <c r="AU87" s="369" t="n"/>
    </row>
    <row r="88" ht="15" customHeight="1" s="226">
      <c r="A88" s="323" t="inlineStr">
        <is>
          <t xml:space="preserve"> Новосибирская область</t>
        </is>
      </c>
      <c r="B88" s="261" t="n">
        <v>100</v>
      </c>
      <c r="C88" s="336" t="n">
        <v>45.6</v>
      </c>
      <c r="D88" s="336" t="n">
        <v>1.5</v>
      </c>
      <c r="E88" s="389" t="n">
        <v>52.9</v>
      </c>
      <c r="F88" s="336" t="n">
        <v>100</v>
      </c>
      <c r="G88" s="336" t="n">
        <v>46.4</v>
      </c>
      <c r="H88" s="336" t="n">
        <v>1.5</v>
      </c>
      <c r="I88" s="390" t="n">
        <v>52.1</v>
      </c>
      <c r="J88" s="261" t="n">
        <v>100</v>
      </c>
      <c r="K88" s="262" t="n">
        <v>45</v>
      </c>
      <c r="L88" s="262" t="n">
        <v>1.4</v>
      </c>
      <c r="M88" s="263" t="n">
        <v>53.6</v>
      </c>
      <c r="N88" s="261" t="n">
        <v>100</v>
      </c>
      <c r="O88" s="262" t="n">
        <v>46</v>
      </c>
      <c r="P88" s="262" t="n">
        <v>1.3</v>
      </c>
      <c r="Q88" s="263" t="n">
        <v>52.7</v>
      </c>
      <c r="R88" s="261" t="n">
        <v>100</v>
      </c>
      <c r="S88" s="262" t="n">
        <v>44.7</v>
      </c>
      <c r="T88" s="262" t="n">
        <v>1.2</v>
      </c>
      <c r="U88" s="263" t="n">
        <v>54.1</v>
      </c>
      <c r="V88" s="261" t="n">
        <v>100</v>
      </c>
      <c r="W88" s="262" t="n">
        <v>41.4</v>
      </c>
      <c r="X88" s="262" t="n">
        <v>1</v>
      </c>
      <c r="Y88" s="263" t="n">
        <v>57.6</v>
      </c>
      <c r="Z88" s="261" t="n">
        <v>100</v>
      </c>
      <c r="AA88" s="391" t="n">
        <v>40.3</v>
      </c>
      <c r="AB88" s="391" t="n">
        <v>0.9</v>
      </c>
      <c r="AC88" s="263" t="n">
        <v>58.8</v>
      </c>
      <c r="AD88" s="392" t="n">
        <v>100</v>
      </c>
      <c r="AE88" s="391" t="n">
        <v>41.5</v>
      </c>
      <c r="AF88" s="391" t="n">
        <v>0.7</v>
      </c>
      <c r="AG88" s="263" t="n">
        <v>57.8</v>
      </c>
      <c r="AJ88" s="369" t="n"/>
      <c r="AK88" s="369" t="n"/>
      <c r="AL88" s="369" t="n"/>
      <c r="AM88" s="369" t="n"/>
      <c r="AN88" s="369" t="n"/>
      <c r="AO88" s="369" t="n"/>
      <c r="AP88" s="369" t="n"/>
      <c r="AQ88" s="369" t="n"/>
      <c r="AR88" s="369" t="n"/>
      <c r="AS88" s="369" t="n"/>
      <c r="AT88" s="369" t="n"/>
      <c r="AU88" s="369" t="n"/>
    </row>
    <row r="89" ht="15" customHeight="1" s="226">
      <c r="A89" s="323" t="inlineStr">
        <is>
          <t xml:space="preserve"> Омская область</t>
        </is>
      </c>
      <c r="B89" s="261" t="n">
        <v>100</v>
      </c>
      <c r="C89" s="336" t="n">
        <v>34.9</v>
      </c>
      <c r="D89" s="336" t="n">
        <v>1.1</v>
      </c>
      <c r="E89" s="389" t="n">
        <v>64</v>
      </c>
      <c r="F89" s="336" t="n">
        <v>100</v>
      </c>
      <c r="G89" s="336" t="n">
        <v>34.8</v>
      </c>
      <c r="H89" s="336" t="n">
        <v>1.1</v>
      </c>
      <c r="I89" s="390" t="n">
        <v>64.09999999999999</v>
      </c>
      <c r="J89" s="261" t="n">
        <v>100</v>
      </c>
      <c r="K89" s="262" t="n">
        <v>35.8</v>
      </c>
      <c r="L89" s="262" t="n">
        <v>1.1</v>
      </c>
      <c r="M89" s="263" t="n">
        <v>63.1</v>
      </c>
      <c r="N89" s="261" t="n">
        <v>100</v>
      </c>
      <c r="O89" s="262" t="n">
        <v>36</v>
      </c>
      <c r="P89" s="262" t="n">
        <v>0.9</v>
      </c>
      <c r="Q89" s="263" t="n">
        <v>63.1</v>
      </c>
      <c r="R89" s="261" t="n">
        <v>100</v>
      </c>
      <c r="S89" s="262" t="n">
        <v>38.4</v>
      </c>
      <c r="T89" s="262" t="n">
        <v>0.9</v>
      </c>
      <c r="U89" s="263" t="n">
        <v>60.7</v>
      </c>
      <c r="V89" s="261" t="n">
        <v>100</v>
      </c>
      <c r="W89" s="262" t="n">
        <v>41.2</v>
      </c>
      <c r="X89" s="262" t="n">
        <v>1</v>
      </c>
      <c r="Y89" s="263" t="n">
        <v>57.8</v>
      </c>
      <c r="Z89" s="261" t="n">
        <v>100</v>
      </c>
      <c r="AA89" s="391" t="n">
        <v>39.2</v>
      </c>
      <c r="AB89" s="391" t="n">
        <v>0.9</v>
      </c>
      <c r="AC89" s="263" t="n">
        <v>59.9</v>
      </c>
      <c r="AD89" s="392" t="n">
        <v>100</v>
      </c>
      <c r="AE89" s="391" t="n">
        <v>39.6</v>
      </c>
      <c r="AF89" s="391" t="n">
        <v>0.9</v>
      </c>
      <c r="AG89" s="263" t="n">
        <v>59.5</v>
      </c>
      <c r="AJ89" s="369" t="n"/>
      <c r="AK89" s="369" t="n"/>
      <c r="AL89" s="369" t="n"/>
      <c r="AM89" s="369" t="n"/>
      <c r="AN89" s="369" t="n"/>
      <c r="AO89" s="369" t="n"/>
      <c r="AP89" s="369" t="n"/>
      <c r="AQ89" s="369" t="n"/>
      <c r="AR89" s="369" t="n"/>
      <c r="AS89" s="369" t="n"/>
      <c r="AT89" s="369" t="n"/>
      <c r="AU89" s="369" t="n"/>
    </row>
    <row r="90" ht="15" customHeight="1" s="226">
      <c r="A90" s="323" t="inlineStr">
        <is>
          <t xml:space="preserve"> Томская область</t>
        </is>
      </c>
      <c r="B90" s="285" t="n">
        <v>100</v>
      </c>
      <c r="C90" s="337" t="n">
        <v>36.2</v>
      </c>
      <c r="D90" s="337" t="n">
        <v>1.5</v>
      </c>
      <c r="E90" s="395" t="n">
        <v>62.3</v>
      </c>
      <c r="F90" s="337" t="n">
        <v>100</v>
      </c>
      <c r="G90" s="337" t="n">
        <v>37</v>
      </c>
      <c r="H90" s="337" t="n">
        <v>1.5</v>
      </c>
      <c r="I90" s="396" t="n">
        <v>61.5</v>
      </c>
      <c r="J90" s="285" t="n">
        <v>100</v>
      </c>
      <c r="K90" s="270" t="n">
        <v>35.8</v>
      </c>
      <c r="L90" s="270" t="n">
        <v>1.6</v>
      </c>
      <c r="M90" s="271" t="n">
        <v>62.6</v>
      </c>
      <c r="N90" s="285" t="n">
        <v>100</v>
      </c>
      <c r="O90" s="270" t="n">
        <v>38.4</v>
      </c>
      <c r="P90" s="270" t="n">
        <v>1.4</v>
      </c>
      <c r="Q90" s="271" t="n">
        <v>60.2</v>
      </c>
      <c r="R90" s="285" t="n">
        <v>100</v>
      </c>
      <c r="S90" s="270" t="n">
        <v>43.2</v>
      </c>
      <c r="T90" s="270" t="n">
        <v>1.4</v>
      </c>
      <c r="U90" s="271" t="n">
        <v>55.4</v>
      </c>
      <c r="V90" s="285" t="n">
        <v>100</v>
      </c>
      <c r="W90" s="270" t="n">
        <v>36.1</v>
      </c>
      <c r="X90" s="270" t="n">
        <v>1.2</v>
      </c>
      <c r="Y90" s="271" t="n">
        <v>62.7</v>
      </c>
      <c r="Z90" s="285" t="n">
        <v>100</v>
      </c>
      <c r="AA90" s="397" t="n">
        <v>35.2</v>
      </c>
      <c r="AB90" s="397" t="n">
        <v>1.2</v>
      </c>
      <c r="AC90" s="271" t="n">
        <v>63.6</v>
      </c>
      <c r="AD90" s="398" t="n">
        <v>100</v>
      </c>
      <c r="AE90" s="397" t="n">
        <v>35.3</v>
      </c>
      <c r="AF90" s="397" t="n">
        <v>1.1</v>
      </c>
      <c r="AG90" s="271" t="n">
        <v>63.6</v>
      </c>
      <c r="AJ90" s="369" t="n"/>
      <c r="AK90" s="369" t="n"/>
      <c r="AL90" s="369" t="n"/>
      <c r="AM90" s="369" t="n"/>
      <c r="AN90" s="369" t="n"/>
      <c r="AO90" s="369" t="n"/>
      <c r="AP90" s="369" t="n"/>
      <c r="AQ90" s="369" t="n"/>
      <c r="AR90" s="369" t="n"/>
      <c r="AS90" s="369" t="n"/>
      <c r="AT90" s="369" t="n"/>
      <c r="AU90" s="369" t="n"/>
    </row>
    <row r="91" ht="15" customHeight="1" s="226">
      <c r="A91" s="324" t="inlineStr">
        <is>
          <t>Дальневосточный федеральный округ</t>
        </is>
      </c>
      <c r="B91" s="275" t="n">
        <v>100</v>
      </c>
      <c r="C91" s="376" t="n">
        <v>42.7</v>
      </c>
      <c r="D91" s="376" t="n">
        <v>1.8</v>
      </c>
      <c r="E91" s="370" t="n">
        <v>55.5</v>
      </c>
      <c r="F91" s="376" t="n">
        <v>100</v>
      </c>
      <c r="G91" s="376" t="n">
        <v>43.4</v>
      </c>
      <c r="H91" s="376" t="n">
        <v>2.1</v>
      </c>
      <c r="I91" s="376" t="n">
        <v>54.5</v>
      </c>
      <c r="J91" s="275" t="n">
        <v>100</v>
      </c>
      <c r="K91" s="275" t="n">
        <v>40.2</v>
      </c>
      <c r="L91" s="275" t="n">
        <v>1.6</v>
      </c>
      <c r="M91" s="254" t="n">
        <v>58.2</v>
      </c>
      <c r="N91" s="275" t="n">
        <v>100</v>
      </c>
      <c r="O91" s="275" t="n">
        <v>41</v>
      </c>
      <c r="P91" s="275" t="n">
        <v>1.5</v>
      </c>
      <c r="Q91" s="254" t="n">
        <v>57.5</v>
      </c>
      <c r="R91" s="275" t="n">
        <v>100</v>
      </c>
      <c r="S91" s="275" t="n">
        <v>42.1</v>
      </c>
      <c r="T91" s="275" t="n">
        <v>1.7</v>
      </c>
      <c r="U91" s="254" t="n">
        <v>56.2</v>
      </c>
      <c r="V91" s="275" t="n">
        <v>100</v>
      </c>
      <c r="W91" s="275" t="n">
        <v>38.3</v>
      </c>
      <c r="X91" s="275" t="n">
        <v>1.4</v>
      </c>
      <c r="Y91" s="254" t="n">
        <v>60.3</v>
      </c>
      <c r="Z91" s="254" t="n">
        <v>100</v>
      </c>
      <c r="AA91" s="254" t="n">
        <v>36.6</v>
      </c>
      <c r="AB91" s="254" t="n">
        <v>1.1</v>
      </c>
      <c r="AC91" s="254" t="n">
        <v>62.3</v>
      </c>
      <c r="AD91" s="254" t="n">
        <v>100</v>
      </c>
      <c r="AE91" s="254" t="n">
        <v>36.3</v>
      </c>
      <c r="AF91" s="254" t="n">
        <v>1</v>
      </c>
      <c r="AG91" s="254" t="n">
        <v>62.7</v>
      </c>
      <c r="AJ91" s="369" t="n"/>
      <c r="AK91" s="369" t="n"/>
      <c r="AL91" s="369" t="n"/>
      <c r="AM91" s="369" t="n"/>
      <c r="AN91" s="369" t="n"/>
      <c r="AO91" s="369" t="n"/>
      <c r="AP91" s="369" t="n"/>
      <c r="AQ91" s="369" t="n"/>
      <c r="AR91" s="369" t="n"/>
      <c r="AS91" s="369" t="n"/>
      <c r="AT91" s="369" t="n"/>
      <c r="AU91" s="369" t="n"/>
    </row>
    <row r="92" ht="15" customHeight="1" s="226">
      <c r="A92" s="323" t="inlineStr">
        <is>
          <t xml:space="preserve"> Республика Бурятия</t>
        </is>
      </c>
      <c r="B92" s="286" t="n">
        <v>100</v>
      </c>
      <c r="C92" s="335" t="n">
        <v>46.2</v>
      </c>
      <c r="D92" s="335" t="n">
        <v>1.9</v>
      </c>
      <c r="E92" s="399" t="n">
        <v>51.9</v>
      </c>
      <c r="F92" s="335" t="n">
        <v>100</v>
      </c>
      <c r="G92" s="335" t="n">
        <v>47.4</v>
      </c>
      <c r="H92" s="335" t="n">
        <v>1.9</v>
      </c>
      <c r="I92" s="400" t="n">
        <v>50.7</v>
      </c>
      <c r="J92" s="286" t="n">
        <v>100</v>
      </c>
      <c r="K92" s="273" t="n">
        <v>45.1</v>
      </c>
      <c r="L92" s="273" t="n">
        <v>2</v>
      </c>
      <c r="M92" s="274" t="n">
        <v>52.9</v>
      </c>
      <c r="N92" s="286" t="n">
        <v>100</v>
      </c>
      <c r="O92" s="273" t="n">
        <v>44.5</v>
      </c>
      <c r="P92" s="273" t="n">
        <v>1.7</v>
      </c>
      <c r="Q92" s="274" t="n">
        <v>53.8</v>
      </c>
      <c r="R92" s="286" t="n">
        <v>100</v>
      </c>
      <c r="S92" s="273" t="n">
        <v>44.4</v>
      </c>
      <c r="T92" s="273" t="n">
        <v>1.6</v>
      </c>
      <c r="U92" s="274" t="n">
        <v>54</v>
      </c>
      <c r="V92" s="286" t="n">
        <v>100</v>
      </c>
      <c r="W92" s="273" t="n">
        <v>43</v>
      </c>
      <c r="X92" s="273" t="n">
        <v>1.5</v>
      </c>
      <c r="Y92" s="274" t="n">
        <v>55.5</v>
      </c>
      <c r="Z92" s="286" t="n">
        <v>100</v>
      </c>
      <c r="AA92" s="401" t="n">
        <v>38.8</v>
      </c>
      <c r="AB92" s="401" t="n">
        <v>1.2</v>
      </c>
      <c r="AC92" s="274" t="n">
        <v>60</v>
      </c>
      <c r="AD92" s="402" t="n">
        <v>100</v>
      </c>
      <c r="AE92" s="401" t="n">
        <v>40.2</v>
      </c>
      <c r="AF92" s="401" t="n">
        <v>1.1</v>
      </c>
      <c r="AG92" s="274" t="n">
        <v>58.7</v>
      </c>
      <c r="AJ92" s="369" t="n"/>
      <c r="AK92" s="369" t="n"/>
      <c r="AL92" s="369" t="n"/>
      <c r="AM92" s="369" t="n"/>
      <c r="AN92" s="369" t="n"/>
      <c r="AO92" s="369" t="n"/>
      <c r="AP92" s="369" t="n"/>
      <c r="AQ92" s="369" t="n"/>
      <c r="AR92" s="369" t="n"/>
      <c r="AS92" s="369" t="n"/>
      <c r="AT92" s="369" t="n"/>
      <c r="AU92" s="369" t="n"/>
    </row>
    <row r="93" ht="15" customHeight="1" s="226">
      <c r="A93" s="323" t="inlineStr">
        <is>
          <t xml:space="preserve"> Республика Саха (Якутия)</t>
        </is>
      </c>
      <c r="B93" s="261" t="n">
        <v>100</v>
      </c>
      <c r="C93" s="336" t="n">
        <v>38.2</v>
      </c>
      <c r="D93" s="336" t="n">
        <v>1.6</v>
      </c>
      <c r="E93" s="389" t="n">
        <v>60.2</v>
      </c>
      <c r="F93" s="336" t="n">
        <v>100</v>
      </c>
      <c r="G93" s="336" t="n">
        <v>38.9</v>
      </c>
      <c r="H93" s="336" t="n">
        <v>1.6</v>
      </c>
      <c r="I93" s="390" t="n">
        <v>59.5</v>
      </c>
      <c r="J93" s="261" t="n">
        <v>100</v>
      </c>
      <c r="K93" s="262" t="n">
        <v>37.3</v>
      </c>
      <c r="L93" s="262" t="n">
        <v>1.5</v>
      </c>
      <c r="M93" s="263" t="n">
        <v>61.2</v>
      </c>
      <c r="N93" s="261" t="n">
        <v>100</v>
      </c>
      <c r="O93" s="262" t="n">
        <v>37.5</v>
      </c>
      <c r="P93" s="262" t="n">
        <v>1.5</v>
      </c>
      <c r="Q93" s="263" t="n">
        <v>61</v>
      </c>
      <c r="R93" s="261" t="n">
        <v>100</v>
      </c>
      <c r="S93" s="262" t="n">
        <v>38.1</v>
      </c>
      <c r="T93" s="262" t="n">
        <v>2.3</v>
      </c>
      <c r="U93" s="263" t="n">
        <v>59.6</v>
      </c>
      <c r="V93" s="261" t="n">
        <v>100</v>
      </c>
      <c r="W93" s="262" t="n">
        <v>29.6</v>
      </c>
      <c r="X93" s="262" t="n">
        <v>1.6</v>
      </c>
      <c r="Y93" s="263" t="n">
        <v>68.8</v>
      </c>
      <c r="Z93" s="261" t="n">
        <v>100</v>
      </c>
      <c r="AA93" s="391" t="n">
        <v>28.3</v>
      </c>
      <c r="AB93" s="391" t="n">
        <v>1</v>
      </c>
      <c r="AC93" s="263" t="n">
        <v>70.7</v>
      </c>
      <c r="AD93" s="392" t="n">
        <v>100</v>
      </c>
      <c r="AE93" s="391" t="n">
        <v>29.6</v>
      </c>
      <c r="AF93" s="391" t="n">
        <v>0.8</v>
      </c>
      <c r="AG93" s="263" t="n">
        <v>69.59999999999999</v>
      </c>
      <c r="AJ93" s="369" t="n"/>
      <c r="AK93" s="369" t="n"/>
      <c r="AL93" s="369" t="n"/>
      <c r="AM93" s="369" t="n"/>
      <c r="AN93" s="369" t="n"/>
      <c r="AO93" s="369" t="n"/>
      <c r="AP93" s="369" t="n"/>
      <c r="AQ93" s="369" t="n"/>
      <c r="AR93" s="369" t="n"/>
      <c r="AS93" s="369" t="n"/>
      <c r="AT93" s="369" t="n"/>
      <c r="AU93" s="369" t="n"/>
    </row>
    <row r="94" ht="15" customHeight="1" s="226">
      <c r="A94" s="323" t="inlineStr">
        <is>
          <t xml:space="preserve"> Забайкальский край</t>
        </is>
      </c>
      <c r="B94" s="261" t="n">
        <v>100</v>
      </c>
      <c r="C94" s="336" t="n">
        <v>64.7</v>
      </c>
      <c r="D94" s="336" t="n">
        <v>2.1</v>
      </c>
      <c r="E94" s="389" t="n">
        <v>33.2</v>
      </c>
      <c r="F94" s="336" t="n">
        <v>100</v>
      </c>
      <c r="G94" s="336" t="n">
        <v>60.6</v>
      </c>
      <c r="H94" s="336" t="n">
        <v>1.7</v>
      </c>
      <c r="I94" s="390" t="n">
        <v>37.7</v>
      </c>
      <c r="J94" s="261" t="n">
        <v>100</v>
      </c>
      <c r="K94" s="262" t="n">
        <v>60.4</v>
      </c>
      <c r="L94" s="262" t="n">
        <v>2</v>
      </c>
      <c r="M94" s="263" t="n">
        <v>37.6</v>
      </c>
      <c r="N94" s="261" t="n">
        <v>100</v>
      </c>
      <c r="O94" s="262" t="n">
        <v>56.4</v>
      </c>
      <c r="P94" s="262" t="n">
        <v>1.6</v>
      </c>
      <c r="Q94" s="263" t="n">
        <v>42</v>
      </c>
      <c r="R94" s="261" t="n">
        <v>100</v>
      </c>
      <c r="S94" s="262" t="n">
        <v>52.4</v>
      </c>
      <c r="T94" s="262" t="n">
        <v>1.5</v>
      </c>
      <c r="U94" s="263" t="n">
        <v>46.1</v>
      </c>
      <c r="V94" s="261" t="n">
        <v>100</v>
      </c>
      <c r="W94" s="262" t="n">
        <v>50.3</v>
      </c>
      <c r="X94" s="262" t="n">
        <v>1.2</v>
      </c>
      <c r="Y94" s="263" t="n">
        <v>48.5</v>
      </c>
      <c r="Z94" s="261" t="n">
        <v>100</v>
      </c>
      <c r="AA94" s="391" t="n">
        <v>50.1</v>
      </c>
      <c r="AB94" s="391" t="n">
        <v>1.3</v>
      </c>
      <c r="AC94" s="263" t="n">
        <v>48.6</v>
      </c>
      <c r="AD94" s="392" t="n">
        <v>100</v>
      </c>
      <c r="AE94" s="391" t="n">
        <v>45.3</v>
      </c>
      <c r="AF94" s="391" t="n">
        <v>0.9</v>
      </c>
      <c r="AG94" s="263" t="n">
        <v>53.8</v>
      </c>
      <c r="AJ94" s="369" t="n"/>
      <c r="AK94" s="369" t="n"/>
      <c r="AL94" s="369" t="n"/>
      <c r="AM94" s="369" t="n"/>
      <c r="AN94" s="369" t="n"/>
      <c r="AO94" s="369" t="n"/>
      <c r="AP94" s="369" t="n"/>
      <c r="AQ94" s="369" t="n"/>
      <c r="AR94" s="369" t="n"/>
      <c r="AS94" s="369" t="n"/>
      <c r="AT94" s="369" t="n"/>
      <c r="AU94" s="369" t="n"/>
    </row>
    <row r="95" ht="15" customHeight="1" s="226">
      <c r="A95" s="323" t="inlineStr">
        <is>
          <t xml:space="preserve"> Камчатский край</t>
        </is>
      </c>
      <c r="B95" s="261" t="n">
        <v>100</v>
      </c>
      <c r="C95" s="336" t="n">
        <v>52.8</v>
      </c>
      <c r="D95" s="336" t="n">
        <v>1.8</v>
      </c>
      <c r="E95" s="389" t="n">
        <v>45.4</v>
      </c>
      <c r="F95" s="336" t="n">
        <v>100</v>
      </c>
      <c r="G95" s="336" t="n">
        <v>56.6</v>
      </c>
      <c r="H95" s="336" t="n">
        <v>3.5</v>
      </c>
      <c r="I95" s="390" t="n">
        <v>39.9</v>
      </c>
      <c r="J95" s="261" t="n">
        <v>100</v>
      </c>
      <c r="K95" s="262" t="n">
        <v>56.5</v>
      </c>
      <c r="L95" s="262" t="n">
        <v>1.2</v>
      </c>
      <c r="M95" s="263" t="n">
        <v>42.3</v>
      </c>
      <c r="N95" s="261" t="n">
        <v>100</v>
      </c>
      <c r="O95" s="262" t="n">
        <v>58</v>
      </c>
      <c r="P95" s="262" t="n">
        <v>1.2</v>
      </c>
      <c r="Q95" s="263" t="n">
        <v>40.8</v>
      </c>
      <c r="R95" s="261" t="n">
        <v>100</v>
      </c>
      <c r="S95" s="262" t="n">
        <v>58.9</v>
      </c>
      <c r="T95" s="262" t="n">
        <v>1.1</v>
      </c>
      <c r="U95" s="263" t="n">
        <v>40</v>
      </c>
      <c r="V95" s="261" t="n">
        <v>100</v>
      </c>
      <c r="W95" s="262" t="n">
        <v>56.1</v>
      </c>
      <c r="X95" s="262" t="n">
        <v>1</v>
      </c>
      <c r="Y95" s="263" t="n">
        <v>42.9</v>
      </c>
      <c r="Z95" s="261" t="n">
        <v>100</v>
      </c>
      <c r="AA95" s="391" t="n">
        <v>57.2</v>
      </c>
      <c r="AB95" s="391" t="n">
        <v>1.1</v>
      </c>
      <c r="AC95" s="263" t="n">
        <v>41.7</v>
      </c>
      <c r="AD95" s="392" t="n">
        <v>100</v>
      </c>
      <c r="AE95" s="391" t="n">
        <v>54.3</v>
      </c>
      <c r="AF95" s="391" t="n">
        <v>0.9</v>
      </c>
      <c r="AG95" s="263" t="n">
        <v>44.8</v>
      </c>
      <c r="AJ95" s="369" t="n"/>
      <c r="AK95" s="369" t="n"/>
      <c r="AL95" s="369" t="n"/>
      <c r="AM95" s="369" t="n"/>
      <c r="AN95" s="369" t="n"/>
      <c r="AO95" s="369" t="n"/>
      <c r="AP95" s="369" t="n"/>
      <c r="AQ95" s="369" t="n"/>
      <c r="AR95" s="369" t="n"/>
      <c r="AS95" s="369" t="n"/>
      <c r="AT95" s="369" t="n"/>
      <c r="AU95" s="369" t="n"/>
    </row>
    <row r="96" ht="15" customHeight="1" s="226">
      <c r="A96" s="323" t="inlineStr">
        <is>
          <t xml:space="preserve"> Приморский край</t>
        </is>
      </c>
      <c r="B96" s="261" t="n">
        <v>100</v>
      </c>
      <c r="C96" s="336" t="n">
        <v>38.7</v>
      </c>
      <c r="D96" s="336" t="n">
        <v>1.6</v>
      </c>
      <c r="E96" s="389" t="n">
        <v>59.7</v>
      </c>
      <c r="F96" s="336" t="n">
        <v>100</v>
      </c>
      <c r="G96" s="336" t="n">
        <v>39.2</v>
      </c>
      <c r="H96" s="336" t="n">
        <v>1.7</v>
      </c>
      <c r="I96" s="390" t="n">
        <v>59.1</v>
      </c>
      <c r="J96" s="261" t="n">
        <v>100</v>
      </c>
      <c r="K96" s="262" t="n">
        <v>39.4</v>
      </c>
      <c r="L96" s="262" t="n">
        <v>1.6</v>
      </c>
      <c r="M96" s="263" t="n">
        <v>59</v>
      </c>
      <c r="N96" s="261" t="n">
        <v>100</v>
      </c>
      <c r="O96" s="262" t="n">
        <v>39.6</v>
      </c>
      <c r="P96" s="262" t="n">
        <v>1.5</v>
      </c>
      <c r="Q96" s="263" t="n">
        <v>58.9</v>
      </c>
      <c r="R96" s="261" t="n">
        <v>100</v>
      </c>
      <c r="S96" s="262" t="n">
        <v>40.1</v>
      </c>
      <c r="T96" s="262" t="n">
        <v>1.5</v>
      </c>
      <c r="U96" s="263" t="n">
        <v>58.4</v>
      </c>
      <c r="V96" s="261" t="n">
        <v>100</v>
      </c>
      <c r="W96" s="262" t="n">
        <v>38.5</v>
      </c>
      <c r="X96" s="262" t="n">
        <v>1.2</v>
      </c>
      <c r="Y96" s="263" t="n">
        <v>60.3</v>
      </c>
      <c r="Z96" s="261" t="n">
        <v>100</v>
      </c>
      <c r="AA96" s="391" t="n">
        <v>37.9</v>
      </c>
      <c r="AB96" s="391" t="n">
        <v>1.1</v>
      </c>
      <c r="AC96" s="263" t="n">
        <v>61</v>
      </c>
      <c r="AD96" s="392" t="n">
        <v>100</v>
      </c>
      <c r="AE96" s="391" t="n">
        <v>36.8</v>
      </c>
      <c r="AF96" s="391" t="n">
        <v>0.9</v>
      </c>
      <c r="AG96" s="263" t="n">
        <v>62.3</v>
      </c>
      <c r="AJ96" s="369" t="n"/>
      <c r="AK96" s="369" t="n"/>
      <c r="AL96" s="369" t="n"/>
      <c r="AM96" s="369" t="n"/>
      <c r="AN96" s="369" t="n"/>
      <c r="AO96" s="369" t="n"/>
      <c r="AP96" s="369" t="n"/>
      <c r="AQ96" s="369" t="n"/>
      <c r="AR96" s="369" t="n"/>
      <c r="AS96" s="369" t="n"/>
      <c r="AT96" s="369" t="n"/>
      <c r="AU96" s="369" t="n"/>
    </row>
    <row r="97" ht="15" customHeight="1" s="226">
      <c r="A97" s="323" t="inlineStr">
        <is>
          <t xml:space="preserve"> Хабаровский край</t>
        </is>
      </c>
      <c r="B97" s="261" t="n">
        <v>100</v>
      </c>
      <c r="C97" s="336" t="n">
        <v>52.5</v>
      </c>
      <c r="D97" s="336" t="n">
        <v>2.2</v>
      </c>
      <c r="E97" s="389" t="n">
        <v>45.3</v>
      </c>
      <c r="F97" s="336" t="n">
        <v>100</v>
      </c>
      <c r="G97" s="336" t="n">
        <v>53.7</v>
      </c>
      <c r="H97" s="336" t="n">
        <v>2.7</v>
      </c>
      <c r="I97" s="390" t="n">
        <v>43.6</v>
      </c>
      <c r="J97" s="261" t="n">
        <v>100</v>
      </c>
      <c r="K97" s="262" t="n">
        <v>52.6</v>
      </c>
      <c r="L97" s="262" t="n">
        <v>2.2</v>
      </c>
      <c r="M97" s="263" t="n">
        <v>45.2</v>
      </c>
      <c r="N97" s="261" t="n">
        <v>100</v>
      </c>
      <c r="O97" s="262" t="n">
        <v>52.7</v>
      </c>
      <c r="P97" s="262" t="n">
        <v>1.8</v>
      </c>
      <c r="Q97" s="263" t="n">
        <v>45.5</v>
      </c>
      <c r="R97" s="261" t="n">
        <v>100</v>
      </c>
      <c r="S97" s="262" t="n">
        <v>50</v>
      </c>
      <c r="T97" s="262" t="n">
        <v>1.6</v>
      </c>
      <c r="U97" s="263" t="n">
        <v>48.4</v>
      </c>
      <c r="V97" s="261" t="n">
        <v>100</v>
      </c>
      <c r="W97" s="262" t="n">
        <v>46.2</v>
      </c>
      <c r="X97" s="262" t="n">
        <v>1.6</v>
      </c>
      <c r="Y97" s="263" t="n">
        <v>52.2</v>
      </c>
      <c r="Z97" s="261" t="n">
        <v>100</v>
      </c>
      <c r="AA97" s="391" t="n">
        <v>48.5</v>
      </c>
      <c r="AB97" s="391" t="n">
        <v>1.5</v>
      </c>
      <c r="AC97" s="263" t="n">
        <v>50</v>
      </c>
      <c r="AD97" s="392" t="n">
        <v>100</v>
      </c>
      <c r="AE97" s="391" t="n">
        <v>46.4</v>
      </c>
      <c r="AF97" s="391" t="n">
        <v>1.3</v>
      </c>
      <c r="AG97" s="263" t="n">
        <v>52.3</v>
      </c>
      <c r="AJ97" s="369" t="n"/>
      <c r="AK97" s="369" t="n"/>
      <c r="AL97" s="369" t="n"/>
      <c r="AM97" s="369" t="n"/>
      <c r="AN97" s="369" t="n"/>
      <c r="AO97" s="369" t="n"/>
      <c r="AP97" s="369" t="n"/>
      <c r="AQ97" s="369" t="n"/>
      <c r="AR97" s="369" t="n"/>
      <c r="AS97" s="369" t="n"/>
      <c r="AT97" s="369" t="n"/>
      <c r="AU97" s="369" t="n"/>
    </row>
    <row r="98" ht="15" customHeight="1" s="226">
      <c r="A98" s="323" t="inlineStr">
        <is>
          <t xml:space="preserve"> Амурская область</t>
        </is>
      </c>
      <c r="B98" s="261" t="n">
        <v>100</v>
      </c>
      <c r="C98" s="336" t="n">
        <v>43.8</v>
      </c>
      <c r="D98" s="336" t="n">
        <v>2.7</v>
      </c>
      <c r="E98" s="389" t="n">
        <v>53.5</v>
      </c>
      <c r="F98" s="336" t="n">
        <v>100</v>
      </c>
      <c r="G98" s="336" t="n">
        <v>49</v>
      </c>
      <c r="H98" s="336" t="n">
        <v>3.1</v>
      </c>
      <c r="I98" s="390" t="n">
        <v>47.9</v>
      </c>
      <c r="J98" s="261" t="n">
        <v>100</v>
      </c>
      <c r="K98" s="262" t="n">
        <v>49.8</v>
      </c>
      <c r="L98" s="262" t="n">
        <v>3.3</v>
      </c>
      <c r="M98" s="263" t="n">
        <v>46.9</v>
      </c>
      <c r="N98" s="261" t="n">
        <v>100</v>
      </c>
      <c r="O98" s="262" t="n">
        <v>49.4</v>
      </c>
      <c r="P98" s="262" t="n">
        <v>2.6</v>
      </c>
      <c r="Q98" s="263" t="n">
        <v>48</v>
      </c>
      <c r="R98" s="261" t="n">
        <v>100</v>
      </c>
      <c r="S98" s="262" t="n">
        <v>49.8</v>
      </c>
      <c r="T98" s="262" t="n">
        <v>3.4</v>
      </c>
      <c r="U98" s="263" t="n">
        <v>46.8</v>
      </c>
      <c r="V98" s="261" t="n">
        <v>100</v>
      </c>
      <c r="W98" s="262" t="n">
        <v>49.6</v>
      </c>
      <c r="X98" s="262" t="n">
        <v>2.5</v>
      </c>
      <c r="Y98" s="263" t="n">
        <v>47.9</v>
      </c>
      <c r="Z98" s="261" t="n">
        <v>100</v>
      </c>
      <c r="AA98" s="391" t="n">
        <v>49.8</v>
      </c>
      <c r="AB98" s="391" t="n">
        <v>1.9</v>
      </c>
      <c r="AC98" s="263" t="n">
        <v>48.3</v>
      </c>
      <c r="AD98" s="392" t="n">
        <v>100</v>
      </c>
      <c r="AE98" s="391" t="n">
        <v>42.4</v>
      </c>
      <c r="AF98" s="391" t="n">
        <v>1.4</v>
      </c>
      <c r="AG98" s="263" t="n">
        <v>56.2</v>
      </c>
      <c r="AJ98" s="369" t="n"/>
      <c r="AK98" s="369" t="n"/>
      <c r="AL98" s="369" t="n"/>
      <c r="AM98" s="369" t="n"/>
      <c r="AN98" s="369" t="n"/>
      <c r="AO98" s="369" t="n"/>
      <c r="AP98" s="369" t="n"/>
      <c r="AQ98" s="369" t="n"/>
      <c r="AR98" s="369" t="n"/>
      <c r="AS98" s="369" t="n"/>
      <c r="AT98" s="369" t="n"/>
      <c r="AU98" s="369" t="n"/>
    </row>
    <row r="99" ht="15" customHeight="1" s="226">
      <c r="A99" s="323" t="inlineStr">
        <is>
          <t xml:space="preserve"> Магаданская область</t>
        </is>
      </c>
      <c r="B99" s="261" t="n">
        <v>100</v>
      </c>
      <c r="C99" s="336" t="n">
        <v>57.6</v>
      </c>
      <c r="D99" s="336" t="n">
        <v>1.4</v>
      </c>
      <c r="E99" s="389" t="n">
        <v>41</v>
      </c>
      <c r="F99" s="336" t="n">
        <v>100</v>
      </c>
      <c r="G99" s="336" t="n">
        <v>54.4</v>
      </c>
      <c r="H99" s="336" t="n">
        <v>2.9</v>
      </c>
      <c r="I99" s="390" t="n">
        <v>42.7</v>
      </c>
      <c r="J99" s="261" t="n">
        <v>100</v>
      </c>
      <c r="K99" s="262" t="n">
        <v>54.6</v>
      </c>
      <c r="L99" s="262" t="n">
        <v>1.5</v>
      </c>
      <c r="M99" s="263" t="n">
        <v>43.9</v>
      </c>
      <c r="N99" s="261" t="n">
        <v>100</v>
      </c>
      <c r="O99" s="262" t="n">
        <v>48</v>
      </c>
      <c r="P99" s="262" t="n">
        <v>1.3</v>
      </c>
      <c r="Q99" s="263" t="n">
        <v>50.7</v>
      </c>
      <c r="R99" s="261" t="n">
        <v>100</v>
      </c>
      <c r="S99" s="262" t="n">
        <v>39.5</v>
      </c>
      <c r="T99" s="262" t="n">
        <v>1.1</v>
      </c>
      <c r="U99" s="263" t="n">
        <v>59.4</v>
      </c>
      <c r="V99" s="261" t="n">
        <v>100</v>
      </c>
      <c r="W99" s="262" t="n">
        <v>41.5</v>
      </c>
      <c r="X99" s="262" t="n">
        <v>1.1</v>
      </c>
      <c r="Y99" s="263" t="n">
        <v>57.4</v>
      </c>
      <c r="Z99" s="261" t="n">
        <v>100</v>
      </c>
      <c r="AA99" s="391" t="n">
        <v>44.5</v>
      </c>
      <c r="AB99" s="391" t="n">
        <v>1.2</v>
      </c>
      <c r="AC99" s="263" t="n">
        <v>54.3</v>
      </c>
      <c r="AD99" s="392" t="n">
        <v>100</v>
      </c>
      <c r="AE99" s="391" t="n">
        <v>37.2</v>
      </c>
      <c r="AF99" s="391" t="n">
        <v>1</v>
      </c>
      <c r="AG99" s="263" t="n">
        <v>61.8</v>
      </c>
      <c r="AJ99" s="369" t="n"/>
      <c r="AK99" s="369" t="n"/>
      <c r="AL99" s="369" t="n"/>
      <c r="AM99" s="369" t="n"/>
      <c r="AN99" s="369" t="n"/>
      <c r="AO99" s="369" t="n"/>
      <c r="AP99" s="369" t="n"/>
      <c r="AQ99" s="369" t="n"/>
      <c r="AR99" s="369" t="n"/>
      <c r="AS99" s="369" t="n"/>
      <c r="AT99" s="369" t="n"/>
      <c r="AU99" s="369" t="n"/>
    </row>
    <row r="100" ht="15" customHeight="1" s="226">
      <c r="A100" s="323" t="inlineStr">
        <is>
          <t xml:space="preserve"> Сахалинская область</t>
        </is>
      </c>
      <c r="B100" s="261" t="n">
        <v>100</v>
      </c>
      <c r="C100" s="336" t="n">
        <v>27.3</v>
      </c>
      <c r="D100" s="336" t="n">
        <v>1.2</v>
      </c>
      <c r="E100" s="389" t="n">
        <v>71.5</v>
      </c>
      <c r="F100" s="336" t="n">
        <v>100</v>
      </c>
      <c r="G100" s="336" t="n">
        <v>27</v>
      </c>
      <c r="H100" s="336" t="n">
        <v>2.1</v>
      </c>
      <c r="I100" s="390" t="n">
        <v>70.90000000000001</v>
      </c>
      <c r="J100" s="261" t="n">
        <v>100</v>
      </c>
      <c r="K100" s="262" t="n">
        <v>19.7</v>
      </c>
      <c r="L100" s="262" t="n">
        <v>0.7</v>
      </c>
      <c r="M100" s="263" t="n">
        <v>79.59999999999999</v>
      </c>
      <c r="N100" s="261" t="n">
        <v>100</v>
      </c>
      <c r="O100" s="262" t="n">
        <v>23.2</v>
      </c>
      <c r="P100" s="262" t="n">
        <v>0.7</v>
      </c>
      <c r="Q100" s="263" t="n">
        <v>76.09999999999999</v>
      </c>
      <c r="R100" s="261" t="n">
        <v>100</v>
      </c>
      <c r="S100" s="262" t="n">
        <v>28.8</v>
      </c>
      <c r="T100" s="262" t="n">
        <v>0.8</v>
      </c>
      <c r="U100" s="263" t="n">
        <v>70.40000000000001</v>
      </c>
      <c r="V100" s="261" t="n">
        <v>100</v>
      </c>
      <c r="W100" s="262" t="n">
        <v>25.4</v>
      </c>
      <c r="X100" s="262" t="n">
        <v>0.7</v>
      </c>
      <c r="Y100" s="263" t="n">
        <v>73.90000000000001</v>
      </c>
      <c r="Z100" s="261" t="n">
        <v>100</v>
      </c>
      <c r="AA100" s="391" t="n">
        <v>20.3</v>
      </c>
      <c r="AB100" s="391" t="n">
        <v>0.5</v>
      </c>
      <c r="AC100" s="263" t="n">
        <v>79.2</v>
      </c>
      <c r="AD100" s="392" t="n">
        <v>100</v>
      </c>
      <c r="AE100" s="391" t="n">
        <v>22.4</v>
      </c>
      <c r="AF100" s="391" t="n">
        <v>0.6</v>
      </c>
      <c r="AG100" s="263" t="n">
        <v>77</v>
      </c>
      <c r="AJ100" s="369" t="n"/>
      <c r="AK100" s="369" t="n"/>
      <c r="AL100" s="369" t="n"/>
      <c r="AM100" s="369" t="n"/>
      <c r="AN100" s="369" t="n"/>
      <c r="AO100" s="369" t="n"/>
      <c r="AP100" s="369" t="n"/>
      <c r="AQ100" s="369" t="n"/>
      <c r="AR100" s="369" t="n"/>
      <c r="AS100" s="369" t="n"/>
      <c r="AT100" s="369" t="n"/>
      <c r="AU100" s="369" t="n"/>
    </row>
    <row r="101" ht="15" customHeight="1" s="226">
      <c r="A101" s="323" t="inlineStr">
        <is>
          <t xml:space="preserve"> Еврейская автономная область</t>
        </is>
      </c>
      <c r="B101" s="261" t="n">
        <v>100</v>
      </c>
      <c r="C101" s="336" t="n">
        <v>43.2</v>
      </c>
      <c r="D101" s="336" t="n">
        <v>2.3</v>
      </c>
      <c r="E101" s="389" t="n">
        <v>54.5</v>
      </c>
      <c r="F101" s="336" t="n">
        <v>100</v>
      </c>
      <c r="G101" s="336" t="n">
        <v>39.8</v>
      </c>
      <c r="H101" s="336" t="n">
        <v>2.8</v>
      </c>
      <c r="I101" s="390" t="n">
        <v>57.4</v>
      </c>
      <c r="J101" s="261" t="n">
        <v>100</v>
      </c>
      <c r="K101" s="262" t="n">
        <v>44.4</v>
      </c>
      <c r="L101" s="262" t="n">
        <v>3</v>
      </c>
      <c r="M101" s="263" t="n">
        <v>52.6</v>
      </c>
      <c r="N101" s="261" t="n">
        <v>100</v>
      </c>
      <c r="O101" s="262" t="n">
        <v>45.1</v>
      </c>
      <c r="P101" s="262" t="n">
        <v>2.9</v>
      </c>
      <c r="Q101" s="263" t="n">
        <v>52</v>
      </c>
      <c r="R101" s="261" t="n">
        <v>100</v>
      </c>
      <c r="S101" s="262" t="n">
        <v>44</v>
      </c>
      <c r="T101" s="262" t="n">
        <v>2.9</v>
      </c>
      <c r="U101" s="263" t="n">
        <v>53.1</v>
      </c>
      <c r="V101" s="261" t="n">
        <v>100</v>
      </c>
      <c r="W101" s="262" t="n">
        <v>38.2</v>
      </c>
      <c r="X101" s="262" t="n">
        <v>2.4</v>
      </c>
      <c r="Y101" s="263" t="n">
        <v>59.4</v>
      </c>
      <c r="Z101" s="261" t="n">
        <v>100</v>
      </c>
      <c r="AA101" s="391" t="n">
        <v>42.5</v>
      </c>
      <c r="AB101" s="391" t="n">
        <v>2.2</v>
      </c>
      <c r="AC101" s="263" t="n">
        <v>55.3</v>
      </c>
      <c r="AD101" s="392" t="n">
        <v>100</v>
      </c>
      <c r="AE101" s="391" t="n">
        <v>38.4</v>
      </c>
      <c r="AF101" s="391" t="n">
        <v>2.2</v>
      </c>
      <c r="AG101" s="263" t="n">
        <v>59.4</v>
      </c>
      <c r="AJ101" s="369" t="n"/>
      <c r="AK101" s="369" t="n"/>
      <c r="AL101" s="369" t="n"/>
      <c r="AM101" s="369" t="n"/>
      <c r="AN101" s="369" t="n"/>
      <c r="AO101" s="369" t="n"/>
      <c r="AP101" s="369" t="n"/>
      <c r="AQ101" s="369" t="n"/>
      <c r="AR101" s="369" t="n"/>
      <c r="AS101" s="369" t="n"/>
      <c r="AT101" s="369" t="n"/>
      <c r="AU101" s="369" t="n"/>
    </row>
    <row r="102" ht="15" customHeight="1" s="226">
      <c r="A102" s="323" t="inlineStr">
        <is>
          <t xml:space="preserve"> Чукотский автономный округ</t>
        </is>
      </c>
      <c r="B102" s="264" t="n">
        <v>100</v>
      </c>
      <c r="C102" s="344" t="n">
        <v>52.6</v>
      </c>
      <c r="D102" s="344" t="n">
        <v>1.8</v>
      </c>
      <c r="E102" s="403" t="n">
        <v>45.6</v>
      </c>
      <c r="F102" s="344" t="n">
        <v>100</v>
      </c>
      <c r="G102" s="344" t="n">
        <v>57.7</v>
      </c>
      <c r="H102" s="344" t="n">
        <v>1.7</v>
      </c>
      <c r="I102" s="404" t="n">
        <v>40.6</v>
      </c>
      <c r="J102" s="264" t="n">
        <v>100</v>
      </c>
      <c r="K102" s="265" t="n">
        <v>55</v>
      </c>
      <c r="L102" s="265" t="n">
        <v>1.5</v>
      </c>
      <c r="M102" s="266" t="n">
        <v>43.5</v>
      </c>
      <c r="N102" s="264" t="n">
        <v>100</v>
      </c>
      <c r="O102" s="265" t="n">
        <v>52.2</v>
      </c>
      <c r="P102" s="265" t="n">
        <v>1.4</v>
      </c>
      <c r="Q102" s="266" t="n">
        <v>46.4</v>
      </c>
      <c r="R102" s="264" t="n">
        <v>100</v>
      </c>
      <c r="S102" s="265" t="n">
        <v>47.8</v>
      </c>
      <c r="T102" s="265" t="n">
        <v>0.9</v>
      </c>
      <c r="U102" s="266" t="n">
        <v>51.3</v>
      </c>
      <c r="V102" s="264" t="n">
        <v>100</v>
      </c>
      <c r="W102" s="265" t="n">
        <v>46.2</v>
      </c>
      <c r="X102" s="265" t="n">
        <v>1.2</v>
      </c>
      <c r="Y102" s="266" t="n">
        <v>52.6</v>
      </c>
      <c r="Z102" s="264" t="n">
        <v>100</v>
      </c>
      <c r="AA102" s="405" t="n">
        <v>51.4</v>
      </c>
      <c r="AB102" s="405" t="n">
        <v>1.2</v>
      </c>
      <c r="AC102" s="266" t="n">
        <v>47.4</v>
      </c>
      <c r="AD102" s="406" t="n">
        <v>100</v>
      </c>
      <c r="AE102" s="405" t="n">
        <v>46.4</v>
      </c>
      <c r="AF102" s="405" t="n">
        <v>0.8</v>
      </c>
      <c r="AG102" s="266" t="n">
        <v>52.8</v>
      </c>
      <c r="AJ102" s="369" t="n"/>
      <c r="AK102" s="369" t="n"/>
      <c r="AL102" s="369" t="n"/>
      <c r="AM102" s="369" t="n"/>
      <c r="AN102" s="369" t="n"/>
      <c r="AO102" s="369" t="n"/>
      <c r="AP102" s="369" t="n"/>
      <c r="AQ102" s="369" t="n"/>
      <c r="AR102" s="369" t="n"/>
      <c r="AS102" s="369" t="n"/>
      <c r="AT102" s="369" t="n"/>
      <c r="AU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  <c r="I103" s="365" t="n"/>
      <c r="J103" s="365" t="n"/>
      <c r="K103" s="365" t="n"/>
      <c r="L103" s="365" t="n"/>
      <c r="M103" s="365" t="n"/>
      <c r="N103" s="365" t="n"/>
      <c r="O103" s="365" t="n"/>
      <c r="P103" s="365" t="n"/>
      <c r="Q103" s="365" t="n"/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5" t="n"/>
      <c r="AA103" s="365" t="n"/>
      <c r="AB103" s="365" t="n"/>
      <c r="AC103" s="365" t="n"/>
    </row>
    <row r="104" ht="15" customHeight="1" s="226">
      <c r="A104" s="357" t="inlineStr">
        <is>
      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4" s="357" t="n"/>
      <c r="P104" s="357" t="n"/>
      <c r="Q104" s="357" t="n"/>
      <c r="R104" s="378" t="n"/>
      <c r="S104" s="378" t="n"/>
      <c r="T104" s="378" t="n"/>
      <c r="U104" s="378" t="n"/>
      <c r="V104" s="359" t="n"/>
      <c r="W104" s="359" t="n"/>
      <c r="X104" s="359" t="n"/>
      <c r="Y104" s="359" t="n"/>
      <c r="Z104" s="359" t="n"/>
      <c r="AA104" s="359" t="n"/>
      <c r="AB104" s="359" t="n"/>
      <c r="AC104" s="359" t="n"/>
    </row>
    <row r="105" ht="12.75" customHeight="1" s="226">
      <c r="V105" s="359" t="n"/>
      <c r="W105" s="359" t="n"/>
      <c r="X105" s="359" t="n"/>
      <c r="Y105" s="359" t="n"/>
      <c r="Z105" s="359" t="n"/>
      <c r="AA105" s="359" t="n"/>
      <c r="AB105" s="359" t="n"/>
      <c r="AC105" s="359" t="n"/>
    </row>
  </sheetData>
  <mergeCells count="11">
    <mergeCell ref="AD5:AG5"/>
    <mergeCell ref="N5:Q5"/>
    <mergeCell ref="R5:U5"/>
    <mergeCell ref="A4:AD4"/>
    <mergeCell ref="A104:N104"/>
    <mergeCell ref="A1:B2"/>
    <mergeCell ref="B5:E5"/>
    <mergeCell ref="F5:I5"/>
    <mergeCell ref="J5:M5"/>
    <mergeCell ref="V5:Y5"/>
    <mergeCell ref="Z5:AC5"/>
  </mergeCells>
  <conditionalFormatting sqref="A95 A104 B104:U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B1:E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6796875" defaultRowHeight="12.75" customHeight="0" zeroHeight="0" outlineLevelRow="0"/>
  <cols>
    <col width="5.71" customWidth="1" style="288" min="1" max="1"/>
    <col width="13.71" customWidth="1" style="288" min="2" max="2"/>
    <col width="20.71" customWidth="1" style="288" min="3" max="3"/>
    <col width="16.14" customWidth="1" style="288" min="4" max="4"/>
    <col width="17" customWidth="1" style="288" min="5" max="5"/>
  </cols>
  <sheetData>
    <row r="1" ht="15" customFormat="1" customHeight="1" s="407">
      <c r="B1" s="408" t="inlineStr">
        <is>
          <t>К содержанию</t>
        </is>
      </c>
      <c r="D1" s="225" t="n"/>
    </row>
    <row r="2" ht="18.75" customHeight="1" s="226">
      <c r="B2" s="409" t="n"/>
      <c r="C2" s="409" t="n"/>
      <c r="D2" s="225" t="n"/>
    </row>
    <row r="3" ht="46.25" customHeight="1" s="226">
      <c r="B3" s="410" t="inlineStr">
        <is>
          <t>Пункт ФПСР</t>
        </is>
      </c>
      <c r="C3" s="411" t="inlineStr">
        <is>
          <t>Наименование показателя</t>
        </is>
      </c>
      <c r="D3" s="411" t="inlineStr">
        <is>
          <t xml:space="preserve">Периодичность </t>
        </is>
      </c>
      <c r="E3" s="412" t="inlineStr">
        <is>
          <t>Срок публикации информации по показателю за 2024 год</t>
        </is>
      </c>
    </row>
    <row r="4" ht="91" customHeight="1" s="226">
      <c r="B4" s="413" t="inlineStr">
        <is>
          <t>п. 1.2.6.</t>
        </is>
      </c>
      <c r="C4" s="414" t="inlineStr">
        <is>
          <t xml:space="preserve">Валовой региональный продукт за год, предшествующий предыдущему, 
в текущих
и постоянных ценах
</t>
        </is>
      </c>
      <c r="D4" s="415" t="inlineStr">
        <is>
          <t>Ежегодно</t>
        </is>
      </c>
      <c r="E4" s="416" t="inlineStr">
        <is>
          <t>1-я декада марта 2026 года</t>
        </is>
      </c>
    </row>
    <row r="5" ht="68.65000000000001" customHeight="1" s="226">
      <c r="B5" s="413" t="inlineStr">
        <is>
          <t>п. 1.2.7.</t>
        </is>
      </c>
      <c r="C5" s="414" t="inlineStr">
        <is>
          <t>Показатели счета образования доходов по субъектам Российской Федерации за год, предшествующий предыдущему</t>
        </is>
      </c>
      <c r="D5" s="415" t="inlineStr">
        <is>
          <t>Ежегодно</t>
        </is>
      </c>
      <c r="E5" s="416" t="inlineStr">
        <is>
          <t>1-я декада апреля 2026 года</t>
        </is>
      </c>
    </row>
    <row r="6" ht="91" customHeight="1" s="226">
      <c r="B6" s="413" t="inlineStr">
        <is>
          <t>п. 1.2.8.</t>
        </is>
      </c>
      <c r="C6" s="414" t="inlineStr">
        <is>
          <t>Информация по отдельным элементам счета использования доходов по субъектам Российской Федерации в текущих ценах за год, предшествующий предыдущему</t>
        </is>
      </c>
      <c r="D6" s="415" t="inlineStr">
        <is>
          <t>Ежегодно</t>
        </is>
      </c>
      <c r="E6" s="416" t="inlineStr">
        <is>
          <t>1-я декада марта 2026 года</t>
        </is>
      </c>
    </row>
  </sheetData>
  <mergeCells count="1">
    <mergeCell ref="B1:C2"/>
  </mergeCells>
  <hyperlinks>
    <hyperlink ref="B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ru-RU</dc:language>
  <dcterms:created xmlns:dcterms="http://purl.org/dc/terms/" xmlns:xsi="http://www.w3.org/2001/XMLSchema-instance" xsi:type="dcterms:W3CDTF">1996-10-08T23:32:33Z</dcterms:created>
  <dcterms:modified xmlns:dcterms="http://purl.org/dc/terms/" xmlns:xsi="http://www.w3.org/2001/XMLSchema-instance" xsi:type="dcterms:W3CDTF">2026-03-21T07:25:39Z</dcterms:modified>
  <cp:lastModifiedBy>Соловьева И. В.</cp:lastModifiedBy>
  <cp:revision>0</cp:revision>
  <cp:lastPrinted>2016-04-04T12:25:31Z</cp:lastPrinted>
</cp:coreProperties>
</file>